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LitayPandaPayrollDashboars\public\"/>
    </mc:Choice>
  </mc:AlternateContent>
  <xr:revisionPtr revIDLastSave="0" documentId="8_{3DE342D8-0986-4D01-B5AF-2F1317D8AE1D}" xr6:coauthVersionLast="47" xr6:coauthVersionMax="47" xr10:uidLastSave="{00000000-0000-0000-0000-000000000000}"/>
  <bookViews>
    <workbookView xWindow="28680" yWindow="-120" windowWidth="29040" windowHeight="15720" tabRatio="789" activeTab="2" xr2:uid="{00000000-000D-0000-FFFF-FFFF00000000}"/>
  </bookViews>
  <sheets>
    <sheet name="report" sheetId="1" r:id="rId1"/>
    <sheet name="Em_Index" sheetId="16" r:id="rId2"/>
    <sheet name="נייר עבודה" sheetId="19" r:id="rId3"/>
    <sheet name="1.סיכום ימים" sheetId="17" r:id="rId4"/>
    <sheet name="2.השלמת אירועים חג" sheetId="4" r:id="rId5"/>
    <sheet name="3.חוסר סגירה" sheetId="11" r:id="rId6"/>
    <sheet name="4.חוסר מדומה ע.חג" sheetId="21" r:id="rId7"/>
    <sheet name="6.חופשה מנוצלת" sheetId="20" r:id="rId8"/>
    <sheet name="5.אריאל-תאונ.עבודה" sheetId="7" r:id="rId9"/>
    <sheet name="7.בדיקות סופיות" sheetId="9" r:id="rId10"/>
    <sheet name="1.סיכום ימים_OLD" sheetId="14" r:id="rId11"/>
    <sheet name="נייר עבודה_OLD" sheetId="15" r:id="rId12"/>
    <sheet name="6.חופשה מנוצלת_OLD" sheetId="13" r:id="rId13"/>
    <sheet name="4.חוסר מדומה ע.חג_OLD" sheetId="10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66" i="1" l="1" a="1"/>
  <c r="K1566" i="1" s="1"/>
  <c r="T46" i="19"/>
  <c r="S46" i="19"/>
  <c r="R46" i="19"/>
  <c r="Q46" i="19"/>
  <c r="P46" i="19"/>
  <c r="T45" i="19"/>
  <c r="S45" i="19"/>
  <c r="R45" i="19"/>
  <c r="Q45" i="19"/>
  <c r="P45" i="19"/>
  <c r="T44" i="19"/>
  <c r="S44" i="19"/>
  <c r="R44" i="19"/>
  <c r="Q44" i="19"/>
  <c r="P44" i="19"/>
  <c r="T43" i="19"/>
  <c r="S43" i="19"/>
  <c r="R43" i="19"/>
  <c r="Q43" i="19"/>
  <c r="P43" i="19"/>
  <c r="T42" i="19"/>
  <c r="S42" i="19"/>
  <c r="R42" i="19"/>
  <c r="Q42" i="19"/>
  <c r="P42" i="19"/>
  <c r="T41" i="19"/>
  <c r="S41" i="19"/>
  <c r="R41" i="19"/>
  <c r="Q41" i="19"/>
  <c r="P41" i="19"/>
  <c r="T40" i="19"/>
  <c r="S40" i="19"/>
  <c r="R40" i="19"/>
  <c r="Q40" i="19"/>
  <c r="P40" i="19"/>
  <c r="T39" i="19"/>
  <c r="S39" i="19"/>
  <c r="R39" i="19"/>
  <c r="Q39" i="19"/>
  <c r="P39" i="19"/>
  <c r="T38" i="19"/>
  <c r="S38" i="19"/>
  <c r="R38" i="19"/>
  <c r="Q38" i="19"/>
  <c r="P38" i="19"/>
  <c r="T37" i="19"/>
  <c r="S37" i="19"/>
  <c r="R37" i="19"/>
  <c r="Q37" i="19"/>
  <c r="P37" i="19"/>
  <c r="T36" i="19"/>
  <c r="S36" i="19"/>
  <c r="R36" i="19"/>
  <c r="Q36" i="19"/>
  <c r="P36" i="19"/>
  <c r="T35" i="19"/>
  <c r="S35" i="19"/>
  <c r="R35" i="19"/>
  <c r="Q35" i="19"/>
  <c r="P35" i="19"/>
  <c r="T34" i="19"/>
  <c r="S34" i="19"/>
  <c r="R34" i="19"/>
  <c r="Q34" i="19"/>
  <c r="P34" i="19"/>
  <c r="T33" i="19"/>
  <c r="S33" i="19"/>
  <c r="R33" i="19"/>
  <c r="Q33" i="19"/>
  <c r="P33" i="19"/>
  <c r="T32" i="19"/>
  <c r="S32" i="19"/>
  <c r="R32" i="19"/>
  <c r="Q32" i="19"/>
  <c r="P32" i="19"/>
  <c r="T31" i="19"/>
  <c r="S31" i="19"/>
  <c r="R31" i="19"/>
  <c r="Q31" i="19"/>
  <c r="P31" i="19"/>
  <c r="T30" i="19"/>
  <c r="S30" i="19"/>
  <c r="R30" i="19"/>
  <c r="Q30" i="19"/>
  <c r="P30" i="19"/>
  <c r="T29" i="19"/>
  <c r="S29" i="19"/>
  <c r="R29" i="19"/>
  <c r="Q29" i="19"/>
  <c r="P29" i="19"/>
  <c r="T28" i="19"/>
  <c r="S28" i="19"/>
  <c r="R28" i="19"/>
  <c r="Q28" i="19"/>
  <c r="P28" i="19"/>
  <c r="T27" i="19"/>
  <c r="S27" i="19"/>
  <c r="R27" i="19"/>
  <c r="Q27" i="19"/>
  <c r="P27" i="19"/>
  <c r="T26" i="19"/>
  <c r="S26" i="19"/>
  <c r="R26" i="19"/>
  <c r="Q26" i="19"/>
  <c r="P26" i="19"/>
  <c r="T25" i="19"/>
  <c r="S25" i="19"/>
  <c r="R25" i="19"/>
  <c r="Q25" i="19"/>
  <c r="P25" i="19"/>
  <c r="T24" i="19"/>
  <c r="S24" i="19"/>
  <c r="R24" i="19"/>
  <c r="Q24" i="19"/>
  <c r="P24" i="19"/>
  <c r="T23" i="19"/>
  <c r="S23" i="19"/>
  <c r="R23" i="19"/>
  <c r="Q23" i="19"/>
  <c r="P23" i="19"/>
  <c r="T22" i="19"/>
  <c r="S22" i="19"/>
  <c r="R22" i="19"/>
  <c r="Q22" i="19"/>
  <c r="P22" i="19"/>
  <c r="T21" i="19"/>
  <c r="S21" i="19"/>
  <c r="R21" i="19"/>
  <c r="Q21" i="19"/>
  <c r="P21" i="19"/>
  <c r="T20" i="19"/>
  <c r="S20" i="19"/>
  <c r="R20" i="19"/>
  <c r="Q20" i="19"/>
  <c r="P20" i="19"/>
  <c r="T19" i="19"/>
  <c r="S19" i="19"/>
  <c r="R19" i="19"/>
  <c r="Q19" i="19"/>
  <c r="P19" i="19"/>
  <c r="T18" i="19"/>
  <c r="S18" i="19"/>
  <c r="R18" i="19"/>
  <c r="Q18" i="19"/>
  <c r="P18" i="19"/>
  <c r="T17" i="19"/>
  <c r="S17" i="19"/>
  <c r="R17" i="19"/>
  <c r="Q17" i="19"/>
  <c r="P17" i="19"/>
  <c r="T16" i="19"/>
  <c r="S16" i="19"/>
  <c r="R16" i="19"/>
  <c r="Q16" i="19"/>
  <c r="P16" i="19"/>
  <c r="T15" i="19"/>
  <c r="S15" i="19"/>
  <c r="R15" i="19"/>
  <c r="Q15" i="19"/>
  <c r="P15" i="19"/>
  <c r="T14" i="19"/>
  <c r="S14" i="19"/>
  <c r="R14" i="19"/>
  <c r="Q14" i="19"/>
  <c r="P14" i="19"/>
  <c r="T13" i="19"/>
  <c r="S13" i="19"/>
  <c r="R13" i="19"/>
  <c r="Q13" i="19"/>
  <c r="P13" i="19"/>
  <c r="T12" i="19"/>
  <c r="S12" i="19"/>
  <c r="R12" i="19"/>
  <c r="Q12" i="19"/>
  <c r="P12" i="19"/>
  <c r="T11" i="19"/>
  <c r="S11" i="19"/>
  <c r="R11" i="19"/>
  <c r="Q11" i="19"/>
  <c r="P11" i="19"/>
  <c r="T10" i="19"/>
  <c r="S10" i="19"/>
  <c r="R10" i="19"/>
  <c r="Q10" i="19"/>
  <c r="P10" i="19"/>
  <c r="T9" i="19"/>
  <c r="S9" i="19"/>
  <c r="R9" i="19"/>
  <c r="Q9" i="19"/>
  <c r="P9" i="19"/>
  <c r="T8" i="19"/>
  <c r="S8" i="19"/>
  <c r="R8" i="19"/>
  <c r="Q8" i="19"/>
  <c r="P8" i="19"/>
  <c r="T7" i="19"/>
  <c r="S7" i="19"/>
  <c r="R7" i="19"/>
  <c r="Q7" i="19"/>
  <c r="P7" i="19"/>
  <c r="T6" i="19"/>
  <c r="S6" i="19"/>
  <c r="R6" i="19"/>
  <c r="Q6" i="19"/>
  <c r="P6" i="19"/>
  <c r="T5" i="19"/>
  <c r="S5" i="19"/>
  <c r="R5" i="19"/>
  <c r="Q5" i="19"/>
  <c r="P5" i="19"/>
  <c r="T4" i="19"/>
  <c r="S4" i="19"/>
  <c r="R4" i="19"/>
  <c r="Q4" i="19"/>
  <c r="P4" i="19"/>
  <c r="O46" i="19"/>
  <c r="N46" i="19"/>
  <c r="O45" i="19"/>
  <c r="N45" i="19"/>
  <c r="O44" i="19"/>
  <c r="N44" i="19"/>
  <c r="O43" i="19"/>
  <c r="N43" i="19"/>
  <c r="O42" i="19"/>
  <c r="N42" i="19"/>
  <c r="O41" i="19"/>
  <c r="N41" i="19"/>
  <c r="O40" i="19"/>
  <c r="N40" i="19"/>
  <c r="O39" i="19"/>
  <c r="N39" i="19"/>
  <c r="O38" i="19"/>
  <c r="N38" i="19"/>
  <c r="O37" i="19"/>
  <c r="O36" i="19"/>
  <c r="N36" i="19"/>
  <c r="U36" i="19" s="1"/>
  <c r="O35" i="19"/>
  <c r="N35" i="19"/>
  <c r="O34" i="19"/>
  <c r="N34" i="19"/>
  <c r="O33" i="19"/>
  <c r="N33" i="19"/>
  <c r="O32" i="19"/>
  <c r="N32" i="19"/>
  <c r="O31" i="19"/>
  <c r="N31" i="19"/>
  <c r="O30" i="19"/>
  <c r="N30" i="19"/>
  <c r="U30" i="19" s="1"/>
  <c r="O29" i="19"/>
  <c r="N29" i="19"/>
  <c r="O28" i="19"/>
  <c r="N28" i="19"/>
  <c r="O27" i="19"/>
  <c r="N27" i="19"/>
  <c r="O26" i="19"/>
  <c r="N26" i="19"/>
  <c r="O25" i="19"/>
  <c r="N25" i="19"/>
  <c r="O24" i="19"/>
  <c r="N24" i="19"/>
  <c r="U24" i="19" s="1"/>
  <c r="O23" i="19"/>
  <c r="N23" i="19"/>
  <c r="O22" i="19"/>
  <c r="N22" i="19"/>
  <c r="O21" i="19"/>
  <c r="N21" i="19"/>
  <c r="O20" i="19"/>
  <c r="N20" i="19"/>
  <c r="O19" i="19"/>
  <c r="N19" i="19"/>
  <c r="O18" i="19"/>
  <c r="O17" i="19"/>
  <c r="N17" i="19"/>
  <c r="O16" i="19"/>
  <c r="N16" i="19"/>
  <c r="O15" i="19"/>
  <c r="N15" i="19"/>
  <c r="O14" i="19"/>
  <c r="N14" i="19"/>
  <c r="O13" i="19"/>
  <c r="N13" i="19"/>
  <c r="O12" i="19"/>
  <c r="N12" i="19"/>
  <c r="U12" i="19" s="1"/>
  <c r="O11" i="19"/>
  <c r="N11" i="19"/>
  <c r="O10" i="19"/>
  <c r="N10" i="19"/>
  <c r="O9" i="19"/>
  <c r="N9" i="19"/>
  <c r="O8" i="19"/>
  <c r="O7" i="19"/>
  <c r="N7" i="19"/>
  <c r="N6" i="19"/>
  <c r="O5" i="19"/>
  <c r="N5" i="19"/>
  <c r="O4" i="19"/>
  <c r="N4" i="19"/>
  <c r="R47" i="17"/>
  <c r="Q47" i="17"/>
  <c r="R46" i="17"/>
  <c r="Q46" i="17"/>
  <c r="R45" i="17"/>
  <c r="Q45" i="17"/>
  <c r="R44" i="17"/>
  <c r="Q44" i="17"/>
  <c r="R43" i="17"/>
  <c r="Q43" i="17"/>
  <c r="R42" i="17"/>
  <c r="Q42" i="17"/>
  <c r="R41" i="17"/>
  <c r="Q41" i="17"/>
  <c r="R40" i="17"/>
  <c r="Q40" i="17"/>
  <c r="R39" i="17"/>
  <c r="Q39" i="17"/>
  <c r="R38" i="17"/>
  <c r="R37" i="17"/>
  <c r="Q37" i="17"/>
  <c r="R36" i="17"/>
  <c r="Q36" i="17"/>
  <c r="R35" i="17"/>
  <c r="Q35" i="17"/>
  <c r="R34" i="17"/>
  <c r="Q34" i="17"/>
  <c r="R33" i="17"/>
  <c r="Q33" i="17"/>
  <c r="R32" i="17"/>
  <c r="Q32" i="17"/>
  <c r="R31" i="17"/>
  <c r="Q31" i="17"/>
  <c r="R30" i="17"/>
  <c r="Q30" i="17"/>
  <c r="R29" i="17"/>
  <c r="Q29" i="17"/>
  <c r="R28" i="17"/>
  <c r="Q28" i="17"/>
  <c r="R27" i="17"/>
  <c r="Q27" i="17"/>
  <c r="R26" i="17"/>
  <c r="Q26" i="17"/>
  <c r="R25" i="17"/>
  <c r="Q25" i="17"/>
  <c r="R24" i="17"/>
  <c r="Q24" i="17"/>
  <c r="R23" i="17"/>
  <c r="Q23" i="17"/>
  <c r="R22" i="17"/>
  <c r="Q22" i="17"/>
  <c r="R21" i="17"/>
  <c r="Q21" i="17"/>
  <c r="R20" i="17"/>
  <c r="Q20" i="17"/>
  <c r="R19" i="17"/>
  <c r="R18" i="17"/>
  <c r="Q18" i="17"/>
  <c r="R17" i="17"/>
  <c r="Q17" i="17"/>
  <c r="R16" i="17"/>
  <c r="Q16" i="17"/>
  <c r="R15" i="17"/>
  <c r="Q15" i="17"/>
  <c r="R14" i="17"/>
  <c r="Q14" i="17"/>
  <c r="R13" i="17"/>
  <c r="Q13" i="17"/>
  <c r="R12" i="17"/>
  <c r="Q12" i="17"/>
  <c r="R11" i="17"/>
  <c r="Q11" i="17"/>
  <c r="R10" i="17"/>
  <c r="Q10" i="17"/>
  <c r="R9" i="17"/>
  <c r="R8" i="17"/>
  <c r="Q8" i="17"/>
  <c r="Q7" i="17"/>
  <c r="R6" i="17"/>
  <c r="Q6" i="17"/>
  <c r="R5" i="17"/>
  <c r="Q5" i="17"/>
  <c r="R4" i="17"/>
  <c r="Q4" i="17"/>
  <c r="K566" i="1" a="1"/>
  <c r="K566" i="1" s="1"/>
  <c r="R7" i="17" s="1"/>
  <c r="K1302" i="1" a="1"/>
  <c r="K1302" i="1" s="1"/>
  <c r="N37" i="19" s="1"/>
  <c r="K1148" i="1" a="1"/>
  <c r="K1148" i="1" s="1"/>
  <c r="N8" i="19" s="1"/>
  <c r="M46" i="19"/>
  <c r="U46" i="19" s="1"/>
  <c r="M45" i="19"/>
  <c r="M44" i="19"/>
  <c r="M43" i="19"/>
  <c r="M42" i="19"/>
  <c r="M41" i="19"/>
  <c r="M40" i="19"/>
  <c r="U40" i="19" s="1"/>
  <c r="M39" i="19"/>
  <c r="U39" i="19" s="1"/>
  <c r="M38" i="19"/>
  <c r="M37" i="19"/>
  <c r="M36" i="19"/>
  <c r="M35" i="19"/>
  <c r="M34" i="19"/>
  <c r="U34" i="19" s="1"/>
  <c r="M33" i="19"/>
  <c r="M32" i="19"/>
  <c r="U32" i="19" s="1"/>
  <c r="M31" i="19"/>
  <c r="U31" i="19" s="1"/>
  <c r="M30" i="19"/>
  <c r="M29" i="19"/>
  <c r="M28" i="19"/>
  <c r="U28" i="19" s="1"/>
  <c r="M27" i="19"/>
  <c r="U27" i="19" s="1"/>
  <c r="M26" i="19"/>
  <c r="M25" i="19"/>
  <c r="M24" i="19"/>
  <c r="M23" i="19"/>
  <c r="M22" i="19"/>
  <c r="U22" i="19" s="1"/>
  <c r="M21" i="19"/>
  <c r="M20" i="19"/>
  <c r="U20" i="19" s="1"/>
  <c r="M19" i="19"/>
  <c r="U19" i="19" s="1"/>
  <c r="M18" i="19"/>
  <c r="M17" i="19"/>
  <c r="M16" i="19"/>
  <c r="U16" i="19" s="1"/>
  <c r="M15" i="19"/>
  <c r="U15" i="19" s="1"/>
  <c r="M14" i="19"/>
  <c r="M13" i="19"/>
  <c r="M12" i="19"/>
  <c r="M11" i="19"/>
  <c r="M10" i="19"/>
  <c r="U10" i="19" s="1"/>
  <c r="M9" i="19"/>
  <c r="M8" i="19"/>
  <c r="M7" i="19"/>
  <c r="U7" i="19" s="1"/>
  <c r="M6" i="19"/>
  <c r="M5" i="19"/>
  <c r="M4" i="19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6" i="17"/>
  <c r="J5" i="17"/>
  <c r="J4" i="17"/>
  <c r="K2245" i="1"/>
  <c r="E35" i="14" s="1"/>
  <c r="K2196" i="1"/>
  <c r="E12" i="14" s="1"/>
  <c r="K2141" i="1"/>
  <c r="E30" i="14" s="1"/>
  <c r="K2090" i="1"/>
  <c r="E25" i="14" s="1"/>
  <c r="K2036" i="1"/>
  <c r="E16" i="14" s="1"/>
  <c r="K1985" i="1"/>
  <c r="E14" i="14" s="1"/>
  <c r="K1931" i="1"/>
  <c r="E11" i="14" s="1"/>
  <c r="K1878" i="1"/>
  <c r="E34" i="14" s="1"/>
  <c r="K1825" i="1"/>
  <c r="E22" i="14" s="1"/>
  <c r="K1773" i="1"/>
  <c r="E41" i="14" s="1"/>
  <c r="K1719" i="1"/>
  <c r="E15" i="14" s="1"/>
  <c r="K1670" i="1"/>
  <c r="E29" i="14" s="1"/>
  <c r="K1617" i="1"/>
  <c r="E10" i="17" s="1"/>
  <c r="F10" i="17" s="1"/>
  <c r="K1565" i="1"/>
  <c r="E19" i="14" s="1"/>
  <c r="K1512" i="1"/>
  <c r="E18" i="14" s="1"/>
  <c r="K1463" i="1"/>
  <c r="E42" i="14" s="1"/>
  <c r="K1408" i="1"/>
  <c r="E20" i="14" s="1"/>
  <c r="K1356" i="1"/>
  <c r="E21" i="14" s="1"/>
  <c r="K1305" i="1"/>
  <c r="K1252" i="1"/>
  <c r="E36" i="14" s="1"/>
  <c r="K1197" i="1"/>
  <c r="E43" i="14" s="1"/>
  <c r="K1151" i="1"/>
  <c r="E9" i="14" s="1"/>
  <c r="K1096" i="1"/>
  <c r="E17" i="17" s="1"/>
  <c r="F17" i="17" s="1"/>
  <c r="K1042" i="1"/>
  <c r="E46" i="14" s="1"/>
  <c r="K990" i="1"/>
  <c r="E26" i="14" s="1"/>
  <c r="K936" i="1"/>
  <c r="E4" i="14" s="1"/>
  <c r="K884" i="1"/>
  <c r="E40" i="14" s="1"/>
  <c r="K780" i="1"/>
  <c r="K727" i="1"/>
  <c r="E27" i="14" s="1"/>
  <c r="K676" i="1"/>
  <c r="E28" i="14" s="1"/>
  <c r="K626" i="1"/>
  <c r="E32" i="14" s="1"/>
  <c r="K572" i="1"/>
  <c r="E7" i="14" s="1"/>
  <c r="K520" i="1"/>
  <c r="E5" i="14" s="1"/>
  <c r="K466" i="1"/>
  <c r="E24" i="17" s="1"/>
  <c r="F24" i="17" s="1"/>
  <c r="K415" i="1"/>
  <c r="E47" i="14" s="1"/>
  <c r="K364" i="1"/>
  <c r="E6" i="14" s="1"/>
  <c r="K311" i="1"/>
  <c r="E31" i="14" s="1"/>
  <c r="K258" i="1"/>
  <c r="E23" i="14" s="1"/>
  <c r="K206" i="1"/>
  <c r="E8" i="14" s="1"/>
  <c r="K154" i="1"/>
  <c r="E39" i="14" s="1"/>
  <c r="K48" i="1"/>
  <c r="E33" i="14" s="1"/>
  <c r="D46" i="21"/>
  <c r="C46" i="21"/>
  <c r="B46" i="21"/>
  <c r="D45" i="21"/>
  <c r="C45" i="21"/>
  <c r="B45" i="21"/>
  <c r="C44" i="21"/>
  <c r="B44" i="21"/>
  <c r="C43" i="21"/>
  <c r="B43" i="21"/>
  <c r="D42" i="21"/>
  <c r="C42" i="21"/>
  <c r="B42" i="21"/>
  <c r="D41" i="21"/>
  <c r="C41" i="21"/>
  <c r="B41" i="21"/>
  <c r="D40" i="21"/>
  <c r="C40" i="21"/>
  <c r="B40" i="21"/>
  <c r="C39" i="21"/>
  <c r="B39" i="21"/>
  <c r="C38" i="21"/>
  <c r="B38" i="21"/>
  <c r="D37" i="21"/>
  <c r="C37" i="21"/>
  <c r="B37" i="21"/>
  <c r="C36" i="21"/>
  <c r="B36" i="21"/>
  <c r="D35" i="21"/>
  <c r="C35" i="21"/>
  <c r="B35" i="21"/>
  <c r="C34" i="21"/>
  <c r="B34" i="21"/>
  <c r="C33" i="21"/>
  <c r="B33" i="21"/>
  <c r="C32" i="21"/>
  <c r="B32" i="21"/>
  <c r="D31" i="21"/>
  <c r="C31" i="21"/>
  <c r="B31" i="21"/>
  <c r="C30" i="21"/>
  <c r="B30" i="21"/>
  <c r="C29" i="21"/>
  <c r="B29" i="21"/>
  <c r="D28" i="21"/>
  <c r="C28" i="21"/>
  <c r="B28" i="21"/>
  <c r="D27" i="21"/>
  <c r="C27" i="21"/>
  <c r="B27" i="21"/>
  <c r="C26" i="21"/>
  <c r="B26" i="21"/>
  <c r="D25" i="21"/>
  <c r="C25" i="21"/>
  <c r="B25" i="21"/>
  <c r="C24" i="21"/>
  <c r="B24" i="21"/>
  <c r="C23" i="21"/>
  <c r="B23" i="21"/>
  <c r="C22" i="21"/>
  <c r="B22" i="21"/>
  <c r="C21" i="21"/>
  <c r="B21" i="21"/>
  <c r="C20" i="21"/>
  <c r="B20" i="21"/>
  <c r="C19" i="21"/>
  <c r="B19" i="21"/>
  <c r="D18" i="21"/>
  <c r="C18" i="21"/>
  <c r="B18" i="21"/>
  <c r="C17" i="21"/>
  <c r="B17" i="21"/>
  <c r="D16" i="21"/>
  <c r="C16" i="21"/>
  <c r="B16" i="21"/>
  <c r="C15" i="21"/>
  <c r="B15" i="21"/>
  <c r="C14" i="21"/>
  <c r="B14" i="21"/>
  <c r="C13" i="21"/>
  <c r="B13" i="21"/>
  <c r="C12" i="21"/>
  <c r="B12" i="21"/>
  <c r="D11" i="21"/>
  <c r="C11" i="21"/>
  <c r="B11" i="21"/>
  <c r="C10" i="21"/>
  <c r="B10" i="21"/>
  <c r="C9" i="21"/>
  <c r="B9" i="21"/>
  <c r="C8" i="21"/>
  <c r="B8" i="21"/>
  <c r="C7" i="21"/>
  <c r="B7" i="21"/>
  <c r="C6" i="21"/>
  <c r="B6" i="21"/>
  <c r="C5" i="21"/>
  <c r="B5" i="21"/>
  <c r="C4" i="21"/>
  <c r="B4" i="21"/>
  <c r="C3" i="21"/>
  <c r="B3" i="21"/>
  <c r="D46" i="20"/>
  <c r="C46" i="20"/>
  <c r="B46" i="20"/>
  <c r="D45" i="20"/>
  <c r="C45" i="20"/>
  <c r="B45" i="20"/>
  <c r="D44" i="20"/>
  <c r="C44" i="20"/>
  <c r="B44" i="20"/>
  <c r="D43" i="20"/>
  <c r="C43" i="20"/>
  <c r="B43" i="20"/>
  <c r="D42" i="20"/>
  <c r="C42" i="20"/>
  <c r="B42" i="20"/>
  <c r="D41" i="20"/>
  <c r="C41" i="20"/>
  <c r="B41" i="20"/>
  <c r="D40" i="20"/>
  <c r="C40" i="20"/>
  <c r="B40" i="20"/>
  <c r="D39" i="20"/>
  <c r="C39" i="20"/>
  <c r="B39" i="20"/>
  <c r="D38" i="20"/>
  <c r="C38" i="20"/>
  <c r="B38" i="20"/>
  <c r="D37" i="20"/>
  <c r="C37" i="20"/>
  <c r="B37" i="20"/>
  <c r="D36" i="20"/>
  <c r="C36" i="20"/>
  <c r="B36" i="20"/>
  <c r="D35" i="20"/>
  <c r="C35" i="20"/>
  <c r="B35" i="20"/>
  <c r="D34" i="20"/>
  <c r="C34" i="20"/>
  <c r="B34" i="20"/>
  <c r="D33" i="20"/>
  <c r="C33" i="20"/>
  <c r="B33" i="20"/>
  <c r="D32" i="20"/>
  <c r="C32" i="20"/>
  <c r="B32" i="20"/>
  <c r="D31" i="20"/>
  <c r="C31" i="20"/>
  <c r="B31" i="20"/>
  <c r="D30" i="20"/>
  <c r="C30" i="20"/>
  <c r="B30" i="20"/>
  <c r="D29" i="20"/>
  <c r="C29" i="20"/>
  <c r="B29" i="20"/>
  <c r="D28" i="20"/>
  <c r="C28" i="20"/>
  <c r="B28" i="20"/>
  <c r="D27" i="20"/>
  <c r="C27" i="20"/>
  <c r="B27" i="20"/>
  <c r="D26" i="20"/>
  <c r="C26" i="20"/>
  <c r="B26" i="20"/>
  <c r="D25" i="20"/>
  <c r="C25" i="20"/>
  <c r="B25" i="20"/>
  <c r="D24" i="20"/>
  <c r="C24" i="20"/>
  <c r="B24" i="20"/>
  <c r="D23" i="20"/>
  <c r="C23" i="20"/>
  <c r="B23" i="20"/>
  <c r="D22" i="20"/>
  <c r="C22" i="20"/>
  <c r="B22" i="20"/>
  <c r="D21" i="20"/>
  <c r="C21" i="20"/>
  <c r="B21" i="20"/>
  <c r="D20" i="20"/>
  <c r="C20" i="20"/>
  <c r="B20" i="20"/>
  <c r="D19" i="20"/>
  <c r="C19" i="20"/>
  <c r="B19" i="20"/>
  <c r="D18" i="20"/>
  <c r="C18" i="20"/>
  <c r="B18" i="20"/>
  <c r="D17" i="20"/>
  <c r="C17" i="20"/>
  <c r="B17" i="20"/>
  <c r="D16" i="20"/>
  <c r="C16" i="20"/>
  <c r="B16" i="20"/>
  <c r="D15" i="20"/>
  <c r="C15" i="20"/>
  <c r="B15" i="20"/>
  <c r="D14" i="20"/>
  <c r="C14" i="20"/>
  <c r="B14" i="20"/>
  <c r="D13" i="20"/>
  <c r="C13" i="20"/>
  <c r="B13" i="20"/>
  <c r="D12" i="20"/>
  <c r="C12" i="20"/>
  <c r="B12" i="20"/>
  <c r="D11" i="20"/>
  <c r="C11" i="20"/>
  <c r="B11" i="20"/>
  <c r="D10" i="20"/>
  <c r="C10" i="20"/>
  <c r="B10" i="20"/>
  <c r="D9" i="20"/>
  <c r="C9" i="20"/>
  <c r="B9" i="20"/>
  <c r="D8" i="20"/>
  <c r="C8" i="20"/>
  <c r="B8" i="20"/>
  <c r="D7" i="20"/>
  <c r="C7" i="20"/>
  <c r="B7" i="20"/>
  <c r="D6" i="20"/>
  <c r="C6" i="20"/>
  <c r="B6" i="20"/>
  <c r="D5" i="20"/>
  <c r="C5" i="20"/>
  <c r="B5" i="20"/>
  <c r="D4" i="20"/>
  <c r="C4" i="20"/>
  <c r="B4" i="20"/>
  <c r="D3" i="20"/>
  <c r="C3" i="20"/>
  <c r="B3" i="20"/>
  <c r="J46" i="19"/>
  <c r="I46" i="19"/>
  <c r="H46" i="19"/>
  <c r="G46" i="19"/>
  <c r="F46" i="19"/>
  <c r="D46" i="19"/>
  <c r="V46" i="19" s="1"/>
  <c r="C46" i="19"/>
  <c r="J45" i="19"/>
  <c r="I45" i="19"/>
  <c r="H45" i="19"/>
  <c r="G45" i="19"/>
  <c r="F45" i="19"/>
  <c r="D45" i="19"/>
  <c r="C45" i="19"/>
  <c r="K44" i="19"/>
  <c r="J44" i="19"/>
  <c r="I44" i="19"/>
  <c r="H44" i="19"/>
  <c r="G44" i="19"/>
  <c r="F44" i="19"/>
  <c r="D44" i="19"/>
  <c r="C44" i="19"/>
  <c r="K43" i="19"/>
  <c r="J43" i="19"/>
  <c r="I43" i="19"/>
  <c r="H43" i="19"/>
  <c r="G43" i="19"/>
  <c r="F43" i="19"/>
  <c r="D43" i="19"/>
  <c r="C43" i="19"/>
  <c r="I42" i="19"/>
  <c r="H42" i="19"/>
  <c r="G42" i="19"/>
  <c r="F42" i="19"/>
  <c r="D42" i="19"/>
  <c r="C42" i="19"/>
  <c r="J41" i="19"/>
  <c r="I41" i="19"/>
  <c r="H41" i="19"/>
  <c r="G41" i="19"/>
  <c r="F41" i="19"/>
  <c r="D41" i="19"/>
  <c r="C41" i="19"/>
  <c r="J40" i="19"/>
  <c r="I40" i="19"/>
  <c r="H40" i="19"/>
  <c r="G40" i="19"/>
  <c r="F40" i="19"/>
  <c r="D40" i="19"/>
  <c r="C40" i="19"/>
  <c r="J39" i="19"/>
  <c r="I39" i="19"/>
  <c r="H39" i="19"/>
  <c r="G39" i="19"/>
  <c r="F39" i="19"/>
  <c r="D39" i="19"/>
  <c r="C39" i="19"/>
  <c r="K38" i="19"/>
  <c r="J38" i="19"/>
  <c r="I38" i="19"/>
  <c r="H38" i="19"/>
  <c r="G38" i="19"/>
  <c r="F38" i="19"/>
  <c r="D38" i="19"/>
  <c r="C38" i="19"/>
  <c r="J37" i="19"/>
  <c r="I37" i="19"/>
  <c r="H37" i="19"/>
  <c r="G37" i="19"/>
  <c r="F37" i="19"/>
  <c r="D37" i="19"/>
  <c r="C37" i="19"/>
  <c r="J36" i="19"/>
  <c r="I36" i="19"/>
  <c r="H36" i="19"/>
  <c r="G36" i="19"/>
  <c r="F36" i="19"/>
  <c r="E36" i="19"/>
  <c r="D36" i="19"/>
  <c r="C36" i="19"/>
  <c r="K35" i="19"/>
  <c r="J35" i="19"/>
  <c r="I35" i="19"/>
  <c r="H35" i="19"/>
  <c r="G35" i="19"/>
  <c r="F35" i="19"/>
  <c r="D35" i="19"/>
  <c r="C35" i="19"/>
  <c r="K34" i="19"/>
  <c r="J34" i="19"/>
  <c r="I34" i="19"/>
  <c r="H34" i="19"/>
  <c r="G34" i="19"/>
  <c r="F34" i="19"/>
  <c r="D34" i="19"/>
  <c r="V34" i="19" s="1"/>
  <c r="C34" i="19"/>
  <c r="J33" i="19"/>
  <c r="I33" i="19"/>
  <c r="H33" i="19"/>
  <c r="G33" i="19"/>
  <c r="F33" i="19"/>
  <c r="D33" i="19"/>
  <c r="C33" i="19"/>
  <c r="J32" i="19"/>
  <c r="I32" i="19"/>
  <c r="H32" i="19"/>
  <c r="G32" i="19"/>
  <c r="F32" i="19"/>
  <c r="D32" i="19"/>
  <c r="V32" i="19" s="1"/>
  <c r="C32" i="19"/>
  <c r="J31" i="19"/>
  <c r="I31" i="19"/>
  <c r="H31" i="19"/>
  <c r="G31" i="19"/>
  <c r="F31" i="19"/>
  <c r="D31" i="19"/>
  <c r="C31" i="19"/>
  <c r="K30" i="19"/>
  <c r="J30" i="19"/>
  <c r="I30" i="19"/>
  <c r="H30" i="19"/>
  <c r="G30" i="19"/>
  <c r="F30" i="19"/>
  <c r="D30" i="19"/>
  <c r="C30" i="19"/>
  <c r="K29" i="19"/>
  <c r="J29" i="19"/>
  <c r="I29" i="19"/>
  <c r="H29" i="19"/>
  <c r="G29" i="19"/>
  <c r="F29" i="19"/>
  <c r="D29" i="19"/>
  <c r="C29" i="19"/>
  <c r="K28" i="19"/>
  <c r="J28" i="19"/>
  <c r="I28" i="19"/>
  <c r="H28" i="19"/>
  <c r="G28" i="19"/>
  <c r="F28" i="19"/>
  <c r="D28" i="19"/>
  <c r="C28" i="19"/>
  <c r="K27" i="19"/>
  <c r="J27" i="19"/>
  <c r="I27" i="19"/>
  <c r="H27" i="19"/>
  <c r="G27" i="19"/>
  <c r="F27" i="19"/>
  <c r="D27" i="19"/>
  <c r="C27" i="19"/>
  <c r="K26" i="19"/>
  <c r="J26" i="19"/>
  <c r="I26" i="19"/>
  <c r="H26" i="19"/>
  <c r="G26" i="19"/>
  <c r="F26" i="19"/>
  <c r="D26" i="19"/>
  <c r="C26" i="19"/>
  <c r="J25" i="19"/>
  <c r="I25" i="19"/>
  <c r="H25" i="19"/>
  <c r="G25" i="19"/>
  <c r="F25" i="19"/>
  <c r="D25" i="19"/>
  <c r="C25" i="19"/>
  <c r="K24" i="19"/>
  <c r="J24" i="19"/>
  <c r="I24" i="19"/>
  <c r="H24" i="19"/>
  <c r="G24" i="19"/>
  <c r="F24" i="19"/>
  <c r="D24" i="19"/>
  <c r="C24" i="19"/>
  <c r="L23" i="19"/>
  <c r="H23" i="19"/>
  <c r="G23" i="19"/>
  <c r="F23" i="19"/>
  <c r="D23" i="19"/>
  <c r="C23" i="19"/>
  <c r="L22" i="19"/>
  <c r="H22" i="19"/>
  <c r="G22" i="19"/>
  <c r="F22" i="19"/>
  <c r="D22" i="19"/>
  <c r="C22" i="19"/>
  <c r="J21" i="19"/>
  <c r="I21" i="19"/>
  <c r="H21" i="19"/>
  <c r="G21" i="19"/>
  <c r="F21" i="19"/>
  <c r="D21" i="19"/>
  <c r="C21" i="19"/>
  <c r="K20" i="19"/>
  <c r="J20" i="19"/>
  <c r="I20" i="19"/>
  <c r="H20" i="19"/>
  <c r="G20" i="19"/>
  <c r="F20" i="19"/>
  <c r="D20" i="19"/>
  <c r="V20" i="19" s="1"/>
  <c r="C20" i="19"/>
  <c r="J19" i="19"/>
  <c r="I19" i="19"/>
  <c r="H19" i="19"/>
  <c r="G19" i="19"/>
  <c r="F19" i="19"/>
  <c r="D19" i="19"/>
  <c r="C19" i="19"/>
  <c r="I18" i="19"/>
  <c r="H18" i="19"/>
  <c r="G18" i="19"/>
  <c r="F18" i="19"/>
  <c r="D18" i="19"/>
  <c r="C18" i="19"/>
  <c r="K17" i="19"/>
  <c r="J17" i="19"/>
  <c r="I17" i="19"/>
  <c r="H17" i="19"/>
  <c r="G17" i="19"/>
  <c r="F17" i="19"/>
  <c r="D17" i="19"/>
  <c r="C17" i="19"/>
  <c r="K16" i="19"/>
  <c r="J16" i="19"/>
  <c r="I16" i="19"/>
  <c r="H16" i="19"/>
  <c r="G16" i="19"/>
  <c r="F16" i="19"/>
  <c r="D16" i="19"/>
  <c r="C16" i="19"/>
  <c r="K15" i="19"/>
  <c r="J15" i="19"/>
  <c r="I15" i="19"/>
  <c r="H15" i="19"/>
  <c r="G15" i="19"/>
  <c r="F15" i="19"/>
  <c r="D15" i="19"/>
  <c r="C15" i="19"/>
  <c r="J14" i="19"/>
  <c r="I14" i="19"/>
  <c r="H14" i="19"/>
  <c r="G14" i="19"/>
  <c r="F14" i="19"/>
  <c r="D14" i="19"/>
  <c r="C14" i="19"/>
  <c r="J13" i="19"/>
  <c r="I13" i="19"/>
  <c r="H13" i="19"/>
  <c r="G13" i="19"/>
  <c r="F13" i="19"/>
  <c r="D13" i="19"/>
  <c r="C13" i="19"/>
  <c r="K12" i="19"/>
  <c r="J12" i="19"/>
  <c r="I12" i="19"/>
  <c r="H12" i="19"/>
  <c r="G12" i="19"/>
  <c r="F12" i="19"/>
  <c r="D12" i="19"/>
  <c r="C12" i="19"/>
  <c r="J11" i="19"/>
  <c r="I11" i="19"/>
  <c r="H11" i="19"/>
  <c r="G11" i="19"/>
  <c r="F11" i="19"/>
  <c r="D11" i="19"/>
  <c r="C11" i="19"/>
  <c r="J10" i="19"/>
  <c r="I10" i="19"/>
  <c r="H10" i="19"/>
  <c r="G10" i="19"/>
  <c r="F10" i="19"/>
  <c r="D10" i="19"/>
  <c r="V10" i="19" s="1"/>
  <c r="C10" i="19"/>
  <c r="J9" i="19"/>
  <c r="I9" i="19"/>
  <c r="H9" i="19"/>
  <c r="G9" i="19"/>
  <c r="F9" i="19"/>
  <c r="D9" i="19"/>
  <c r="C9" i="19"/>
  <c r="K8" i="19"/>
  <c r="J8" i="19"/>
  <c r="I8" i="19"/>
  <c r="H8" i="19"/>
  <c r="G8" i="19"/>
  <c r="F8" i="19"/>
  <c r="D8" i="19"/>
  <c r="C8" i="19"/>
  <c r="K7" i="19"/>
  <c r="J7" i="19"/>
  <c r="I7" i="19"/>
  <c r="H7" i="19"/>
  <c r="G7" i="19"/>
  <c r="F7" i="19"/>
  <c r="D7" i="19"/>
  <c r="C7" i="19"/>
  <c r="I6" i="19"/>
  <c r="H6" i="19"/>
  <c r="G6" i="19"/>
  <c r="F6" i="19"/>
  <c r="D6" i="19"/>
  <c r="C6" i="19"/>
  <c r="K5" i="19"/>
  <c r="J5" i="19"/>
  <c r="I5" i="19"/>
  <c r="H5" i="19"/>
  <c r="G5" i="19"/>
  <c r="F5" i="19"/>
  <c r="D5" i="19"/>
  <c r="C5" i="19"/>
  <c r="K4" i="19"/>
  <c r="J4" i="19"/>
  <c r="I4" i="19"/>
  <c r="H4" i="19"/>
  <c r="G4" i="19"/>
  <c r="F4" i="19"/>
  <c r="D4" i="19"/>
  <c r="C4" i="19"/>
  <c r="C2301" i="1" a="1"/>
  <c r="C2301" i="1" s="1"/>
  <c r="L43" i="19" s="1"/>
  <c r="C2249" i="1" a="1"/>
  <c r="C2249" i="1" s="1"/>
  <c r="L34" i="19" s="1"/>
  <c r="C2197" i="1" a="1"/>
  <c r="C2197" i="1" s="1"/>
  <c r="L11" i="19" s="1"/>
  <c r="C2145" i="1" a="1"/>
  <c r="C2145" i="1" s="1"/>
  <c r="L29" i="19" s="1"/>
  <c r="C2093" i="1" a="1"/>
  <c r="C2093" i="1" s="1"/>
  <c r="L24" i="19" s="1"/>
  <c r="C2041" i="1" a="1"/>
  <c r="C2041" i="1" s="1"/>
  <c r="L15" i="19" s="1"/>
  <c r="C1989" i="1" a="1"/>
  <c r="C1989" i="1" s="1"/>
  <c r="L13" i="19" s="1"/>
  <c r="C1933" i="1" a="1"/>
  <c r="C1933" i="1" s="1"/>
  <c r="L10" i="19" s="1"/>
  <c r="C1881" i="1" a="1"/>
  <c r="C1881" i="1" s="1"/>
  <c r="L33" i="19" s="1"/>
  <c r="C1829" i="1" a="1"/>
  <c r="C1829" i="1" s="1"/>
  <c r="L21" i="19" s="1"/>
  <c r="C1777" i="1" a="1"/>
  <c r="C1777" i="1" s="1"/>
  <c r="L40" i="19" s="1"/>
  <c r="C1725" i="1" a="1"/>
  <c r="C1725" i="1" s="1"/>
  <c r="L14" i="19" s="1"/>
  <c r="C1673" i="1" a="1"/>
  <c r="C1673" i="1" s="1"/>
  <c r="L28" i="19" s="1"/>
  <c r="C1621" i="1" a="1"/>
  <c r="C1621" i="1" s="1"/>
  <c r="L9" i="19" s="1"/>
  <c r="C1569" i="1" a="1"/>
  <c r="C1569" i="1" s="1"/>
  <c r="L18" i="19" s="1"/>
  <c r="C1517" i="1" a="1"/>
  <c r="C1517" i="1" s="1"/>
  <c r="L17" i="19" s="1"/>
  <c r="C1465" i="1" a="1"/>
  <c r="C1465" i="1" s="1"/>
  <c r="L41" i="19" s="1"/>
  <c r="C1412" i="1" a="1"/>
  <c r="C1412" i="1" s="1"/>
  <c r="L19" i="19" s="1"/>
  <c r="C1360" i="1" a="1"/>
  <c r="C1360" i="1" s="1"/>
  <c r="L20" i="19" s="1"/>
  <c r="C1308" i="1" a="1"/>
  <c r="C1308" i="1" s="1"/>
  <c r="L37" i="19" s="1"/>
  <c r="C1255" i="1" a="1"/>
  <c r="C1255" i="1" s="1"/>
  <c r="L35" i="19" s="1"/>
  <c r="C1203" i="1" a="1"/>
  <c r="C1203" i="1" s="1"/>
  <c r="L42" i="19" s="1"/>
  <c r="C1151" i="1" a="1"/>
  <c r="C1151" i="1" s="1"/>
  <c r="L8" i="19" s="1"/>
  <c r="C1099" i="1" a="1"/>
  <c r="C1099" i="1" s="1"/>
  <c r="L16" i="19" s="1"/>
  <c r="C1046" i="1" a="1"/>
  <c r="C1046" i="1" s="1"/>
  <c r="L45" i="19" s="1"/>
  <c r="C994" i="1" a="1"/>
  <c r="C994" i="1" s="1"/>
  <c r="L25" i="19" s="1"/>
  <c r="C888" i="1" a="1"/>
  <c r="C888" i="1" s="1"/>
  <c r="L39" i="19" s="1"/>
  <c r="C836" i="1" a="1"/>
  <c r="C836" i="1" s="1"/>
  <c r="L44" i="19" s="1"/>
  <c r="C784" i="1" a="1"/>
  <c r="C784" i="1" s="1"/>
  <c r="L12" i="19" s="1"/>
  <c r="C732" i="1" a="1"/>
  <c r="C732" i="1" s="1"/>
  <c r="L26" i="19" s="1"/>
  <c r="C680" i="1" a="1"/>
  <c r="C680" i="1" s="1"/>
  <c r="L27" i="19" s="1"/>
  <c r="C628" i="1" a="1"/>
  <c r="C628" i="1" s="1"/>
  <c r="L31" i="19" s="1"/>
  <c r="C575" i="1" a="1"/>
  <c r="C575" i="1" s="1"/>
  <c r="L6" i="19" s="1"/>
  <c r="C523" i="1" a="1"/>
  <c r="C523" i="1" s="1"/>
  <c r="L4" i="19" s="1"/>
  <c r="C419" i="1" a="1"/>
  <c r="C419" i="1" s="1"/>
  <c r="L46" i="19" s="1"/>
  <c r="C367" i="1" a="1"/>
  <c r="C367" i="1" s="1"/>
  <c r="L5" i="19" s="1"/>
  <c r="C314" i="1" a="1"/>
  <c r="C314" i="1" s="1"/>
  <c r="L30" i="19" s="1"/>
  <c r="C210" i="1" a="1"/>
  <c r="C210" i="1" s="1"/>
  <c r="L7" i="19" s="1"/>
  <c r="C157" i="1" a="1"/>
  <c r="C157" i="1" s="1"/>
  <c r="L38" i="19" s="1"/>
  <c r="C105" i="1" a="1"/>
  <c r="C105" i="1" s="1"/>
  <c r="L36" i="19" s="1"/>
  <c r="C52" i="1" a="1"/>
  <c r="C52" i="1" s="1"/>
  <c r="L32" i="19" s="1"/>
  <c r="N47" i="17"/>
  <c r="M47" i="17"/>
  <c r="L47" i="17"/>
  <c r="K47" i="17"/>
  <c r="I47" i="17"/>
  <c r="H47" i="17"/>
  <c r="G47" i="17"/>
  <c r="D47" i="17"/>
  <c r="C47" i="17"/>
  <c r="N46" i="17"/>
  <c r="M46" i="17"/>
  <c r="L46" i="17"/>
  <c r="K46" i="17"/>
  <c r="I46" i="17"/>
  <c r="H46" i="17"/>
  <c r="G46" i="17"/>
  <c r="D46" i="17"/>
  <c r="C46" i="17"/>
  <c r="N45" i="17"/>
  <c r="M45" i="17"/>
  <c r="L45" i="17"/>
  <c r="K45" i="17"/>
  <c r="I45" i="17"/>
  <c r="H45" i="17"/>
  <c r="G45" i="17"/>
  <c r="D45" i="17"/>
  <c r="C45" i="17"/>
  <c r="N44" i="17"/>
  <c r="M44" i="17"/>
  <c r="L44" i="17"/>
  <c r="K44" i="17"/>
  <c r="I44" i="17"/>
  <c r="H44" i="17"/>
  <c r="G44" i="17"/>
  <c r="D44" i="17"/>
  <c r="C44" i="17"/>
  <c r="N43" i="17"/>
  <c r="M43" i="17"/>
  <c r="L43" i="17"/>
  <c r="K43" i="17"/>
  <c r="I43" i="17"/>
  <c r="H43" i="17"/>
  <c r="G43" i="17"/>
  <c r="D43" i="17"/>
  <c r="C43" i="17"/>
  <c r="N42" i="17"/>
  <c r="M42" i="17"/>
  <c r="L42" i="17"/>
  <c r="K42" i="17"/>
  <c r="I42" i="17"/>
  <c r="H42" i="17"/>
  <c r="G42" i="17"/>
  <c r="D42" i="17"/>
  <c r="C42" i="17"/>
  <c r="N41" i="17"/>
  <c r="M41" i="17"/>
  <c r="L41" i="17"/>
  <c r="K41" i="17"/>
  <c r="I41" i="17"/>
  <c r="H41" i="17"/>
  <c r="G41" i="17"/>
  <c r="D41" i="17"/>
  <c r="C41" i="17"/>
  <c r="N40" i="17"/>
  <c r="M40" i="17"/>
  <c r="L40" i="17"/>
  <c r="K40" i="17"/>
  <c r="I40" i="17"/>
  <c r="H40" i="17"/>
  <c r="G40" i="17"/>
  <c r="D40" i="17"/>
  <c r="C40" i="17"/>
  <c r="N39" i="17"/>
  <c r="M39" i="17"/>
  <c r="L39" i="17"/>
  <c r="K39" i="17"/>
  <c r="I39" i="17"/>
  <c r="H39" i="17"/>
  <c r="G39" i="17"/>
  <c r="D39" i="17"/>
  <c r="C39" i="17"/>
  <c r="N38" i="17"/>
  <c r="M38" i="17"/>
  <c r="L38" i="17"/>
  <c r="K38" i="17"/>
  <c r="I38" i="17"/>
  <c r="H38" i="17"/>
  <c r="G38" i="17"/>
  <c r="D38" i="17"/>
  <c r="C38" i="17"/>
  <c r="N37" i="17"/>
  <c r="M37" i="17"/>
  <c r="L37" i="17"/>
  <c r="K37" i="17"/>
  <c r="I37" i="17"/>
  <c r="H37" i="17"/>
  <c r="G37" i="17"/>
  <c r="E37" i="17"/>
  <c r="F37" i="17" s="1"/>
  <c r="D37" i="17"/>
  <c r="C37" i="17"/>
  <c r="N36" i="17"/>
  <c r="M36" i="17"/>
  <c r="L36" i="17"/>
  <c r="K36" i="17"/>
  <c r="I36" i="17"/>
  <c r="H36" i="17"/>
  <c r="G36" i="17"/>
  <c r="D36" i="17"/>
  <c r="C36" i="17"/>
  <c r="N35" i="17"/>
  <c r="M35" i="17"/>
  <c r="L35" i="17"/>
  <c r="K35" i="17"/>
  <c r="I35" i="17"/>
  <c r="H35" i="17"/>
  <c r="G35" i="17"/>
  <c r="D35" i="17"/>
  <c r="C35" i="17"/>
  <c r="N34" i="17"/>
  <c r="M34" i="17"/>
  <c r="L34" i="17"/>
  <c r="K34" i="17"/>
  <c r="I34" i="17"/>
  <c r="H34" i="17"/>
  <c r="G34" i="17"/>
  <c r="D34" i="17"/>
  <c r="C34" i="17"/>
  <c r="N33" i="17"/>
  <c r="M33" i="17"/>
  <c r="L33" i="17"/>
  <c r="K33" i="17"/>
  <c r="I33" i="17"/>
  <c r="H33" i="17"/>
  <c r="G33" i="17"/>
  <c r="D33" i="17"/>
  <c r="C33" i="17"/>
  <c r="N32" i="17"/>
  <c r="M32" i="17"/>
  <c r="L32" i="17"/>
  <c r="K32" i="17"/>
  <c r="I32" i="17"/>
  <c r="H32" i="17"/>
  <c r="G32" i="17"/>
  <c r="D32" i="17"/>
  <c r="C32" i="17"/>
  <c r="N31" i="17"/>
  <c r="M31" i="17"/>
  <c r="L31" i="17"/>
  <c r="K31" i="17"/>
  <c r="I31" i="17"/>
  <c r="H31" i="17"/>
  <c r="G31" i="17"/>
  <c r="D31" i="17"/>
  <c r="C31" i="17"/>
  <c r="N30" i="17"/>
  <c r="M30" i="17"/>
  <c r="L30" i="17"/>
  <c r="K30" i="17"/>
  <c r="I30" i="17"/>
  <c r="H30" i="17"/>
  <c r="G30" i="17"/>
  <c r="D30" i="17"/>
  <c r="C30" i="17"/>
  <c r="N29" i="17"/>
  <c r="M29" i="17"/>
  <c r="L29" i="17"/>
  <c r="K29" i="17"/>
  <c r="I29" i="17"/>
  <c r="H29" i="17"/>
  <c r="G29" i="17"/>
  <c r="D29" i="17"/>
  <c r="C29" i="17"/>
  <c r="N28" i="17"/>
  <c r="M28" i="17"/>
  <c r="L28" i="17"/>
  <c r="K28" i="17"/>
  <c r="I28" i="17"/>
  <c r="H28" i="17"/>
  <c r="G28" i="17"/>
  <c r="D28" i="17"/>
  <c r="C28" i="17"/>
  <c r="N27" i="17"/>
  <c r="M27" i="17"/>
  <c r="L27" i="17"/>
  <c r="K27" i="17"/>
  <c r="I27" i="17"/>
  <c r="H27" i="17"/>
  <c r="G27" i="17"/>
  <c r="D27" i="17"/>
  <c r="C27" i="17"/>
  <c r="N26" i="17"/>
  <c r="M26" i="17"/>
  <c r="L26" i="17"/>
  <c r="K26" i="17"/>
  <c r="I26" i="17"/>
  <c r="H26" i="17"/>
  <c r="G26" i="17"/>
  <c r="D26" i="17"/>
  <c r="C26" i="17"/>
  <c r="N25" i="17"/>
  <c r="M25" i="17"/>
  <c r="L25" i="17"/>
  <c r="K25" i="17"/>
  <c r="I25" i="17"/>
  <c r="H25" i="17"/>
  <c r="G25" i="17"/>
  <c r="D25" i="17"/>
  <c r="C25" i="17"/>
  <c r="N24" i="17"/>
  <c r="M24" i="17"/>
  <c r="L24" i="17"/>
  <c r="K24" i="17"/>
  <c r="I24" i="17"/>
  <c r="H24" i="17"/>
  <c r="G24" i="17"/>
  <c r="D24" i="17"/>
  <c r="C24" i="17"/>
  <c r="N23" i="17"/>
  <c r="M23" i="17"/>
  <c r="L23" i="17"/>
  <c r="K23" i="17"/>
  <c r="I23" i="17"/>
  <c r="H23" i="17"/>
  <c r="G23" i="17"/>
  <c r="D23" i="17"/>
  <c r="C23" i="17"/>
  <c r="N22" i="17"/>
  <c r="M22" i="17"/>
  <c r="L22" i="17"/>
  <c r="K22" i="17"/>
  <c r="I22" i="17"/>
  <c r="H22" i="17"/>
  <c r="G22" i="17"/>
  <c r="D22" i="17"/>
  <c r="C22" i="17"/>
  <c r="N21" i="17"/>
  <c r="M21" i="17"/>
  <c r="L21" i="17"/>
  <c r="K21" i="17"/>
  <c r="I21" i="17"/>
  <c r="H21" i="17"/>
  <c r="G21" i="17"/>
  <c r="D21" i="17"/>
  <c r="C21" i="17"/>
  <c r="N20" i="17"/>
  <c r="M20" i="17"/>
  <c r="L20" i="17"/>
  <c r="K20" i="17"/>
  <c r="I20" i="17"/>
  <c r="H20" i="17"/>
  <c r="G20" i="17"/>
  <c r="D20" i="17"/>
  <c r="C20" i="17"/>
  <c r="N19" i="17"/>
  <c r="M19" i="17"/>
  <c r="L19" i="17"/>
  <c r="K19" i="17"/>
  <c r="I19" i="17"/>
  <c r="H19" i="17"/>
  <c r="G19" i="17"/>
  <c r="D19" i="17"/>
  <c r="C19" i="17"/>
  <c r="N18" i="17"/>
  <c r="M18" i="17"/>
  <c r="L18" i="17"/>
  <c r="K18" i="17"/>
  <c r="I18" i="17"/>
  <c r="H18" i="17"/>
  <c r="G18" i="17"/>
  <c r="D18" i="17"/>
  <c r="C18" i="17"/>
  <c r="N17" i="17"/>
  <c r="M17" i="17"/>
  <c r="L17" i="17"/>
  <c r="K17" i="17"/>
  <c r="I17" i="17"/>
  <c r="H17" i="17"/>
  <c r="G17" i="17"/>
  <c r="D17" i="17"/>
  <c r="C17" i="17"/>
  <c r="N16" i="17"/>
  <c r="M16" i="17"/>
  <c r="L16" i="17"/>
  <c r="K16" i="17"/>
  <c r="I16" i="17"/>
  <c r="H16" i="17"/>
  <c r="G16" i="17"/>
  <c r="D16" i="17"/>
  <c r="C16" i="17"/>
  <c r="N15" i="17"/>
  <c r="M15" i="17"/>
  <c r="L15" i="17"/>
  <c r="K15" i="17"/>
  <c r="I15" i="17"/>
  <c r="H15" i="17"/>
  <c r="G15" i="17"/>
  <c r="D15" i="17"/>
  <c r="C15" i="17"/>
  <c r="N14" i="17"/>
  <c r="M14" i="17"/>
  <c r="L14" i="17"/>
  <c r="K14" i="17"/>
  <c r="I14" i="17"/>
  <c r="H14" i="17"/>
  <c r="G14" i="17"/>
  <c r="D14" i="17"/>
  <c r="C14" i="17"/>
  <c r="N13" i="17"/>
  <c r="M13" i="17"/>
  <c r="L13" i="17"/>
  <c r="K13" i="17"/>
  <c r="I13" i="17"/>
  <c r="H13" i="17"/>
  <c r="G13" i="17"/>
  <c r="D13" i="17"/>
  <c r="C13" i="17"/>
  <c r="N12" i="17"/>
  <c r="M12" i="17"/>
  <c r="L12" i="17"/>
  <c r="K12" i="17"/>
  <c r="I12" i="17"/>
  <c r="H12" i="17"/>
  <c r="G12" i="17"/>
  <c r="D12" i="17"/>
  <c r="C12" i="17"/>
  <c r="N11" i="17"/>
  <c r="M11" i="17"/>
  <c r="L11" i="17"/>
  <c r="K11" i="17"/>
  <c r="I11" i="17"/>
  <c r="H11" i="17"/>
  <c r="G11" i="17"/>
  <c r="D11" i="17"/>
  <c r="C11" i="17"/>
  <c r="N10" i="17"/>
  <c r="M10" i="17"/>
  <c r="L10" i="17"/>
  <c r="K10" i="17"/>
  <c r="I10" i="17"/>
  <c r="H10" i="17"/>
  <c r="G10" i="17"/>
  <c r="D10" i="17"/>
  <c r="C10" i="17"/>
  <c r="N9" i="17"/>
  <c r="M9" i="17"/>
  <c r="L9" i="17"/>
  <c r="K9" i="17"/>
  <c r="I9" i="17"/>
  <c r="H9" i="17"/>
  <c r="G9" i="17"/>
  <c r="D9" i="17"/>
  <c r="C9" i="17"/>
  <c r="N8" i="17"/>
  <c r="M8" i="17"/>
  <c r="L8" i="17"/>
  <c r="K8" i="17"/>
  <c r="I8" i="17"/>
  <c r="H8" i="17"/>
  <c r="G8" i="17"/>
  <c r="D8" i="17"/>
  <c r="C8" i="17"/>
  <c r="N7" i="17"/>
  <c r="M7" i="17"/>
  <c r="L7" i="17"/>
  <c r="K7" i="17"/>
  <c r="I7" i="17"/>
  <c r="H7" i="17"/>
  <c r="G7" i="17"/>
  <c r="D7" i="17"/>
  <c r="C7" i="17"/>
  <c r="N6" i="17"/>
  <c r="M6" i="17"/>
  <c r="L6" i="17"/>
  <c r="K6" i="17"/>
  <c r="I6" i="17"/>
  <c r="H6" i="17"/>
  <c r="G6" i="17"/>
  <c r="D6" i="17"/>
  <c r="C6" i="17"/>
  <c r="N5" i="17"/>
  <c r="M5" i="17"/>
  <c r="L5" i="17"/>
  <c r="K5" i="17"/>
  <c r="I5" i="17"/>
  <c r="H5" i="17"/>
  <c r="G5" i="17"/>
  <c r="D5" i="17"/>
  <c r="C5" i="17"/>
  <c r="N4" i="17"/>
  <c r="M4" i="17"/>
  <c r="L4" i="17"/>
  <c r="K4" i="17"/>
  <c r="I4" i="17"/>
  <c r="H4" i="17"/>
  <c r="G4" i="17"/>
  <c r="D4" i="17"/>
  <c r="C4" i="17"/>
  <c r="M47" i="14"/>
  <c r="L47" i="14"/>
  <c r="K47" i="14"/>
  <c r="J47" i="14"/>
  <c r="I47" i="14"/>
  <c r="H47" i="14"/>
  <c r="G47" i="14"/>
  <c r="D47" i="14"/>
  <c r="N47" i="14"/>
  <c r="C47" i="14"/>
  <c r="M46" i="14"/>
  <c r="L46" i="14"/>
  <c r="K46" i="14"/>
  <c r="J46" i="14"/>
  <c r="I46" i="14"/>
  <c r="H46" i="14"/>
  <c r="G46" i="14"/>
  <c r="D46" i="14"/>
  <c r="N46" i="14"/>
  <c r="C46" i="14"/>
  <c r="M45" i="14"/>
  <c r="L45" i="14"/>
  <c r="K45" i="14"/>
  <c r="J45" i="14"/>
  <c r="I45" i="14"/>
  <c r="H45" i="14"/>
  <c r="G45" i="14"/>
  <c r="D45" i="14"/>
  <c r="N45" i="14"/>
  <c r="C45" i="14"/>
  <c r="M44" i="14"/>
  <c r="L44" i="14"/>
  <c r="K44" i="14"/>
  <c r="J44" i="14"/>
  <c r="I44" i="14"/>
  <c r="H44" i="14"/>
  <c r="G44" i="14"/>
  <c r="D44" i="14"/>
  <c r="N44" i="14"/>
  <c r="C44" i="14"/>
  <c r="M43" i="14"/>
  <c r="L43" i="14"/>
  <c r="K43" i="14"/>
  <c r="J43" i="14"/>
  <c r="I43" i="14"/>
  <c r="H43" i="14"/>
  <c r="G43" i="14"/>
  <c r="D43" i="14"/>
  <c r="N43" i="14"/>
  <c r="C43" i="14"/>
  <c r="M42" i="14"/>
  <c r="L42" i="14"/>
  <c r="K42" i="14"/>
  <c r="J42" i="14"/>
  <c r="I42" i="14"/>
  <c r="H42" i="14"/>
  <c r="G42" i="14"/>
  <c r="D42" i="14"/>
  <c r="N42" i="14"/>
  <c r="C42" i="14"/>
  <c r="M41" i="14"/>
  <c r="L41" i="14"/>
  <c r="K41" i="14"/>
  <c r="J41" i="14"/>
  <c r="I41" i="14"/>
  <c r="H41" i="14"/>
  <c r="G41" i="14"/>
  <c r="D41" i="14"/>
  <c r="N41" i="14"/>
  <c r="C41" i="14"/>
  <c r="M40" i="14"/>
  <c r="L40" i="14"/>
  <c r="K40" i="14"/>
  <c r="J40" i="14"/>
  <c r="I40" i="14"/>
  <c r="H40" i="14"/>
  <c r="G40" i="14"/>
  <c r="D40" i="14"/>
  <c r="N40" i="14"/>
  <c r="C40" i="14"/>
  <c r="M39" i="14"/>
  <c r="L39" i="14"/>
  <c r="K39" i="14"/>
  <c r="J39" i="14"/>
  <c r="I39" i="14"/>
  <c r="H39" i="14"/>
  <c r="G39" i="14"/>
  <c r="D39" i="14"/>
  <c r="N39" i="14"/>
  <c r="C39" i="14"/>
  <c r="M38" i="14"/>
  <c r="L38" i="14"/>
  <c r="K38" i="14"/>
  <c r="J38" i="14"/>
  <c r="I38" i="14"/>
  <c r="H38" i="14"/>
  <c r="G38" i="14"/>
  <c r="D38" i="14"/>
  <c r="N38" i="14"/>
  <c r="C38" i="14"/>
  <c r="M37" i="14"/>
  <c r="L37" i="14"/>
  <c r="K37" i="14"/>
  <c r="J37" i="14"/>
  <c r="I37" i="14"/>
  <c r="H37" i="14"/>
  <c r="G37" i="14"/>
  <c r="E37" i="14"/>
  <c r="D37" i="14"/>
  <c r="N37" i="14"/>
  <c r="C37" i="14"/>
  <c r="M36" i="14"/>
  <c r="L36" i="14"/>
  <c r="K36" i="14"/>
  <c r="J36" i="14"/>
  <c r="I36" i="14"/>
  <c r="H36" i="14"/>
  <c r="G36" i="14"/>
  <c r="D36" i="14"/>
  <c r="N36" i="14"/>
  <c r="C36" i="14"/>
  <c r="M35" i="14"/>
  <c r="L35" i="14"/>
  <c r="K35" i="14"/>
  <c r="J35" i="14"/>
  <c r="I35" i="14"/>
  <c r="H35" i="14"/>
  <c r="G35" i="14"/>
  <c r="D35" i="14"/>
  <c r="N35" i="14"/>
  <c r="C35" i="14"/>
  <c r="M34" i="14"/>
  <c r="L34" i="14"/>
  <c r="K34" i="14"/>
  <c r="J34" i="14"/>
  <c r="I34" i="14"/>
  <c r="H34" i="14"/>
  <c r="G34" i="14"/>
  <c r="D34" i="14"/>
  <c r="N34" i="14"/>
  <c r="C34" i="14"/>
  <c r="M33" i="14"/>
  <c r="L33" i="14"/>
  <c r="K33" i="14"/>
  <c r="J33" i="14"/>
  <c r="I33" i="14"/>
  <c r="H33" i="14"/>
  <c r="G33" i="14"/>
  <c r="D33" i="14"/>
  <c r="N33" i="14"/>
  <c r="C33" i="14"/>
  <c r="M32" i="14"/>
  <c r="L32" i="14"/>
  <c r="K32" i="14"/>
  <c r="J32" i="14"/>
  <c r="I32" i="14"/>
  <c r="H32" i="14"/>
  <c r="G32" i="14"/>
  <c r="D32" i="14"/>
  <c r="N32" i="14"/>
  <c r="C32" i="14"/>
  <c r="M31" i="14"/>
  <c r="L31" i="14"/>
  <c r="K31" i="14"/>
  <c r="J31" i="14"/>
  <c r="I31" i="14"/>
  <c r="H31" i="14"/>
  <c r="G31" i="14"/>
  <c r="D31" i="14"/>
  <c r="N31" i="14"/>
  <c r="C31" i="14"/>
  <c r="M30" i="14"/>
  <c r="L30" i="14"/>
  <c r="K30" i="14"/>
  <c r="J30" i="14"/>
  <c r="I30" i="14"/>
  <c r="H30" i="14"/>
  <c r="G30" i="14"/>
  <c r="D30" i="14"/>
  <c r="N30" i="14"/>
  <c r="C30" i="14"/>
  <c r="M29" i="14"/>
  <c r="L29" i="14"/>
  <c r="K29" i="14"/>
  <c r="J29" i="14"/>
  <c r="I29" i="14"/>
  <c r="H29" i="14"/>
  <c r="G29" i="14"/>
  <c r="D29" i="14"/>
  <c r="N29" i="14"/>
  <c r="C29" i="14"/>
  <c r="M28" i="14"/>
  <c r="L28" i="14"/>
  <c r="K28" i="14"/>
  <c r="J28" i="14"/>
  <c r="I28" i="14"/>
  <c r="H28" i="14"/>
  <c r="G28" i="14"/>
  <c r="D28" i="14"/>
  <c r="N28" i="14"/>
  <c r="C28" i="14"/>
  <c r="M27" i="14"/>
  <c r="L27" i="14"/>
  <c r="K27" i="14"/>
  <c r="J27" i="14"/>
  <c r="I27" i="14"/>
  <c r="H27" i="14"/>
  <c r="G27" i="14"/>
  <c r="D27" i="14"/>
  <c r="N27" i="14"/>
  <c r="C27" i="14"/>
  <c r="M26" i="14"/>
  <c r="L26" i="14"/>
  <c r="K26" i="14"/>
  <c r="J26" i="14"/>
  <c r="I26" i="14"/>
  <c r="H26" i="14"/>
  <c r="G26" i="14"/>
  <c r="D26" i="14"/>
  <c r="N26" i="14"/>
  <c r="C26" i="14"/>
  <c r="M25" i="14"/>
  <c r="L25" i="14"/>
  <c r="K25" i="14"/>
  <c r="J25" i="14"/>
  <c r="I25" i="14"/>
  <c r="H25" i="14"/>
  <c r="G25" i="14"/>
  <c r="D25" i="14"/>
  <c r="N25" i="14"/>
  <c r="C25" i="14"/>
  <c r="M24" i="14"/>
  <c r="L24" i="14"/>
  <c r="K24" i="14"/>
  <c r="J24" i="14"/>
  <c r="I24" i="14"/>
  <c r="H24" i="14"/>
  <c r="G24" i="14"/>
  <c r="D24" i="14"/>
  <c r="N24" i="14"/>
  <c r="C24" i="14"/>
  <c r="M23" i="14"/>
  <c r="L23" i="14"/>
  <c r="K23" i="14"/>
  <c r="J23" i="14"/>
  <c r="I23" i="14"/>
  <c r="H23" i="14"/>
  <c r="G23" i="14"/>
  <c r="D23" i="14"/>
  <c r="N23" i="14"/>
  <c r="C23" i="14"/>
  <c r="M22" i="14"/>
  <c r="L22" i="14"/>
  <c r="K22" i="14"/>
  <c r="J22" i="14"/>
  <c r="I22" i="14"/>
  <c r="H22" i="14"/>
  <c r="G22" i="14"/>
  <c r="D22" i="14"/>
  <c r="N22" i="14"/>
  <c r="C22" i="14"/>
  <c r="M21" i="14"/>
  <c r="L21" i="14"/>
  <c r="K21" i="14"/>
  <c r="J21" i="14"/>
  <c r="I21" i="14"/>
  <c r="H21" i="14"/>
  <c r="G21" i="14"/>
  <c r="D21" i="14"/>
  <c r="N21" i="14"/>
  <c r="C21" i="14"/>
  <c r="M20" i="14"/>
  <c r="L20" i="14"/>
  <c r="K20" i="14"/>
  <c r="J20" i="14"/>
  <c r="I20" i="14"/>
  <c r="H20" i="14"/>
  <c r="G20" i="14"/>
  <c r="D20" i="14"/>
  <c r="N20" i="14"/>
  <c r="C20" i="14"/>
  <c r="M19" i="14"/>
  <c r="L19" i="14"/>
  <c r="K19" i="14"/>
  <c r="J19" i="14"/>
  <c r="I19" i="14"/>
  <c r="H19" i="14"/>
  <c r="G19" i="14"/>
  <c r="D19" i="14"/>
  <c r="N19" i="14"/>
  <c r="C19" i="14"/>
  <c r="M18" i="14"/>
  <c r="L18" i="14"/>
  <c r="K18" i="14"/>
  <c r="J18" i="14"/>
  <c r="I18" i="14"/>
  <c r="H18" i="14"/>
  <c r="G18" i="14"/>
  <c r="D18" i="14"/>
  <c r="N18" i="14"/>
  <c r="C18" i="14"/>
  <c r="M17" i="14"/>
  <c r="L17" i="14"/>
  <c r="K17" i="14"/>
  <c r="J17" i="14"/>
  <c r="I17" i="14"/>
  <c r="H17" i="14"/>
  <c r="G17" i="14"/>
  <c r="D17" i="14"/>
  <c r="N17" i="14"/>
  <c r="C17" i="14"/>
  <c r="M16" i="14"/>
  <c r="L16" i="14"/>
  <c r="K16" i="14"/>
  <c r="J16" i="14"/>
  <c r="I16" i="14"/>
  <c r="H16" i="14"/>
  <c r="G16" i="14"/>
  <c r="D16" i="14"/>
  <c r="N16" i="14"/>
  <c r="C16" i="14"/>
  <c r="M15" i="14"/>
  <c r="L15" i="14"/>
  <c r="K15" i="14"/>
  <c r="J15" i="14"/>
  <c r="I15" i="14"/>
  <c r="H15" i="14"/>
  <c r="G15" i="14"/>
  <c r="D15" i="14"/>
  <c r="N15" i="14"/>
  <c r="C15" i="14"/>
  <c r="M14" i="14"/>
  <c r="L14" i="14"/>
  <c r="K14" i="14"/>
  <c r="J14" i="14"/>
  <c r="I14" i="14"/>
  <c r="H14" i="14"/>
  <c r="G14" i="14"/>
  <c r="D14" i="14"/>
  <c r="N14" i="14"/>
  <c r="C14" i="14"/>
  <c r="M13" i="14"/>
  <c r="L13" i="14"/>
  <c r="K13" i="14"/>
  <c r="J13" i="14"/>
  <c r="I13" i="14"/>
  <c r="H13" i="14"/>
  <c r="G13" i="14"/>
  <c r="D13" i="14"/>
  <c r="N13" i="14"/>
  <c r="C13" i="14"/>
  <c r="M12" i="14"/>
  <c r="L12" i="14"/>
  <c r="K12" i="14"/>
  <c r="J12" i="14"/>
  <c r="I12" i="14"/>
  <c r="H12" i="14"/>
  <c r="G12" i="14"/>
  <c r="D12" i="14"/>
  <c r="N12" i="14"/>
  <c r="C12" i="14"/>
  <c r="M11" i="14"/>
  <c r="L11" i="14"/>
  <c r="K11" i="14"/>
  <c r="J11" i="14"/>
  <c r="I11" i="14"/>
  <c r="H11" i="14"/>
  <c r="G11" i="14"/>
  <c r="D11" i="14"/>
  <c r="N11" i="14"/>
  <c r="C11" i="14"/>
  <c r="M10" i="14"/>
  <c r="L10" i="14"/>
  <c r="K10" i="14"/>
  <c r="J10" i="14"/>
  <c r="I10" i="14"/>
  <c r="H10" i="14"/>
  <c r="G10" i="14"/>
  <c r="D10" i="14"/>
  <c r="N10" i="14"/>
  <c r="C10" i="14"/>
  <c r="M9" i="14"/>
  <c r="L9" i="14"/>
  <c r="K9" i="14"/>
  <c r="J9" i="14"/>
  <c r="I9" i="14"/>
  <c r="H9" i="14"/>
  <c r="G9" i="14"/>
  <c r="D9" i="14"/>
  <c r="N9" i="14"/>
  <c r="C9" i="14"/>
  <c r="M8" i="14"/>
  <c r="L8" i="14"/>
  <c r="K8" i="14"/>
  <c r="J8" i="14"/>
  <c r="I8" i="14"/>
  <c r="H8" i="14"/>
  <c r="G8" i="14"/>
  <c r="D8" i="14"/>
  <c r="N8" i="14"/>
  <c r="C8" i="14"/>
  <c r="M7" i="14"/>
  <c r="L7" i="14"/>
  <c r="K7" i="14"/>
  <c r="J7" i="14"/>
  <c r="I7" i="14"/>
  <c r="H7" i="14"/>
  <c r="G7" i="14"/>
  <c r="D7" i="14"/>
  <c r="N7" i="14"/>
  <c r="C7" i="14"/>
  <c r="M6" i="14"/>
  <c r="L6" i="14"/>
  <c r="K6" i="14"/>
  <c r="J6" i="14"/>
  <c r="I6" i="14"/>
  <c r="H6" i="14"/>
  <c r="G6" i="14"/>
  <c r="D6" i="14"/>
  <c r="N6" i="14"/>
  <c r="C6" i="14"/>
  <c r="M5" i="14"/>
  <c r="L5" i="14"/>
  <c r="K5" i="14"/>
  <c r="J5" i="14"/>
  <c r="I5" i="14"/>
  <c r="H5" i="14"/>
  <c r="G5" i="14"/>
  <c r="D5" i="14"/>
  <c r="N5" i="14"/>
  <c r="C5" i="14"/>
  <c r="M4" i="14"/>
  <c r="L4" i="14"/>
  <c r="K4" i="14"/>
  <c r="J4" i="14"/>
  <c r="I4" i="14"/>
  <c r="H4" i="14"/>
  <c r="G4" i="14"/>
  <c r="D4" i="14"/>
  <c r="N4" i="14"/>
  <c r="C4" i="14"/>
  <c r="B8" i="11"/>
  <c r="C49" i="10"/>
  <c r="B49" i="10"/>
  <c r="C1567" i="1"/>
  <c r="D32" i="21" s="1"/>
  <c r="L47" i="15"/>
  <c r="K47" i="15"/>
  <c r="J47" i="15"/>
  <c r="I47" i="15"/>
  <c r="H47" i="15"/>
  <c r="G47" i="15"/>
  <c r="F47" i="15"/>
  <c r="E47" i="15"/>
  <c r="D47" i="15"/>
  <c r="C47" i="15"/>
  <c r="D47" i="13"/>
  <c r="C47" i="13"/>
  <c r="B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K2294" i="1"/>
  <c r="E44" i="14" s="1"/>
  <c r="E38" i="14"/>
  <c r="K829" i="1"/>
  <c r="E45" i="14" s="1"/>
  <c r="E13" i="14"/>
  <c r="D33" i="10"/>
  <c r="C33" i="10"/>
  <c r="B33" i="10"/>
  <c r="C2195" i="1"/>
  <c r="D44" i="21" s="1"/>
  <c r="C2143" i="1"/>
  <c r="D43" i="21" s="1"/>
  <c r="C1931" i="1"/>
  <c r="D39" i="21" s="1"/>
  <c r="C1879" i="1"/>
  <c r="D38" i="21" s="1"/>
  <c r="C1775" i="1"/>
  <c r="D36" i="21" s="1"/>
  <c r="C1671" i="1"/>
  <c r="D34" i="21" s="1"/>
  <c r="C1619" i="1"/>
  <c r="D33" i="21" s="1"/>
  <c r="C1463" i="1"/>
  <c r="D30" i="21" s="1"/>
  <c r="C1410" i="1"/>
  <c r="D29" i="21" s="1"/>
  <c r="C1253" i="1"/>
  <c r="D26" i="21" s="1"/>
  <c r="C1149" i="1"/>
  <c r="D24" i="21" s="1"/>
  <c r="C1097" i="1"/>
  <c r="D23" i="21" s="1"/>
  <c r="C1044" i="1"/>
  <c r="D22" i="21" s="1"/>
  <c r="C992" i="1"/>
  <c r="D21" i="21" s="1"/>
  <c r="C938" i="1"/>
  <c r="D20" i="21" s="1"/>
  <c r="C886" i="1"/>
  <c r="D19" i="21" s="1"/>
  <c r="C782" i="1"/>
  <c r="D17" i="21" s="1"/>
  <c r="C678" i="1"/>
  <c r="D15" i="21" s="1"/>
  <c r="C626" i="1"/>
  <c r="D14" i="21" s="1"/>
  <c r="C573" i="1"/>
  <c r="D13" i="21" s="1"/>
  <c r="C521" i="1"/>
  <c r="D12" i="21" s="1"/>
  <c r="C417" i="1"/>
  <c r="D10" i="21" s="1"/>
  <c r="C365" i="1"/>
  <c r="D9" i="21" s="1"/>
  <c r="C312" i="1"/>
  <c r="D8" i="21" s="1"/>
  <c r="C260" i="1"/>
  <c r="D7" i="21" s="1"/>
  <c r="C208" i="1"/>
  <c r="D6" i="21" s="1"/>
  <c r="C155" i="1"/>
  <c r="D5" i="21" s="1"/>
  <c r="C103" i="1"/>
  <c r="D4" i="21" s="1"/>
  <c r="C50" i="1"/>
  <c r="D3" i="21" s="1"/>
  <c r="Q19" i="17" l="1"/>
  <c r="N18" i="19"/>
  <c r="U18" i="19" s="1"/>
  <c r="V18" i="19" s="1"/>
  <c r="U4" i="19"/>
  <c r="V12" i="19"/>
  <c r="V36" i="19"/>
  <c r="U42" i="19"/>
  <c r="V42" i="19" s="1"/>
  <c r="V4" i="19"/>
  <c r="V27" i="19"/>
  <c r="V30" i="19"/>
  <c r="V38" i="19"/>
  <c r="U5" i="19"/>
  <c r="U17" i="19"/>
  <c r="U29" i="19"/>
  <c r="U41" i="19"/>
  <c r="V22" i="19"/>
  <c r="V35" i="19"/>
  <c r="U13" i="19"/>
  <c r="V13" i="19" s="1"/>
  <c r="U25" i="19"/>
  <c r="V25" i="19" s="1"/>
  <c r="U37" i="19"/>
  <c r="V37" i="19" s="1"/>
  <c r="V9" i="19"/>
  <c r="V7" i="19"/>
  <c r="V31" i="19"/>
  <c r="V43" i="19"/>
  <c r="U38" i="19"/>
  <c r="V40" i="19"/>
  <c r="U8" i="19"/>
  <c r="U14" i="19"/>
  <c r="V14" i="19" s="1"/>
  <c r="U26" i="19"/>
  <c r="V11" i="19"/>
  <c r="V26" i="19"/>
  <c r="U9" i="19"/>
  <c r="U21" i="19"/>
  <c r="U33" i="19"/>
  <c r="U45" i="19"/>
  <c r="V45" i="19" s="1"/>
  <c r="U11" i="19"/>
  <c r="U23" i="19"/>
  <c r="U35" i="19"/>
  <c r="V23" i="19"/>
  <c r="V33" i="19"/>
  <c r="V28" i="19"/>
  <c r="V24" i="19"/>
  <c r="V5" i="19"/>
  <c r="V39" i="19"/>
  <c r="V15" i="19"/>
  <c r="V41" i="19"/>
  <c r="V17" i="19"/>
  <c r="V19" i="19"/>
  <c r="V29" i="19"/>
  <c r="V16" i="19"/>
  <c r="V8" i="19"/>
  <c r="V21" i="19"/>
  <c r="V44" i="19"/>
  <c r="P47" i="19"/>
  <c r="Q47" i="19"/>
  <c r="R47" i="19"/>
  <c r="S47" i="19"/>
  <c r="T47" i="19"/>
  <c r="O6" i="19"/>
  <c r="Q38" i="17"/>
  <c r="Q9" i="17"/>
  <c r="M47" i="19"/>
  <c r="E16" i="17"/>
  <c r="F16" i="17" s="1"/>
  <c r="E4" i="20"/>
  <c r="E8" i="20"/>
  <c r="E12" i="20"/>
  <c r="E16" i="20"/>
  <c r="E20" i="20"/>
  <c r="E24" i="20"/>
  <c r="E28" i="20"/>
  <c r="E32" i="20"/>
  <c r="E36" i="20"/>
  <c r="E40" i="20"/>
  <c r="E44" i="20"/>
  <c r="B47" i="21"/>
  <c r="C47" i="21"/>
  <c r="D47" i="21"/>
  <c r="E5" i="20"/>
  <c r="E9" i="20"/>
  <c r="E13" i="20"/>
  <c r="E17" i="20"/>
  <c r="E21" i="20"/>
  <c r="E25" i="20"/>
  <c r="E29" i="20"/>
  <c r="E33" i="20"/>
  <c r="E37" i="20"/>
  <c r="E41" i="20"/>
  <c r="E45" i="20"/>
  <c r="E6" i="20"/>
  <c r="E10" i="20"/>
  <c r="E14" i="20"/>
  <c r="E18" i="20"/>
  <c r="E22" i="20"/>
  <c r="E26" i="20"/>
  <c r="E30" i="20"/>
  <c r="E34" i="20"/>
  <c r="E38" i="20"/>
  <c r="E42" i="20"/>
  <c r="E46" i="20"/>
  <c r="B47" i="20"/>
  <c r="E7" i="20"/>
  <c r="E11" i="20"/>
  <c r="E15" i="20"/>
  <c r="E19" i="20"/>
  <c r="E23" i="20"/>
  <c r="E27" i="20"/>
  <c r="E31" i="20"/>
  <c r="E35" i="20"/>
  <c r="E39" i="20"/>
  <c r="E43" i="20"/>
  <c r="C47" i="20"/>
  <c r="D47" i="20"/>
  <c r="E3" i="20"/>
  <c r="E27" i="19"/>
  <c r="E19" i="19"/>
  <c r="C47" i="19"/>
  <c r="D47" i="19"/>
  <c r="E10" i="19"/>
  <c r="E41" i="19"/>
  <c r="E32" i="19"/>
  <c r="H47" i="19"/>
  <c r="E23" i="19"/>
  <c r="I47" i="19"/>
  <c r="J47" i="19"/>
  <c r="E6" i="19"/>
  <c r="K47" i="19"/>
  <c r="E37" i="19"/>
  <c r="L47" i="19"/>
  <c r="E5" i="19"/>
  <c r="E14" i="19"/>
  <c r="E26" i="19"/>
  <c r="E45" i="19"/>
  <c r="E4" i="19"/>
  <c r="E9" i="19"/>
  <c r="E31" i="19"/>
  <c r="E40" i="19"/>
  <c r="E44" i="19"/>
  <c r="E13" i="19"/>
  <c r="E18" i="19"/>
  <c r="E22" i="19"/>
  <c r="E25" i="19"/>
  <c r="E35" i="19"/>
  <c r="E8" i="19"/>
  <c r="E30" i="19"/>
  <c r="E43" i="19"/>
  <c r="E12" i="19"/>
  <c r="E17" i="19"/>
  <c r="E24" i="19"/>
  <c r="E34" i="19"/>
  <c r="E39" i="19"/>
  <c r="E7" i="19"/>
  <c r="E21" i="19"/>
  <c r="E29" i="19"/>
  <c r="E16" i="19"/>
  <c r="E38" i="19"/>
  <c r="E11" i="19"/>
  <c r="E20" i="19"/>
  <c r="E28" i="19"/>
  <c r="E33" i="19"/>
  <c r="E42" i="19"/>
  <c r="E15" i="19"/>
  <c r="E46" i="19"/>
  <c r="F47" i="19"/>
  <c r="G47" i="19"/>
  <c r="E7" i="17"/>
  <c r="F7" i="17" s="1"/>
  <c r="E14" i="17"/>
  <c r="F14" i="17" s="1"/>
  <c r="E29" i="17"/>
  <c r="F29" i="17" s="1"/>
  <c r="E44" i="17"/>
  <c r="F44" i="17" s="1"/>
  <c r="E6" i="17"/>
  <c r="F6" i="17" s="1"/>
  <c r="E13" i="17"/>
  <c r="F13" i="17" s="1"/>
  <c r="E21" i="17"/>
  <c r="F21" i="17" s="1"/>
  <c r="E36" i="17"/>
  <c r="F36" i="17" s="1"/>
  <c r="E20" i="17"/>
  <c r="F20" i="17" s="1"/>
  <c r="E35" i="17"/>
  <c r="F35" i="17" s="1"/>
  <c r="E24" i="14"/>
  <c r="F24" i="14" s="1"/>
  <c r="F36" i="14"/>
  <c r="E34" i="17"/>
  <c r="F34" i="17" s="1"/>
  <c r="E17" i="14"/>
  <c r="F17" i="14" s="1"/>
  <c r="E26" i="17"/>
  <c r="F26" i="17" s="1"/>
  <c r="E10" i="14"/>
  <c r="F16" i="14"/>
  <c r="F9" i="14"/>
  <c r="E32" i="17"/>
  <c r="F32" i="17" s="1"/>
  <c r="E18" i="17"/>
  <c r="F18" i="17" s="1"/>
  <c r="E22" i="17"/>
  <c r="F22" i="17" s="1"/>
  <c r="E30" i="17"/>
  <c r="F30" i="17" s="1"/>
  <c r="E33" i="17"/>
  <c r="F33" i="17" s="1"/>
  <c r="E38" i="17"/>
  <c r="F38" i="17" s="1"/>
  <c r="E39" i="17"/>
  <c r="F39" i="17" s="1"/>
  <c r="E40" i="17"/>
  <c r="F40" i="17" s="1"/>
  <c r="E41" i="17"/>
  <c r="F41" i="17" s="1"/>
  <c r="E42" i="17"/>
  <c r="F42" i="17" s="1"/>
  <c r="E43" i="17"/>
  <c r="F43" i="17" s="1"/>
  <c r="E45" i="17"/>
  <c r="F45" i="17" s="1"/>
  <c r="E46" i="17"/>
  <c r="F46" i="17" s="1"/>
  <c r="E47" i="17"/>
  <c r="F47" i="17" s="1"/>
  <c r="E4" i="17"/>
  <c r="F4" i="17" s="1"/>
  <c r="E8" i="17"/>
  <c r="F8" i="17" s="1"/>
  <c r="E12" i="17"/>
  <c r="F12" i="17" s="1"/>
  <c r="E27" i="17"/>
  <c r="F27" i="17" s="1"/>
  <c r="E31" i="17"/>
  <c r="F31" i="17" s="1"/>
  <c r="F15" i="14"/>
  <c r="F8" i="14"/>
  <c r="E5" i="17"/>
  <c r="F5" i="17" s="1"/>
  <c r="E9" i="17"/>
  <c r="F9" i="17" s="1"/>
  <c r="E11" i="17"/>
  <c r="F11" i="17" s="1"/>
  <c r="E15" i="17"/>
  <c r="F15" i="17" s="1"/>
  <c r="E19" i="17"/>
  <c r="F19" i="17" s="1"/>
  <c r="E23" i="17"/>
  <c r="F23" i="17" s="1"/>
  <c r="E25" i="17"/>
  <c r="F25" i="17" s="1"/>
  <c r="E28" i="17"/>
  <c r="F28" i="17" s="1"/>
  <c r="F6" i="14"/>
  <c r="F4" i="14"/>
  <c r="F12" i="14"/>
  <c r="F19" i="14"/>
  <c r="C48" i="14"/>
  <c r="F37" i="14"/>
  <c r="F43" i="14"/>
  <c r="F30" i="14"/>
  <c r="F23" i="14"/>
  <c r="F42" i="14"/>
  <c r="F29" i="14"/>
  <c r="F35" i="14"/>
  <c r="F7" i="14"/>
  <c r="F22" i="14"/>
  <c r="F41" i="14"/>
  <c r="F47" i="14"/>
  <c r="F14" i="14"/>
  <c r="F28" i="14"/>
  <c r="F34" i="14"/>
  <c r="F21" i="14"/>
  <c r="F40" i="14"/>
  <c r="F46" i="14"/>
  <c r="F5" i="14"/>
  <c r="F13" i="14"/>
  <c r="F27" i="14"/>
  <c r="F33" i="14"/>
  <c r="F20" i="14"/>
  <c r="F39" i="14"/>
  <c r="F45" i="14"/>
  <c r="F26" i="14"/>
  <c r="F32" i="14"/>
  <c r="F11" i="14"/>
  <c r="F38" i="14"/>
  <c r="F44" i="14"/>
  <c r="F18" i="14"/>
  <c r="F25" i="14"/>
  <c r="F31" i="14"/>
  <c r="K48" i="14"/>
  <c r="N48" i="14"/>
  <c r="M48" i="14"/>
  <c r="I48" i="14"/>
  <c r="H48" i="14"/>
  <c r="G48" i="14"/>
  <c r="L48" i="14"/>
  <c r="J48" i="14"/>
  <c r="D48" i="14"/>
  <c r="M47" i="15"/>
  <c r="E47" i="13"/>
  <c r="N47" i="19" l="1"/>
  <c r="O47" i="19"/>
  <c r="U6" i="19"/>
  <c r="E47" i="20"/>
  <c r="E47" i="19"/>
  <c r="E48" i="14"/>
  <c r="F10" i="14"/>
  <c r="F48" i="14" s="1"/>
  <c r="V6" i="19" l="1"/>
  <c r="V47" i="19" s="1"/>
  <c r="U47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tc={A14E77F2-61D3-4A21-A451-0B373EF8FE7D}</author>
    <author>tc={5E5A260E-3883-4683-89BE-B9579CC072CA}</author>
    <author>tc={1A1002B4-8C89-409C-9A13-B6FD46687755}</author>
    <author>tc={16237E93-D02F-4435-9B77-61C7FD02972F}</author>
    <author>tc={614D1654-2A8C-427D-B52D-F42F71739B9E}</author>
    <author>tc={7519BD48-C650-48B2-A8D0-E5A22F8B94F3}</author>
    <author>tc={3B9D6662-4A86-4701-9A4D-BBF1D6F0419D}</author>
    <author>tc={D4357116-75C9-4764-9655-AE52B909F66E}</author>
    <author>tc={CD5C53B0-AA32-4A6B-9550-5FAA5EA4C13C}</author>
    <author>tc={1C17E920-F8BD-4633-B48D-C21853FBD45F}</author>
    <author>tc={824D4894-AC58-4FFB-8BA2-6CABD116AF81}</author>
    <author>tc={501BC6FF-AE97-4B17-9AA9-FCA93C5F48B3}</author>
    <author>tc={BB1D54A0-7C21-4F1E-9073-683934BF448A}</author>
    <author>tc={8DD50C2F-ABAB-4988-B08E-12DBF366DEE0}</author>
    <author>tc={299387A3-B179-40A5-81A1-139E1074DAF0}</author>
    <author>tc={25D110FB-A33A-432E-8741-9A9A64BC09A6}</author>
    <author>tc={BC624CB7-099E-44A6-95FA-192560BD1C1F}</author>
    <author>tc={B91FD662-6E79-4106-B7DD-99BD695FA5C1}</author>
    <author>tc={2E0D3A23-3A11-4F46-ACB0-960E22AC7EBA}</author>
    <author>tc={DE1DADEE-CDBC-4E4A-BBA2-4EE7C2185C3D}</author>
    <author>tc={AEDAD4A5-BE4C-41FE-A287-0396E996BFD5}</author>
    <author>tc={81F18E60-CC7A-4683-8046-2C25CE9C5AE0}</author>
    <author>tc={26CD0E76-A14A-4B04-BC67-5068C3194D92}</author>
    <author>tc={7F630173-E87F-4220-A3A9-4B2D9A106560}</author>
    <author>tc={C6EE6E72-1EE9-45A8-91DB-86CC284B7351}</author>
    <author>tc={A720AD18-B57B-4B22-9361-96EB38A139F2}</author>
    <author>tc={05BCC6B7-00D6-4169-AD81-6FC3E71318C1}</author>
    <author>tc={3F70626E-F007-4D2C-961F-119567979BD4}</author>
    <author>tc={0566DBD1-C6CB-4E73-A3CF-F1DB1FE3CC40}</author>
    <author>tc={E0E28AFF-AB04-45DE-9B6C-112BEA0E00D0}</author>
  </authors>
  <commentList>
    <comment ref="C48" authorId="0" shapeId="0" xr:uid="{A14E77F2-61D3-4A21-A451-0B373EF8FE7D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הופחתו 0.80 שע' חוסר מדומה: 01.04: -0.40שע (ע.חג מדומה); 07.04: -0.40שע (ע.חג מדומה)</t>
      </text>
    </comment>
    <comment ref="C101" authorId="1" shapeId="0" xr:uid="{5E5A260E-3883-4683-89BE-B9579CC072CA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הופחתו 0.50 שע' חוסר מדומה: 01.04: -0.50שע (ע.חג מדומה)</t>
      </text>
    </comment>
    <comment ref="C153" authorId="2" shapeId="0" xr:uid="{1A1002B4-8C89-409C-9A13-B6FD46687755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הופחתו 1.00 שע' חוסר מדומה: 01.04: -0.50שע (ע.חג מדומה); 07.04: -0.50שע (ע.חג מדומה)</t>
      </text>
    </comment>
    <comment ref="C206" authorId="3" shapeId="0" xr:uid="{16237E93-D02F-4435-9B77-61C7FD02972F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הופחתו 1.50 שע' חוסר מדומה: 01.04: -0.50שע (ע.חג מדומה); 07.04: -0.50שע (ע.חג מדומה); 21.04: -0.50שע (ע.חג מדומה)</t>
      </text>
    </comment>
    <comment ref="C258" authorId="4" shapeId="0" xr:uid="{614D1654-2A8C-427D-B52D-F42F71739B9E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תאונת עבודה - כל החודש (אופסו 118 שע' חוסר)</t>
      </text>
    </comment>
    <comment ref="C310" authorId="5" shapeId="0" xr:uid="{7519BD48-C650-48B2-A8D0-E5A22F8B94F3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הופחתו 1.00 שע' חוסר מדומה: 01.04: -0.50שע (ע.חג מדומה); 07.04: -0.50שע (ע.חג מדומה)</t>
      </text>
    </comment>
    <comment ref="C363" authorId="6" shapeId="0" xr:uid="{3B9D6662-4A86-4701-9A4D-BBF1D6F0419D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הופחתו 1.00 שע' חוסר מדומה: 01.04: -0.50שע (ע.חג מדומה); 07.04: -0.50שע (ע.חג מדומה)</t>
      </text>
    </comment>
    <comment ref="C415" authorId="7" shapeId="0" xr:uid="{D4357116-75C9-4764-9655-AE52B909F66E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הופחתו 2.20 שע' חוסר מדומה: 20.04: -1.40שע (ע.חג מדומה); 01.04: -0.40שע (ע.חג מדומה); 07.04: -0.40שע (ע.חג מדומה)</t>
      </text>
    </comment>
    <comment ref="C519" authorId="8" shapeId="0" xr:uid="{CD5C53B0-AA32-4A6B-9550-5FAA5EA4C13C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הופחתו 1.00 שע' חוסר מדומה: 01.04: -0.50שע (ע.חג מדומה); 07.04: -0.50שע (ע.חג מדומה)</t>
      </text>
    </comment>
    <comment ref="C571" authorId="9" shapeId="0" xr:uid="{1C17E920-F8BD-4633-B48D-C21853FBD45F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הופחתו 1.00 שע' חוסר מדומה: 01.04: -0.50שע (ע.חג מדומה); 07.04: -0.50שע (ע.חג מדומה)</t>
      </text>
    </comment>
    <comment ref="C624" authorId="10" shapeId="0" xr:uid="{824D4894-AC58-4FFB-8BA2-6CABD116AF81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הופחתו 1.00 שע' חוסר מדומה: 01.04: -0.50שע (ע.חג מדומה); 07.04: -0.50שע (ע.חג מדומה)</t>
      </text>
    </comment>
    <comment ref="C676" authorId="11" shapeId="0" xr:uid="{501BC6FF-AE97-4B17-9AA9-FCA93C5F48B3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הופחתו 1.00 שע' חוסר מדומה: 01.04: -0.50שע (ע.חג מדומה); 07.04: -0.50שע (ע.חג מדומה)</t>
      </text>
    </comment>
    <comment ref="C780" authorId="12" shapeId="0" xr:uid="{BB1D54A0-7C21-4F1E-9073-683934BF448A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הופחתו 0.50 שע' חוסר מדומה: 07.04: -0.50שע (ע.חג מדומה)</t>
      </text>
    </comment>
    <comment ref="C884" authorId="13" shapeId="0" xr:uid="{8DD50C2F-ABAB-4988-B08E-12DBF366DEE0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הופחתו 3.40 שע' חוסר מדומה: 20.04: -1.40שע (ע.חג מדומה); 01.04: -1.00שע (ע.חג מדומה); 07.04: -1.00שע (ע.חג מדומה)</t>
      </text>
    </comment>
    <comment ref="C936" authorId="14" shapeId="0" xr:uid="{299387A3-B179-40A5-81A1-139E1074DAF0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הופחתו 3.40 שע' חוסר מדומה: 20.04: -1.40שע (ע.חג מדומה); 01.04: -1.00שע (ע.חג מדומה); 07.04: -1.00שע (ע.חג מדומה)</t>
      </text>
    </comment>
    <comment ref="C990" authorId="15" shapeId="0" xr:uid="{25D110FB-A33A-432E-8741-9A9A64BC09A6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הופחתו 2.00 שע' חוסר מדומה: 01.04: -1.00שע (ע.חג מדומה); 07.04: -1.00שע (ע.חג מדומה)</t>
      </text>
    </comment>
    <comment ref="C1042" authorId="16" shapeId="0" xr:uid="{BC624CB7-099E-44A6-95FA-192560BD1C1F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הופחתו 2.20 שע' חוסר מדומה: 20.04: -1.40שע (ע.חג מדומה); 01.04: -0.40שע (ע.חג מדומה); 07.04: -0.40שע (ע.חג מדומה)</t>
      </text>
    </comment>
    <comment ref="C1095" authorId="17" shapeId="0" xr:uid="{B91FD662-6E79-4106-B7DD-99BD695FA5C1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הופחתו 0.80 שע' חוסר מדומה: 01.04: -0.40שע (ע.חג מדומה); 07.04: -0.40שע (ע.חג מדומה)</t>
      </text>
    </comment>
    <comment ref="C1147" authorId="18" shapeId="0" xr:uid="{2E0D3A23-3A11-4F46-ACB0-960E22AC7EBA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הופחתו 0.80 שע' חוסר מדומה: 01.04: -0.40שע (ע.חג מדומה); 07.04: -0.40שע (ע.חג מדומה)</t>
      </text>
    </comment>
    <comment ref="C1251" authorId="19" shapeId="0" xr:uid="{DE1DADEE-CDBC-4E4A-BBA2-4EE7C2185C3D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הופחתו 0.80 שע' חוסר מדומה: 01.04: -0.40שע (ע.חג מדומה); 07.04: -0.40שע (ע.חג מדומה)</t>
      </text>
    </comment>
    <comment ref="C1408" authorId="20" shapeId="0" xr:uid="{AEDAD4A5-BE4C-41FE-A287-0396E996BFD5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הופחתו 1.80 שע' חוסר מדומה: 01.04: -0.40שע (ע.חג מדומה); 07.04: -0.40שע (ע.חג מדומה); 21.04: -1.00שע (ע.חג מדומה)</t>
      </text>
    </comment>
    <comment ref="C1461" authorId="21" shapeId="0" xr:uid="{81F18E60-CC7A-4683-8046-2C25CE9C5AE0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הופחתו 0.80 שע' חוסר מדומה: 01.04: -0.40שע (ע.חג מדומה); 07.04: -0.40שע (ע.חג מדומה)</t>
      </text>
    </comment>
    <comment ref="C1565" authorId="22" shapeId="0" xr:uid="{26CD0E76-A14A-4B04-BC67-5068C3194D92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הופחתו 2.20 שע' חוסר מדומה: 20.04: -1.40שע (ע.חג מדומה); 01.04: -0.40שע (ע.חג מדומה); 07.04: -0.40שע (ע.חג מדומה)</t>
      </text>
    </comment>
    <comment ref="C1617" authorId="23" shapeId="0" xr:uid="{7F630173-E87F-4220-A3A9-4B2D9A106560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הופחתו 0.80 שע' חוסר מדומה: 01.04: -0.40שע (ע.חג מדומה); 07.04: -0.40שע (ע.חג מדומה)</t>
      </text>
    </comment>
    <comment ref="C1669" authorId="24" shapeId="0" xr:uid="{C6EE6E72-1EE9-45A8-91DB-86CC284B7351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הופחתו 0.40 שע' חוסר מדומה: 01.04: -0.40שע (ע.חג מדומה)</t>
      </text>
    </comment>
    <comment ref="C1773" authorId="25" shapeId="0" xr:uid="{A720AD18-B57B-4B22-9361-96EB38A139F2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הופחתו 0.80 שע' חוסר מדומה: 01.04: -0.40שע (ע.חג מדומה); 07.04: -0.40שע (ע.חג מדומה)</t>
      </text>
    </comment>
    <comment ref="C1877" authorId="26" shapeId="0" xr:uid="{05BCC6B7-00D6-4169-AD81-6FC3E71318C1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הופחתו 0.80 שע' חוסר מדומה: 01.04: -0.40שע (ע.חג מדומה); 07.04: -0.40שע (ע.חג מדומה)</t>
      </text>
    </comment>
    <comment ref="C1929" authorId="27" shapeId="0" xr:uid="{3F70626E-F007-4D2C-961F-119567979BD4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הופחתו 0.80 שע' חוסר מדומה: 01.04: -0.40שע (ע.חג מדומה); 07.04: -0.40שע (ע.חג מדומה)</t>
      </text>
    </comment>
    <comment ref="C2141" authorId="28" shapeId="0" xr:uid="{0566DBD1-C6CB-4E73-A3CF-F1DB1FE3CC40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הופחתו 0.80 שע' חוסר מדומה: 01.04: -0.40שע (ע.חג מדומה); 07.04: -0.40שע (ע.חג מדומה)</t>
      </text>
    </comment>
    <comment ref="C2193" authorId="29" shapeId="0" xr:uid="{E0E28AFF-AB04-45DE-9B6C-112BEA0E00D0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הופחתו 0.80 שע' חוסר מדומה: 01.04: -0.40שע (ע.חג מדומה); 07.04: -0.40שע (ע.חג מדומה)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<sst xmlns="http://schemas.openxmlformats.org/spreadsheetml/2006/main" count="14194" uniqueCount="1775">
  <si>
    <t>אורי אשתר</t>
  </si>
  <si>
    <t xml:space="preserve">פנדה טק בע"מ </t>
  </si>
  <si>
    <t>מל"מ</t>
  </si>
  <si>
    <t>01.04.2026 - 30.04.2026</t>
  </si>
  <si>
    <t>חוזה עבודה  למעט מלמ</t>
  </si>
  <si>
    <t>תאריך</t>
  </si>
  <si>
    <t>סוג</t>
  </si>
  <si>
    <t>כניסה</t>
  </si>
  <si>
    <t>יציאה</t>
  </si>
  <si>
    <t>סה"כ שעות</t>
  </si>
  <si>
    <t>הפסקה</t>
  </si>
  <si>
    <t>שעות משולמות</t>
  </si>
  <si>
    <t>תקן</t>
  </si>
  <si>
    <t>חוסר בתקן</t>
  </si>
  <si>
    <t>100%</t>
  </si>
  <si>
    <t>125%</t>
  </si>
  <si>
    <t>שעות עודף</t>
  </si>
  <si>
    <t>איחור</t>
  </si>
  <si>
    <t>אירוע</t>
  </si>
  <si>
    <t>הערה</t>
  </si>
  <si>
    <t>תוספת</t>
  </si>
  <si>
    <t>ד - 01</t>
  </si>
  <si>
    <t>ערב חג</t>
  </si>
  <si>
    <t>00:24</t>
  </si>
  <si>
    <t xml:space="preserve">ערב חג  </t>
  </si>
  <si>
    <t>פסח-2</t>
  </si>
  <si>
    <t>ה - 02</t>
  </si>
  <si>
    <t>חג</t>
  </si>
  <si>
    <t xml:space="preserve">חג  </t>
  </si>
  <si>
    <t>פסח-1</t>
  </si>
  <si>
    <t>ו - 03</t>
  </si>
  <si>
    <t>סופ"ש</t>
  </si>
  <si>
    <t>ש - 04</t>
  </si>
  <si>
    <t>ס.שבועי</t>
  </si>
  <si>
    <t xml:space="preserve"> </t>
  </si>
  <si>
    <t>א - 05</t>
  </si>
  <si>
    <t>חול המועד</t>
  </si>
  <si>
    <t xml:space="preserve">חול המועד  </t>
  </si>
  <si>
    <t>ב - 06</t>
  </si>
  <si>
    <t>ג - 07</t>
  </si>
  <si>
    <t>ד - 08</t>
  </si>
  <si>
    <t>ה - 09</t>
  </si>
  <si>
    <t>יום חול</t>
  </si>
  <si>
    <t>07:32</t>
  </si>
  <si>
    <t>16:28</t>
  </si>
  <si>
    <t>08:56</t>
  </si>
  <si>
    <t>00:30</t>
  </si>
  <si>
    <t>08:26</t>
  </si>
  <si>
    <t>08:24</t>
  </si>
  <si>
    <t>00:02</t>
  </si>
  <si>
    <t>00:32</t>
  </si>
  <si>
    <t>ו - 10</t>
  </si>
  <si>
    <t>ש - 11</t>
  </si>
  <si>
    <t>08:48</t>
  </si>
  <si>
    <t>א - 12</t>
  </si>
  <si>
    <t>07:46</t>
  </si>
  <si>
    <t>17:09</t>
  </si>
  <si>
    <t>09:23</t>
  </si>
  <si>
    <t>08:53</t>
  </si>
  <si>
    <t>00:29</t>
  </si>
  <si>
    <t>00:46</t>
  </si>
  <si>
    <t>ב - 13</t>
  </si>
  <si>
    <t>08:04</t>
  </si>
  <si>
    <t>16:48</t>
  </si>
  <si>
    <t>08:44</t>
  </si>
  <si>
    <t>08:14</t>
  </si>
  <si>
    <t>00:10</t>
  </si>
  <si>
    <t>01:04</t>
  </si>
  <si>
    <t>ג - 14</t>
  </si>
  <si>
    <t>08:21</t>
  </si>
  <si>
    <t>17:26</t>
  </si>
  <si>
    <t>09:05</t>
  </si>
  <si>
    <t>08:35</t>
  </si>
  <si>
    <t>00:11</t>
  </si>
  <si>
    <t>01:21</t>
  </si>
  <si>
    <t>ד - 15</t>
  </si>
  <si>
    <t>10:37</t>
  </si>
  <si>
    <t>06:49</t>
  </si>
  <si>
    <t>06:19</t>
  </si>
  <si>
    <t>02:05</t>
  </si>
  <si>
    <t>03:37</t>
  </si>
  <si>
    <t>ה - 16</t>
  </si>
  <si>
    <t>08:09</t>
  </si>
  <si>
    <t>17:23</t>
  </si>
  <si>
    <t>09:14</t>
  </si>
  <si>
    <t>00:20</t>
  </si>
  <si>
    <t>01:09</t>
  </si>
  <si>
    <t>ו - 17</t>
  </si>
  <si>
    <t>ש - 18</t>
  </si>
  <si>
    <t>43:15</t>
  </si>
  <si>
    <t>02:30</t>
  </si>
  <si>
    <t>40:45</t>
  </si>
  <si>
    <t>42:00</t>
  </si>
  <si>
    <t>02:15</t>
  </si>
  <si>
    <t>39:45</t>
  </si>
  <si>
    <t>01:00</t>
  </si>
  <si>
    <t>07:57</t>
  </si>
  <si>
    <t>א - 19</t>
  </si>
  <si>
    <t>07:55</t>
  </si>
  <si>
    <t>16:41</t>
  </si>
  <si>
    <t>08:46</t>
  </si>
  <si>
    <t>08:16</t>
  </si>
  <si>
    <t>00:08</t>
  </si>
  <si>
    <t>00:55</t>
  </si>
  <si>
    <t>ב - 20</t>
  </si>
  <si>
    <t>16:09</t>
  </si>
  <si>
    <t>08:12</t>
  </si>
  <si>
    <t>07:42</t>
  </si>
  <si>
    <t>01:24</t>
  </si>
  <si>
    <t>06:18</t>
  </si>
  <si>
    <t>00:57</t>
  </si>
  <si>
    <t>זכרון+עצמאות</t>
  </si>
  <si>
    <t>ג - 21</t>
  </si>
  <si>
    <t>07:24</t>
  </si>
  <si>
    <t>ד - 22</t>
  </si>
  <si>
    <t>ה - 23</t>
  </si>
  <si>
    <t>08:17</t>
  </si>
  <si>
    <t>17:14</t>
  </si>
  <si>
    <t>08:57</t>
  </si>
  <si>
    <t>08:27</t>
  </si>
  <si>
    <t>00:03</t>
  </si>
  <si>
    <t>01:17</t>
  </si>
  <si>
    <t>ו - 24</t>
  </si>
  <si>
    <t>ש - 25</t>
  </si>
  <si>
    <t>25:55</t>
  </si>
  <si>
    <t>01:30</t>
  </si>
  <si>
    <t>24:25</t>
  </si>
  <si>
    <t>25:36</t>
  </si>
  <si>
    <t>24:22</t>
  </si>
  <si>
    <t>06:21</t>
  </si>
  <si>
    <t>03:09</t>
  </si>
  <si>
    <t>א - 26</t>
  </si>
  <si>
    <t>08:07</t>
  </si>
  <si>
    <t>17:02</t>
  </si>
  <si>
    <t>08:55</t>
  </si>
  <si>
    <t>08:25</t>
  </si>
  <si>
    <t>00:01</t>
  </si>
  <si>
    <t>01:07</t>
  </si>
  <si>
    <t>ב - 27</t>
  </si>
  <si>
    <t>17:17</t>
  </si>
  <si>
    <t>09:22</t>
  </si>
  <si>
    <t>08:52</t>
  </si>
  <si>
    <t>00:28</t>
  </si>
  <si>
    <t>ג - 28</t>
  </si>
  <si>
    <t>17:37</t>
  </si>
  <si>
    <t>09:25</t>
  </si>
  <si>
    <t>00:31</t>
  </si>
  <si>
    <t>01:12</t>
  </si>
  <si>
    <t>ד - 29</t>
  </si>
  <si>
    <t>08:06</t>
  </si>
  <si>
    <t>17:13</t>
  </si>
  <si>
    <t>09:07</t>
  </si>
  <si>
    <t>08:37</t>
  </si>
  <si>
    <t>00:13</t>
  </si>
  <si>
    <t>01:06</t>
  </si>
  <si>
    <t>ה - 30</t>
  </si>
  <si>
    <t>17:34</t>
  </si>
  <si>
    <t>09:20</t>
  </si>
  <si>
    <t>08:50</t>
  </si>
  <si>
    <t>00:26</t>
  </si>
  <si>
    <t>01:14</t>
  </si>
  <si>
    <t>חישוב יומי: שעות ודקות</t>
  </si>
  <si>
    <t>124:15</t>
  </si>
  <si>
    <t>07:00</t>
  </si>
  <si>
    <t>117:15</t>
  </si>
  <si>
    <t>118:48</t>
  </si>
  <si>
    <t>10:35</t>
  </si>
  <si>
    <t>114:31</t>
  </si>
  <si>
    <t>02:44</t>
  </si>
  <si>
    <t>09:02</t>
  </si>
  <si>
    <t>17:12</t>
  </si>
  <si>
    <t>סיכום חודשי: שעות ודקות</t>
  </si>
  <si>
    <t>01:33</t>
  </si>
  <si>
    <t>סיכום חודשי: עשרוני</t>
  </si>
  <si>
    <t>סיכום</t>
  </si>
  <si>
    <t>ימי נוכחות</t>
  </si>
  <si>
    <t>שעות נוכחות</t>
  </si>
  <si>
    <t>שעות תקן</t>
  </si>
  <si>
    <t>שעות חוסר</t>
  </si>
  <si>
    <t>נסיעות</t>
  </si>
  <si>
    <t>שעות לחישוב</t>
  </si>
  <si>
    <t>הצגת אירועים</t>
  </si>
  <si>
    <t>אורי דוד עברי</t>
  </si>
  <si>
    <t xml:space="preserve">מלמ-חוזה עבודה   </t>
  </si>
  <si>
    <t>09:18</t>
  </si>
  <si>
    <t>08:19</t>
  </si>
  <si>
    <t>11:03</t>
  </si>
  <si>
    <t>16:37</t>
  </si>
  <si>
    <t>05:34</t>
  </si>
  <si>
    <t>08:59</t>
  </si>
  <si>
    <t>12:37</t>
  </si>
  <si>
    <t>03:38</t>
  </si>
  <si>
    <t>03:08</t>
  </si>
  <si>
    <t>02:38</t>
  </si>
  <si>
    <t xml:space="preserve">חופש  </t>
  </si>
  <si>
    <t>17:31</t>
  </si>
  <si>
    <t>17:01</t>
  </si>
  <si>
    <t>10:17</t>
  </si>
  <si>
    <t>16:53</t>
  </si>
  <si>
    <t>06:36</t>
  </si>
  <si>
    <t>06:06</t>
  </si>
  <si>
    <t>08:30</t>
  </si>
  <si>
    <t>02:24</t>
  </si>
  <si>
    <t>03:17</t>
  </si>
  <si>
    <t>16:39</t>
  </si>
  <si>
    <t>07:51</t>
  </si>
  <si>
    <t>07:21</t>
  </si>
  <si>
    <t>01:48</t>
  </si>
  <si>
    <t>09:34</t>
  </si>
  <si>
    <t>17:49</t>
  </si>
  <si>
    <t>08:15</t>
  </si>
  <si>
    <t>07:45</t>
  </si>
  <si>
    <t>00:45</t>
  </si>
  <si>
    <t>02:34</t>
  </si>
  <si>
    <t xml:space="preserve">מילואים  </t>
  </si>
  <si>
    <t>22:42</t>
  </si>
  <si>
    <t>21:12</t>
  </si>
  <si>
    <t>34:00</t>
  </si>
  <si>
    <t>12:48</t>
  </si>
  <si>
    <t>07:39</t>
  </si>
  <si>
    <t>08:41</t>
  </si>
  <si>
    <t>18:06</t>
  </si>
  <si>
    <t>00:25</t>
  </si>
  <si>
    <t>01:41</t>
  </si>
  <si>
    <t>06:58</t>
  </si>
  <si>
    <t>16:03</t>
  </si>
  <si>
    <t>07:05</t>
  </si>
  <si>
    <t>07:30</t>
  </si>
  <si>
    <t>18:30</t>
  </si>
  <si>
    <t>17:30</t>
  </si>
  <si>
    <t>26:00</t>
  </si>
  <si>
    <t>16:00</t>
  </si>
  <si>
    <t>00:42</t>
  </si>
  <si>
    <t>09:11</t>
  </si>
  <si>
    <t>12:21</t>
  </si>
  <si>
    <t>03:10</t>
  </si>
  <si>
    <t>05:20</t>
  </si>
  <si>
    <t>02:11</t>
  </si>
  <si>
    <t>08:51</t>
  </si>
  <si>
    <t>18:14</t>
  </si>
  <si>
    <t>00:23</t>
  </si>
  <si>
    <t>01:51</t>
  </si>
  <si>
    <t>14:59</t>
  </si>
  <si>
    <t>18:04</t>
  </si>
  <si>
    <t>03:05</t>
  </si>
  <si>
    <t>07:59</t>
  </si>
  <si>
    <t>07:27</t>
  </si>
  <si>
    <t>11:16</t>
  </si>
  <si>
    <t>03:49</t>
  </si>
  <si>
    <t>00:21</t>
  </si>
  <si>
    <t>00:27</t>
  </si>
  <si>
    <t>13:20</t>
  </si>
  <si>
    <t>18:10</t>
  </si>
  <si>
    <t>04:50</t>
  </si>
  <si>
    <t>04:20</t>
  </si>
  <si>
    <t>83:00</t>
  </si>
  <si>
    <t>04:00</t>
  </si>
  <si>
    <t>79:00</t>
  </si>
  <si>
    <t>86:30</t>
  </si>
  <si>
    <t>34:59</t>
  </si>
  <si>
    <t>77:49</t>
  </si>
  <si>
    <t>01:11</t>
  </si>
  <si>
    <t>10:31</t>
  </si>
  <si>
    <t>21:48</t>
  </si>
  <si>
    <t>חופש</t>
  </si>
  <si>
    <t>מילואים</t>
  </si>
  <si>
    <t>איתי קעטבי</t>
  </si>
  <si>
    <t>150%</t>
  </si>
  <si>
    <t>^ 06:36</t>
  </si>
  <si>
    <t>17:36</t>
  </si>
  <si>
    <t>11:00</t>
  </si>
  <si>
    <t>10:30</t>
  </si>
  <si>
    <t>02:00</t>
  </si>
  <si>
    <t>00:06</t>
  </si>
  <si>
    <t>^ 06:30</t>
  </si>
  <si>
    <t>15:33</t>
  </si>
  <si>
    <t>09:03</t>
  </si>
  <si>
    <t>08:33</t>
  </si>
  <si>
    <t>00:09</t>
  </si>
  <si>
    <t>^ 06:47</t>
  </si>
  <si>
    <t>09:50</t>
  </si>
  <si>
    <t>00:56</t>
  </si>
  <si>
    <t>00:50</t>
  </si>
  <si>
    <t>^ 06:29</t>
  </si>
  <si>
    <t>^ 15:57</t>
  </si>
  <si>
    <t>09:28</t>
  </si>
  <si>
    <t>08:58</t>
  </si>
  <si>
    <t>00:34</t>
  </si>
  <si>
    <t>^ 06:23</t>
  </si>
  <si>
    <t>15:30</t>
  </si>
  <si>
    <t>00:07</t>
  </si>
  <si>
    <t>48:28</t>
  </si>
  <si>
    <t>45:58</t>
  </si>
  <si>
    <t>51:00</t>
  </si>
  <si>
    <t>03:52</t>
  </si>
  <si>
    <t>03:28</t>
  </si>
  <si>
    <t>00:00</t>
  </si>
  <si>
    <t>05:02</t>
  </si>
  <si>
    <t>אפרים רחמנוב</t>
  </si>
  <si>
    <t>^ 07:50</t>
  </si>
  <si>
    <t>10:14</t>
  </si>
  <si>
    <t>09:44</t>
  </si>
  <si>
    <t>01:20</t>
  </si>
  <si>
    <t>09:00</t>
  </si>
  <si>
    <t>^ 07:45</t>
  </si>
  <si>
    <t>17:21</t>
  </si>
  <si>
    <t>09:36</t>
  </si>
  <si>
    <t>09:06</t>
  </si>
  <si>
    <t>00:36</t>
  </si>
  <si>
    <t>18:19</t>
  </si>
  <si>
    <t>10:34</t>
  </si>
  <si>
    <t>02:04</t>
  </si>
  <si>
    <t>^ 18:34</t>
  </si>
  <si>
    <t>19:21</t>
  </si>
  <si>
    <t>00:47</t>
  </si>
  <si>
    <t>00:17</t>
  </si>
  <si>
    <t>^ 07:43</t>
  </si>
  <si>
    <t>09:48</t>
  </si>
  <si>
    <t>00:54</t>
  </si>
  <si>
    <t>00:48</t>
  </si>
  <si>
    <t>00:43</t>
  </si>
  <si>
    <t>18:32</t>
  </si>
  <si>
    <t>10:47</t>
  </si>
  <si>
    <t>01:53</t>
  </si>
  <si>
    <t>01:47</t>
  </si>
  <si>
    <t>^ 08:17</t>
  </si>
  <si>
    <t>17:51</t>
  </si>
  <si>
    <t>09:04</t>
  </si>
  <si>
    <t>00:40</t>
  </si>
  <si>
    <t>51:06</t>
  </si>
  <si>
    <t>48:36</t>
  </si>
  <si>
    <t>42:30</t>
  </si>
  <si>
    <t>06:09</t>
  </si>
  <si>
    <t>04:15</t>
  </si>
  <si>
    <t>^ 07:54</t>
  </si>
  <si>
    <t>17:00</t>
  </si>
  <si>
    <t>08:36</t>
  </si>
  <si>
    <t>00:12</t>
  </si>
  <si>
    <t>^ 08:01</t>
  </si>
  <si>
    <t>09:35</t>
  </si>
  <si>
    <t>00:41</t>
  </si>
  <si>
    <t>07:35</t>
  </si>
  <si>
    <t>01:01</t>
  </si>
  <si>
    <t>^ 07:59</t>
  </si>
  <si>
    <t>17:48</t>
  </si>
  <si>
    <t>09:49</t>
  </si>
  <si>
    <t>09:19</t>
  </si>
  <si>
    <t>00:49</t>
  </si>
  <si>
    <t>00:59</t>
  </si>
  <si>
    <t>28:30</t>
  </si>
  <si>
    <t>27:00</t>
  </si>
  <si>
    <t>19:00</t>
  </si>
  <si>
    <t>25:12</t>
  </si>
  <si>
    <t>02:54</t>
  </si>
  <si>
    <t>^ 10:30</t>
  </si>
  <si>
    <t>06:30</t>
  </si>
  <si>
    <t>03:30</t>
  </si>
  <si>
    <t>17:44</t>
  </si>
  <si>
    <t>09:45</t>
  </si>
  <si>
    <t>09:15</t>
  </si>
  <si>
    <t>00:51</t>
  </si>
  <si>
    <t>^ 07:47</t>
  </si>
  <si>
    <t>18:34</t>
  </si>
  <si>
    <t>17:25</t>
  </si>
  <si>
    <t>09:42</t>
  </si>
  <si>
    <t>09:12</t>
  </si>
  <si>
    <t>^ 07:53</t>
  </si>
  <si>
    <t>17:28</t>
  </si>
  <si>
    <t>00:35</t>
  </si>
  <si>
    <t>00:53</t>
  </si>
  <si>
    <t>136:39</t>
  </si>
  <si>
    <t>129:39</t>
  </si>
  <si>
    <t>113:30</t>
  </si>
  <si>
    <t>115:42</t>
  </si>
  <si>
    <t>13:30</t>
  </si>
  <si>
    <t>19:39</t>
  </si>
  <si>
    <t>14:51</t>
  </si>
  <si>
    <t>אריאל אליה</t>
  </si>
  <si>
    <t>203661004</t>
  </si>
  <si>
    <t>120:30</t>
  </si>
  <si>
    <t>בר אשטון</t>
  </si>
  <si>
    <t>15:54</t>
  </si>
  <si>
    <t>08:03</t>
  </si>
  <si>
    <t>09:27</t>
  </si>
  <si>
    <t>01:03</t>
  </si>
  <si>
    <t>^ 07:31</t>
  </si>
  <si>
    <t>16:31</t>
  </si>
  <si>
    <t>26:12</t>
  </si>
  <si>
    <t>25:42</t>
  </si>
  <si>
    <t>24:33</t>
  </si>
  <si>
    <t>07:49</t>
  </si>
  <si>
    <t>07:19</t>
  </si>
  <si>
    <t>02:28</t>
  </si>
  <si>
    <t>18:29</t>
  </si>
  <si>
    <t>10:04</t>
  </si>
  <si>
    <t>01:40</t>
  </si>
  <si>
    <t>01:34</t>
  </si>
  <si>
    <t>00:14</t>
  </si>
  <si>
    <t>07:50</t>
  </si>
  <si>
    <t>15:14</t>
  </si>
  <si>
    <t>06:54</t>
  </si>
  <si>
    <t>01:36</t>
  </si>
  <si>
    <t>07:56</t>
  </si>
  <si>
    <t>09:40</t>
  </si>
  <si>
    <t>09:10</t>
  </si>
  <si>
    <t>44:41</t>
  </si>
  <si>
    <t>42:11</t>
  </si>
  <si>
    <t>02:47</t>
  </si>
  <si>
    <t>39:25</t>
  </si>
  <si>
    <t>02:46</t>
  </si>
  <si>
    <t>06:08</t>
  </si>
  <si>
    <t>18:26</t>
  </si>
  <si>
    <t>10:27</t>
  </si>
  <si>
    <t>09:57</t>
  </si>
  <si>
    <t>01:27</t>
  </si>
  <si>
    <t>16:46</t>
  </si>
  <si>
    <t>06:16</t>
  </si>
  <si>
    <t>זכרון+עצמאות.  קורא כרטיסים לא עבד במלמ</t>
  </si>
  <si>
    <t>07:36</t>
  </si>
  <si>
    <t>17:19</t>
  </si>
  <si>
    <t>09:43</t>
  </si>
  <si>
    <t>09:13</t>
  </si>
  <si>
    <t>28:26</t>
  </si>
  <si>
    <t>26:56</t>
  </si>
  <si>
    <t>24:34</t>
  </si>
  <si>
    <t>02:22</t>
  </si>
  <si>
    <t>07:52</t>
  </si>
  <si>
    <t>08:49</t>
  </si>
  <si>
    <t>00:52</t>
  </si>
  <si>
    <t>18:53</t>
  </si>
  <si>
    <t>11:02</t>
  </si>
  <si>
    <t>10:32</t>
  </si>
  <si>
    <t>02:02</t>
  </si>
  <si>
    <t>07:58</t>
  </si>
  <si>
    <t>19:28</t>
  </si>
  <si>
    <t>11:30</t>
  </si>
  <si>
    <t>00:58</t>
  </si>
  <si>
    <t>07:41</t>
  </si>
  <si>
    <t>17:15</t>
  </si>
  <si>
    <t>140:14</t>
  </si>
  <si>
    <t>133:44</t>
  </si>
  <si>
    <t>112:00</t>
  </si>
  <si>
    <t>11:28</t>
  </si>
  <si>
    <t>122:03</t>
  </si>
  <si>
    <t>10:57</t>
  </si>
  <si>
    <t>00:44</t>
  </si>
  <si>
    <t>13:06</t>
  </si>
  <si>
    <t>דוד אחדות</t>
  </si>
  <si>
    <t>06:31</t>
  </si>
  <si>
    <t>10:50</t>
  </si>
  <si>
    <t>10:20</t>
  </si>
  <si>
    <t>01:56</t>
  </si>
  <si>
    <t>01:50</t>
  </si>
  <si>
    <t>06:37</t>
  </si>
  <si>
    <t>10:44</t>
  </si>
  <si>
    <t>01:44</t>
  </si>
  <si>
    <t>^ 06:42</t>
  </si>
  <si>
    <t>11:09</t>
  </si>
  <si>
    <t>10:39</t>
  </si>
  <si>
    <t>00:15</t>
  </si>
  <si>
    <t>02:09</t>
  </si>
  <si>
    <t>^ 07:08</t>
  </si>
  <si>
    <t>10:40</t>
  </si>
  <si>
    <t>10:10</t>
  </si>
  <si>
    <t>01:46</t>
  </si>
  <si>
    <t>06:43</t>
  </si>
  <si>
    <t>^ 12:12</t>
  </si>
  <si>
    <t>05:29</t>
  </si>
  <si>
    <t>^ 13:41</t>
  </si>
  <si>
    <t>17:04</t>
  </si>
  <si>
    <t>03:23</t>
  </si>
  <si>
    <t>02:53</t>
  </si>
  <si>
    <t>06:39</t>
  </si>
  <si>
    <t>^ 16:56</t>
  </si>
  <si>
    <t>09:47</t>
  </si>
  <si>
    <t>01:23</t>
  </si>
  <si>
    <t>51:42</t>
  </si>
  <si>
    <t>49:12</t>
  </si>
  <si>
    <t>41:58</t>
  </si>
  <si>
    <t>06:59</t>
  </si>
  <si>
    <t>06:50</t>
  </si>
  <si>
    <t>^ 06:31</t>
  </si>
  <si>
    <t>17:10</t>
  </si>
  <si>
    <t>10:09</t>
  </si>
  <si>
    <t>01:45</t>
  </si>
  <si>
    <t>01:39</t>
  </si>
  <si>
    <t>07:16</t>
  </si>
  <si>
    <t>17:03</t>
  </si>
  <si>
    <t>09:17</t>
  </si>
  <si>
    <t>07:47</t>
  </si>
  <si>
    <t>00:16</t>
  </si>
  <si>
    <t>06:20</t>
  </si>
  <si>
    <t>17:22</t>
  </si>
  <si>
    <t>31:28</t>
  </si>
  <si>
    <t>29:58</t>
  </si>
  <si>
    <t>04:38</t>
  </si>
  <si>
    <t>06:51</t>
  </si>
  <si>
    <t>17:08</t>
  </si>
  <si>
    <t>08:43</t>
  </si>
  <si>
    <t>08:13</t>
  </si>
  <si>
    <t>^ 07:44</t>
  </si>
  <si>
    <t>18:23</t>
  </si>
  <si>
    <t>123:39</t>
  </si>
  <si>
    <t>06:00</t>
  </si>
  <si>
    <t>117:39</t>
  </si>
  <si>
    <t>103:30</t>
  </si>
  <si>
    <t>100:35</t>
  </si>
  <si>
    <t>23:04</t>
  </si>
  <si>
    <t>02:56</t>
  </si>
  <si>
    <t>דוד וורטמן</t>
  </si>
  <si>
    <t>122</t>
  </si>
  <si>
    <t>08:29</t>
  </si>
  <si>
    <t>00:05</t>
  </si>
  <si>
    <t>17:54</t>
  </si>
  <si>
    <t>16:54</t>
  </si>
  <si>
    <t>03:00</t>
  </si>
  <si>
    <t>08:54</t>
  </si>
  <si>
    <t>01:25</t>
  </si>
  <si>
    <t>08:18</t>
  </si>
  <si>
    <t>17:32</t>
  </si>
  <si>
    <t>01:18</t>
  </si>
  <si>
    <t>08:11</t>
  </si>
  <si>
    <t>01:19</t>
  </si>
  <si>
    <t>44:43</t>
  </si>
  <si>
    <t>42:13</t>
  </si>
  <si>
    <t>77:01</t>
  </si>
  <si>
    <t>41:47</t>
  </si>
  <si>
    <t>07:02</t>
  </si>
  <si>
    <t>76:35</t>
  </si>
  <si>
    <t>דניאל בנדרימר</t>
  </si>
  <si>
    <t>חיים ראש</t>
  </si>
  <si>
    <t>14:09</t>
  </si>
  <si>
    <t>15:55</t>
  </si>
  <si>
    <t>09:55</t>
  </si>
  <si>
    <t>06:25</t>
  </si>
  <si>
    <t>15:59</t>
  </si>
  <si>
    <t>06:01</t>
  </si>
  <si>
    <t>15:34</t>
  </si>
  <si>
    <t>09:33</t>
  </si>
  <si>
    <t>00:39</t>
  </si>
  <si>
    <t>00:33</t>
  </si>
  <si>
    <t>06:05</t>
  </si>
  <si>
    <t>15:13</t>
  </si>
  <si>
    <t>09:08</t>
  </si>
  <si>
    <t>08:38</t>
  </si>
  <si>
    <t>38:10</t>
  </si>
  <si>
    <t>36:10</t>
  </si>
  <si>
    <t>33:36</t>
  </si>
  <si>
    <t>02:10</t>
  </si>
  <si>
    <t>17:27</t>
  </si>
  <si>
    <t>11:27</t>
  </si>
  <si>
    <t>02:27</t>
  </si>
  <si>
    <t>06:14</t>
  </si>
  <si>
    <t>10:25</t>
  </si>
  <si>
    <t>01:31</t>
  </si>
  <si>
    <t>21:52</t>
  </si>
  <si>
    <t>20:52</t>
  </si>
  <si>
    <t>03:31</t>
  </si>
  <si>
    <t>10:52</t>
  </si>
  <si>
    <t>10:46</t>
  </si>
  <si>
    <t>00:22</t>
  </si>
  <si>
    <t>02:16</t>
  </si>
  <si>
    <t>06:12</t>
  </si>
  <si>
    <t>15:47</t>
  </si>
  <si>
    <t>06:29</t>
  </si>
  <si>
    <t>18:02</t>
  </si>
  <si>
    <t>11:33</t>
  </si>
  <si>
    <t>02:33</t>
  </si>
  <si>
    <t>15:40</t>
  </si>
  <si>
    <t>120:54</t>
  </si>
  <si>
    <t>05:30</t>
  </si>
  <si>
    <t>115:24</t>
  </si>
  <si>
    <t>100:03</t>
  </si>
  <si>
    <t>13:32</t>
  </si>
  <si>
    <t>01:49</t>
  </si>
  <si>
    <t>21:15</t>
  </si>
  <si>
    <t>לוי דביש</t>
  </si>
  <si>
    <t>^ 09:47</t>
  </si>
  <si>
    <t>^ 14:36</t>
  </si>
  <si>
    <t>04:49</t>
  </si>
  <si>
    <t>היעדרות  ^</t>
  </si>
  <si>
    <t>^ 08:02</t>
  </si>
  <si>
    <t>^ 15:41</t>
  </si>
  <si>
    <t>07:09</t>
  </si>
  <si>
    <t>01:02</t>
  </si>
  <si>
    <t>12:28</t>
  </si>
  <si>
    <t>11:58</t>
  </si>
  <si>
    <t>^ 08:33</t>
  </si>
  <si>
    <t>^ 14:17</t>
  </si>
  <si>
    <t>05:44</t>
  </si>
  <si>
    <t>^ 08:29</t>
  </si>
  <si>
    <t>^ 16:00</t>
  </si>
  <si>
    <t>07:31</t>
  </si>
  <si>
    <t>07:01</t>
  </si>
  <si>
    <t>01:29</t>
  </si>
  <si>
    <t>^ 09:22</t>
  </si>
  <si>
    <t>^ 14:09</t>
  </si>
  <si>
    <t>04:47</t>
  </si>
  <si>
    <t>03:43</t>
  </si>
  <si>
    <t>^ 07:28</t>
  </si>
  <si>
    <t>^ 15:45</t>
  </si>
  <si>
    <t>26:19</t>
  </si>
  <si>
    <t>25:19</t>
  </si>
  <si>
    <t>05:52</t>
  </si>
  <si>
    <t>^ 08:26</t>
  </si>
  <si>
    <t>^ 15:53</t>
  </si>
  <si>
    <t>06:57</t>
  </si>
  <si>
    <t>01:26</t>
  </si>
  <si>
    <t>^ 12:51</t>
  </si>
  <si>
    <t>^ 16:22</t>
  </si>
  <si>
    <t>02:01</t>
  </si>
  <si>
    <t>05:51</t>
  </si>
  <si>
    <t>^ 08:12</t>
  </si>
  <si>
    <t>^ 15:47</t>
  </si>
  <si>
    <t>18:33</t>
  </si>
  <si>
    <t>17:33</t>
  </si>
  <si>
    <t>10:28</t>
  </si>
  <si>
    <t>^ 08:20</t>
  </si>
  <si>
    <t>^ 17:12</t>
  </si>
  <si>
    <t>08:22</t>
  </si>
  <si>
    <t>^ 16:14</t>
  </si>
  <si>
    <t>^ 08:15</t>
  </si>
  <si>
    <t>^ 14:50</t>
  </si>
  <si>
    <t>06:35</t>
  </si>
  <si>
    <t>02:25</t>
  </si>
  <si>
    <t>01:15</t>
  </si>
  <si>
    <t>^ 08:49</t>
  </si>
  <si>
    <t>80:59</t>
  </si>
  <si>
    <t>76:59</t>
  </si>
  <si>
    <t>41:51</t>
  </si>
  <si>
    <t>20:49</t>
  </si>
  <si>
    <t>35:01</t>
  </si>
  <si>
    <t>היעדרות</t>
  </si>
  <si>
    <t>נהיראל כהן</t>
  </si>
  <si>
    <t>01:10</t>
  </si>
  <si>
    <t>09:32</t>
  </si>
  <si>
    <t>00:38</t>
  </si>
  <si>
    <t>19:06</t>
  </si>
  <si>
    <t>18:36</t>
  </si>
  <si>
    <t>08:08</t>
  </si>
  <si>
    <t>10:03</t>
  </si>
  <si>
    <t>01:55</t>
  </si>
  <si>
    <t>01:08</t>
  </si>
  <si>
    <t>06:32</t>
  </si>
  <si>
    <t>11:19</t>
  </si>
  <si>
    <t>00:37</t>
  </si>
  <si>
    <t>30:38</t>
  </si>
  <si>
    <t>29:38</t>
  </si>
  <si>
    <t>25:30</t>
  </si>
  <si>
    <t>27:07</t>
  </si>
  <si>
    <t>02:31</t>
  </si>
  <si>
    <t>קומרוב ג'סיקה</t>
  </si>
  <si>
    <t>07:14</t>
  </si>
  <si>
    <t>17:16</t>
  </si>
  <si>
    <t>10:02</t>
  </si>
  <si>
    <t>01:38</t>
  </si>
  <si>
    <t>07:34</t>
  </si>
  <si>
    <t>09:29</t>
  </si>
  <si>
    <t>01:05</t>
  </si>
  <si>
    <t>07:04</t>
  </si>
  <si>
    <t>16:20</t>
  </si>
  <si>
    <t>09:16</t>
  </si>
  <si>
    <t>00:04</t>
  </si>
  <si>
    <t>28:47</t>
  </si>
  <si>
    <t>28:17</t>
  </si>
  <si>
    <t>15:37</t>
  </si>
  <si>
    <t>08:28</t>
  </si>
  <si>
    <t>16:50</t>
  </si>
  <si>
    <t>09:09</t>
  </si>
  <si>
    <t>08:39</t>
  </si>
  <si>
    <t>07:53</t>
  </si>
  <si>
    <t>18:07</t>
  </si>
  <si>
    <t>07:11</t>
  </si>
  <si>
    <t>16:16</t>
  </si>
  <si>
    <t>46:22</t>
  </si>
  <si>
    <t>43:52</t>
  </si>
  <si>
    <t>01:52</t>
  </si>
  <si>
    <t>01:28</t>
  </si>
  <si>
    <t>02:42</t>
  </si>
  <si>
    <t>01:16</t>
  </si>
  <si>
    <t>08:01</t>
  </si>
  <si>
    <t>17:42</t>
  </si>
  <si>
    <t>09:41</t>
  </si>
  <si>
    <t>07:08</t>
  </si>
  <si>
    <t>10:22</t>
  </si>
  <si>
    <t>09:52</t>
  </si>
  <si>
    <t>01:22</t>
  </si>
  <si>
    <t>28:08</t>
  </si>
  <si>
    <t>09:38</t>
  </si>
  <si>
    <t>16:13</t>
  </si>
  <si>
    <t>19:10</t>
  </si>
  <si>
    <t>11:23</t>
  </si>
  <si>
    <t>10:53</t>
  </si>
  <si>
    <t>02:23</t>
  </si>
  <si>
    <t>09:39</t>
  </si>
  <si>
    <t>07:38</t>
  </si>
  <si>
    <t>153:19</t>
  </si>
  <si>
    <t>146:19</t>
  </si>
  <si>
    <t>134:24</t>
  </si>
  <si>
    <t>11:26</t>
  </si>
  <si>
    <t>14:54</t>
  </si>
  <si>
    <t>רפאל שועה</t>
  </si>
  <si>
    <t>06:04</t>
  </si>
  <si>
    <t>07:18</t>
  </si>
  <si>
    <t>16:23</t>
  </si>
  <si>
    <t>00:18</t>
  </si>
  <si>
    <t>07:29</t>
  </si>
  <si>
    <t>^ 13:05</t>
  </si>
  <si>
    <t>18:16</t>
  </si>
  <si>
    <t>05:11</t>
  </si>
  <si>
    <t>03:19</t>
  </si>
  <si>
    <t>תחקיר טייסת</t>
  </si>
  <si>
    <t>10:06</t>
  </si>
  <si>
    <t>13:19</t>
  </si>
  <si>
    <t>05:47</t>
  </si>
  <si>
    <t>02:43</t>
  </si>
  <si>
    <t>40:12</t>
  </si>
  <si>
    <t>38:42</t>
  </si>
  <si>
    <t>06:02</t>
  </si>
  <si>
    <t>02:32</t>
  </si>
  <si>
    <t>02:14</t>
  </si>
  <si>
    <t>07:20</t>
  </si>
  <si>
    <t>17:24</t>
  </si>
  <si>
    <t>^ 07:00</t>
  </si>
  <si>
    <t>^ 17:00</t>
  </si>
  <si>
    <t>10:00</t>
  </si>
  <si>
    <t>09:30</t>
  </si>
  <si>
    <t>17:35</t>
  </si>
  <si>
    <t>30:08</t>
  </si>
  <si>
    <t>28:38</t>
  </si>
  <si>
    <t>33:00</t>
  </si>
  <si>
    <t>03:26</t>
  </si>
  <si>
    <t>07:26</t>
  </si>
  <si>
    <t>18:27</t>
  </si>
  <si>
    <t>11:01</t>
  </si>
  <si>
    <t>07:25</t>
  </si>
  <si>
    <t>19:15</t>
  </si>
  <si>
    <t>11:50</t>
  </si>
  <si>
    <t>11:20</t>
  </si>
  <si>
    <t>02:50</t>
  </si>
  <si>
    <t>07:17</t>
  </si>
  <si>
    <t>16:33</t>
  </si>
  <si>
    <t>00:19</t>
  </si>
  <si>
    <t>16:40</t>
  </si>
  <si>
    <t>09:21</t>
  </si>
  <si>
    <t>122:54</t>
  </si>
  <si>
    <t>117:24</t>
  </si>
  <si>
    <t>118:00</t>
  </si>
  <si>
    <t>103:22</t>
  </si>
  <si>
    <t>12:51</t>
  </si>
  <si>
    <t>12:55</t>
  </si>
  <si>
    <t>שלמה לסנר</t>
  </si>
  <si>
    <t>032955395</t>
  </si>
  <si>
    <t>12:33</t>
  </si>
  <si>
    <t>05:25</t>
  </si>
  <si>
    <t>04:55</t>
  </si>
  <si>
    <t>04:25</t>
  </si>
  <si>
    <t>07:37</t>
  </si>
  <si>
    <t>09:51</t>
  </si>
  <si>
    <t>20:10</t>
  </si>
  <si>
    <t>12:41</t>
  </si>
  <si>
    <t>12:11</t>
  </si>
  <si>
    <t>03:41</t>
  </si>
  <si>
    <t>32:15</t>
  </si>
  <si>
    <t>31:45</t>
  </si>
  <si>
    <t>04:46</t>
  </si>
  <si>
    <t>^ 07:09</t>
  </si>
  <si>
    <t>17:43</t>
  </si>
  <si>
    <t>07:03</t>
  </si>
  <si>
    <t>19:23</t>
  </si>
  <si>
    <t>12:20</t>
  </si>
  <si>
    <t>03:20</t>
  </si>
  <si>
    <t>19:27</t>
  </si>
  <si>
    <t>11:49</t>
  </si>
  <si>
    <t>02:49</t>
  </si>
  <si>
    <t>^ 17:57</t>
  </si>
  <si>
    <t>10:26</t>
  </si>
  <si>
    <t>09:56</t>
  </si>
  <si>
    <t>01:32</t>
  </si>
  <si>
    <t>06:34</t>
  </si>
  <si>
    <t>12:02</t>
  </si>
  <si>
    <t>11:32</t>
  </si>
  <si>
    <t>03:02</t>
  </si>
  <si>
    <t>57:11</t>
  </si>
  <si>
    <t>54:41</t>
  </si>
  <si>
    <t>03:29</t>
  </si>
  <si>
    <t>18:35</t>
  </si>
  <si>
    <t>18:41</t>
  </si>
  <si>
    <t>12:06</t>
  </si>
  <si>
    <t>11:36</t>
  </si>
  <si>
    <t>12:43</t>
  </si>
  <si>
    <t>05:39</t>
  </si>
  <si>
    <t>05:09</t>
  </si>
  <si>
    <t>02:21</t>
  </si>
  <si>
    <t>39:18</t>
  </si>
  <si>
    <t>37:18</t>
  </si>
  <si>
    <t>30:21</t>
  </si>
  <si>
    <t>05:12</t>
  </si>
  <si>
    <t>13:39</t>
  </si>
  <si>
    <t>01:35</t>
  </si>
  <si>
    <t>^ 06:45</t>
  </si>
  <si>
    <t>10:19</t>
  </si>
  <si>
    <t>^ 07:07</t>
  </si>
  <si>
    <t>12:14</t>
  </si>
  <si>
    <t>11:44</t>
  </si>
  <si>
    <t>03:14</t>
  </si>
  <si>
    <t>20:32</t>
  </si>
  <si>
    <t>12:08</t>
  </si>
  <si>
    <t>11:38</t>
  </si>
  <si>
    <t>189:59</t>
  </si>
  <si>
    <t>08:00</t>
  </si>
  <si>
    <t>181:59</t>
  </si>
  <si>
    <t>02:51</t>
  </si>
  <si>
    <t>144:28</t>
  </si>
  <si>
    <t>27:50</t>
  </si>
  <si>
    <t>44:46</t>
  </si>
  <si>
    <t>שרון זמן</t>
  </si>
  <si>
    <t>08:47</t>
  </si>
  <si>
    <t>יום עבודה ראשון לא הועבר תג בכניסה</t>
  </si>
  <si>
    <t>16:04</t>
  </si>
  <si>
    <t>06:17</t>
  </si>
  <si>
    <t>11:08</t>
  </si>
  <si>
    <t>10:38</t>
  </si>
  <si>
    <t>02:08</t>
  </si>
  <si>
    <t>סיור בצפון</t>
  </si>
  <si>
    <t>06:52</t>
  </si>
  <si>
    <t>16:02</t>
  </si>
  <si>
    <t>08:40</t>
  </si>
  <si>
    <t>38:19</t>
  </si>
  <si>
    <t>36:19</t>
  </si>
  <si>
    <t>33:29</t>
  </si>
  <si>
    <t>02:36</t>
  </si>
  <si>
    <t>06:11</t>
  </si>
  <si>
    <t>Tami demello</t>
  </si>
  <si>
    <t>משרד</t>
  </si>
  <si>
    <t>עובדי מטה מ8 עד 16:50</t>
  </si>
  <si>
    <t>17:53</t>
  </si>
  <si>
    <t>20:59</t>
  </si>
  <si>
    <t>03:06</t>
  </si>
  <si>
    <t>^ 18:00</t>
  </si>
  <si>
    <t>^ 20:00</t>
  </si>
  <si>
    <t>^ 18:02</t>
  </si>
  <si>
    <t>^ 21:23</t>
  </si>
  <si>
    <t>03:21</t>
  </si>
  <si>
    <t>05:21</t>
  </si>
  <si>
    <t>09:24</t>
  </si>
  <si>
    <t>15:45</t>
  </si>
  <si>
    <t>^ 19:20</t>
  </si>
  <si>
    <t>03:35</t>
  </si>
  <si>
    <t>^ 18:13</t>
  </si>
  <si>
    <t>^ 20:20</t>
  </si>
  <si>
    <t>02:07</t>
  </si>
  <si>
    <t>05:42</t>
  </si>
  <si>
    <t>38:25</t>
  </si>
  <si>
    <t>19:29</t>
  </si>
  <si>
    <t>03:55</t>
  </si>
  <si>
    <t>^ 18:42</t>
  </si>
  <si>
    <t>^ 20:51</t>
  </si>
  <si>
    <t>06:15</t>
  </si>
  <si>
    <t>10:42</t>
  </si>
  <si>
    <t>19:34</t>
  </si>
  <si>
    <t>23:16</t>
  </si>
  <si>
    <t>03:42</t>
  </si>
  <si>
    <t>04:42</t>
  </si>
  <si>
    <t>11:34</t>
  </si>
  <si>
    <t>23:55</t>
  </si>
  <si>
    <t>120:36</t>
  </si>
  <si>
    <t>111:10</t>
  </si>
  <si>
    <t>23:05</t>
  </si>
  <si>
    <t>30:01</t>
  </si>
  <si>
    <t>96:41</t>
  </si>
  <si>
    <t>אבישי  לייבנזון</t>
  </si>
  <si>
    <t>ולדה טריאקו</t>
  </si>
  <si>
    <t>16:36</t>
  </si>
  <si>
    <t>16:32</t>
  </si>
  <si>
    <t>17:05</t>
  </si>
  <si>
    <t>08:42</t>
  </si>
  <si>
    <t>16:58</t>
  </si>
  <si>
    <t>08:45</t>
  </si>
  <si>
    <t>16:27</t>
  </si>
  <si>
    <t>43:55</t>
  </si>
  <si>
    <t>41:25</t>
  </si>
  <si>
    <t>40:56</t>
  </si>
  <si>
    <t>16:07</t>
  </si>
  <si>
    <t>13:01</t>
  </si>
  <si>
    <t>05:22</t>
  </si>
  <si>
    <t>31:06</t>
  </si>
  <si>
    <t>29:36</t>
  </si>
  <si>
    <t>29:21</t>
  </si>
  <si>
    <t>16:59</t>
  </si>
  <si>
    <t>07:54</t>
  </si>
  <si>
    <t>11:22</t>
  </si>
  <si>
    <t>04:41</t>
  </si>
  <si>
    <t>04:11</t>
  </si>
  <si>
    <t>16:01</t>
  </si>
  <si>
    <t>08:32</t>
  </si>
  <si>
    <t>08:02</t>
  </si>
  <si>
    <t>127:02</t>
  </si>
  <si>
    <t>120:02</t>
  </si>
  <si>
    <t>119:02</t>
  </si>
  <si>
    <t>06:47</t>
  </si>
  <si>
    <t>אמיר אורון</t>
  </si>
  <si>
    <t>קבלני משנה</t>
  </si>
  <si>
    <t>82</t>
  </si>
  <si>
    <t>^ 16:12</t>
  </si>
  <si>
    <t>^ 08:14</t>
  </si>
  <si>
    <t>^ 16:01</t>
  </si>
  <si>
    <t>^ 07:49</t>
  </si>
  <si>
    <t>^ 16:04</t>
  </si>
  <si>
    <t>24:30</t>
  </si>
  <si>
    <t>24:00</t>
  </si>
  <si>
    <t>23:56</t>
  </si>
  <si>
    <t>^ 07:10</t>
  </si>
  <si>
    <t>^ 14:00</t>
  </si>
  <si>
    <t>^ 07:22</t>
  </si>
  <si>
    <t>^ 12:20</t>
  </si>
  <si>
    <t>04:58</t>
  </si>
  <si>
    <t>^ 14:05</t>
  </si>
  <si>
    <t>06:07</t>
  </si>
  <si>
    <t>02:17</t>
  </si>
  <si>
    <t>18:25</t>
  </si>
  <si>
    <t>24:35</t>
  </si>
  <si>
    <t>^ 07:14</t>
  </si>
  <si>
    <t>^ 13:50</t>
  </si>
  <si>
    <t>02:18</t>
  </si>
  <si>
    <t>^ 07:29</t>
  </si>
  <si>
    <t>^ 11:17</t>
  </si>
  <si>
    <t>03:48</t>
  </si>
  <si>
    <t>03:18</t>
  </si>
  <si>
    <t>04:06</t>
  </si>
  <si>
    <t>^ 13:30</t>
  </si>
  <si>
    <t>05:38</t>
  </si>
  <si>
    <t>15:02</t>
  </si>
  <si>
    <t>^ 16:18</t>
  </si>
  <si>
    <t>^ 13:15</t>
  </si>
  <si>
    <t>05:13</t>
  </si>
  <si>
    <t>03:11</t>
  </si>
  <si>
    <t>73:13</t>
  </si>
  <si>
    <t>69:43</t>
  </si>
  <si>
    <t>65:20</t>
  </si>
  <si>
    <t>69:39</t>
  </si>
  <si>
    <t>04:12</t>
  </si>
  <si>
    <t>49:05</t>
  </si>
  <si>
    <t>אורן  סרויה</t>
  </si>
  <si>
    <t>רוה"מ</t>
  </si>
  <si>
    <t>ממ״ג יבנה</t>
  </si>
  <si>
    <t>17:40</t>
  </si>
  <si>
    <t>11:11</t>
  </si>
  <si>
    <t>ממ״ג תעשיה אווירית</t>
  </si>
  <si>
    <t>30:13</t>
  </si>
  <si>
    <t>29:43</t>
  </si>
  <si>
    <t>03:44</t>
  </si>
  <si>
    <t>06:28</t>
  </si>
  <si>
    <t>17:50</t>
  </si>
  <si>
    <t>ממ״ג</t>
  </si>
  <si>
    <t>06:45</t>
  </si>
  <si>
    <t>01:58</t>
  </si>
  <si>
    <t>16:11</t>
  </si>
  <si>
    <t>קמג .יש להוסיף שעת עבודה  מנסיעות לדרום</t>
  </si>
  <si>
    <t>18:44</t>
  </si>
  <si>
    <t>50:27</t>
  </si>
  <si>
    <t>47:57</t>
  </si>
  <si>
    <t>05:57</t>
  </si>
  <si>
    <t>03:25</t>
  </si>
  <si>
    <t>קמ״ג.יש להוסיף שעת עבודה מנסיעות לדרום</t>
  </si>
  <si>
    <t>18:50</t>
  </si>
  <si>
    <t>10:58</t>
  </si>
  <si>
    <t>ממ״ג יבנהזכרון+עצמאות</t>
  </si>
  <si>
    <t>29:08</t>
  </si>
  <si>
    <t>27:38</t>
  </si>
  <si>
    <t>24:12</t>
  </si>
  <si>
    <t>03:22</t>
  </si>
  <si>
    <t>06:33</t>
  </si>
  <si>
    <t>02:59</t>
  </si>
  <si>
    <t>13:14</t>
  </si>
  <si>
    <t>19:49</t>
  </si>
  <si>
    <t>^ 16:33</t>
  </si>
  <si>
    <t>19:05</t>
  </si>
  <si>
    <t>158:52</t>
  </si>
  <si>
    <t>151:52</t>
  </si>
  <si>
    <t>110:24</t>
  </si>
  <si>
    <t>133:24</t>
  </si>
  <si>
    <t>22:29</t>
  </si>
  <si>
    <t>07:48</t>
  </si>
  <si>
    <t>דוד לוי</t>
  </si>
  <si>
    <t xml:space="preserve">חל"ת  </t>
  </si>
  <si>
    <t>07:43</t>
  </si>
  <si>
    <t>15:57</t>
  </si>
  <si>
    <t>^ 16:58</t>
  </si>
  <si>
    <t>16:06</t>
  </si>
  <si>
    <t>דרום, יש להוסיף שעת נסיעה</t>
  </si>
  <si>
    <t>09:46</t>
  </si>
  <si>
    <t>16:12</t>
  </si>
  <si>
    <t>06:26</t>
  </si>
  <si>
    <t>05:56</t>
  </si>
  <si>
    <t>40:46</t>
  </si>
  <si>
    <t>38:16</t>
  </si>
  <si>
    <t>04:07</t>
  </si>
  <si>
    <t>37:53</t>
  </si>
  <si>
    <t>05:33</t>
  </si>
  <si>
    <t>08:10</t>
  </si>
  <si>
    <t>07:40</t>
  </si>
  <si>
    <t>11:15</t>
  </si>
  <si>
    <t>10:45</t>
  </si>
  <si>
    <t>07:15</t>
  </si>
  <si>
    <t>13:38</t>
  </si>
  <si>
    <t>06:23</t>
  </si>
  <si>
    <t>05:53</t>
  </si>
  <si>
    <t>25:48</t>
  </si>
  <si>
    <t>24:18</t>
  </si>
  <si>
    <t>21:57</t>
  </si>
  <si>
    <t xml:space="preserve">מחלה  </t>
  </si>
  <si>
    <t>15:06</t>
  </si>
  <si>
    <t>74:22</t>
  </si>
  <si>
    <t>04:30</t>
  </si>
  <si>
    <t>69:52</t>
  </si>
  <si>
    <t>76:48</t>
  </si>
  <si>
    <t>67:08</t>
  </si>
  <si>
    <t>06:56</t>
  </si>
  <si>
    <t>מחלה</t>
  </si>
  <si>
    <t>חל"ת</t>
  </si>
  <si>
    <t>דני ישראל</t>
  </si>
  <si>
    <t>14:34</t>
  </si>
  <si>
    <t>16:05</t>
  </si>
  <si>
    <t>קמג</t>
  </si>
  <si>
    <t>12:58</t>
  </si>
  <si>
    <t>20:24</t>
  </si>
  <si>
    <t>19:24</t>
  </si>
  <si>
    <t>02:13</t>
  </si>
  <si>
    <t>16:22</t>
  </si>
  <si>
    <t>15:28</t>
  </si>
  <si>
    <t>06:41</t>
  </si>
  <si>
    <t>^ 14:56</t>
  </si>
  <si>
    <t>58:35</t>
  </si>
  <si>
    <t>55:05</t>
  </si>
  <si>
    <t>07:23</t>
  </si>
  <si>
    <t>הודיה הכהן</t>
  </si>
  <si>
    <t>07:33</t>
  </si>
  <si>
    <t>15:09</t>
  </si>
  <si>
    <t>07:06</t>
  </si>
  <si>
    <t>דרום</t>
  </si>
  <si>
    <t>16:25</t>
  </si>
  <si>
    <t>10:18</t>
  </si>
  <si>
    <t>יבנה</t>
  </si>
  <si>
    <t>15:44</t>
  </si>
  <si>
    <t>18:08</t>
  </si>
  <si>
    <t>12:07</t>
  </si>
  <si>
    <t>11:37</t>
  </si>
  <si>
    <t>01:13</t>
  </si>
  <si>
    <t>03:13</t>
  </si>
  <si>
    <t>50:11</t>
  </si>
  <si>
    <t>47:41</t>
  </si>
  <si>
    <t>40:42</t>
  </si>
  <si>
    <t>15:52</t>
  </si>
  <si>
    <t>זכרון+עצמאות \nיבנה</t>
  </si>
  <si>
    <t>18:49</t>
  </si>
  <si>
    <t>12:29</t>
  </si>
  <si>
    <t>11:59</t>
  </si>
  <si>
    <t>21:34</t>
  </si>
  <si>
    <t>20:34</t>
  </si>
  <si>
    <t>06:24</t>
  </si>
  <si>
    <t>16:57</t>
  </si>
  <si>
    <t>10:33</t>
  </si>
  <si>
    <t>17:18</t>
  </si>
  <si>
    <t>10:29</t>
  </si>
  <si>
    <t>09:59</t>
  </si>
  <si>
    <t>122:39</t>
  </si>
  <si>
    <t>116:39</t>
  </si>
  <si>
    <t>99:30</t>
  </si>
  <si>
    <t>14:13</t>
  </si>
  <si>
    <t>24:09</t>
  </si>
  <si>
    <t>טל בירנבאום</t>
  </si>
  <si>
    <t>שאגת הארי</t>
  </si>
  <si>
    <t>30:36</t>
  </si>
  <si>
    <t>16:42</t>
  </si>
  <si>
    <t>01:42</t>
  </si>
  <si>
    <t>דרום- להוסיף שעת נסיעה</t>
  </si>
  <si>
    <t>^ 07:12</t>
  </si>
  <si>
    <t>^ 16:15</t>
  </si>
  <si>
    <t>דרום, להוסיף שעת נסיעה</t>
  </si>
  <si>
    <t>^ 11:02</t>
  </si>
  <si>
    <t>מרכז</t>
  </si>
  <si>
    <t>^ 13:04</t>
  </si>
  <si>
    <t>^ 16:24</t>
  </si>
  <si>
    <t>^ 07:24</t>
  </si>
  <si>
    <t>15:12</t>
  </si>
  <si>
    <t>^ 09:00</t>
  </si>
  <si>
    <t>^ 15:40</t>
  </si>
  <si>
    <t>06:40</t>
  </si>
  <si>
    <t>06:10</t>
  </si>
  <si>
    <t>דרום להוסיף שעת נסיעה</t>
  </si>
  <si>
    <t>38:43</t>
  </si>
  <si>
    <t>36:13</t>
  </si>
  <si>
    <t>36:04</t>
  </si>
  <si>
    <t>04:28</t>
  </si>
  <si>
    <t>^ 07:30</t>
  </si>
  <si>
    <t>^ 15:12</t>
  </si>
  <si>
    <t>07:12</t>
  </si>
  <si>
    <t>לבדוק שעת כניסה, דרום להוסיף שעת נסיעה</t>
  </si>
  <si>
    <t>^ 08:45</t>
  </si>
  <si>
    <t>^ 16:06</t>
  </si>
  <si>
    <t>05:27</t>
  </si>
  <si>
    <t>15:03</t>
  </si>
  <si>
    <t>14:03</t>
  </si>
  <si>
    <t>16:45</t>
  </si>
  <si>
    <t>05:37</t>
  </si>
  <si>
    <t>02:29</t>
  </si>
  <si>
    <t>14:56</t>
  </si>
  <si>
    <t>16:38</t>
  </si>
  <si>
    <t>14:57</t>
  </si>
  <si>
    <t>03:12</t>
  </si>
  <si>
    <t>02:45</t>
  </si>
  <si>
    <t>88:07</t>
  </si>
  <si>
    <t>05:00</t>
  </si>
  <si>
    <t>83:07</t>
  </si>
  <si>
    <t>139:12</t>
  </si>
  <si>
    <t>61:41</t>
  </si>
  <si>
    <t>82:58</t>
  </si>
  <si>
    <t>05:36</t>
  </si>
  <si>
    <t>56:05</t>
  </si>
  <si>
    <t>יום טוב מוסארי</t>
  </si>
  <si>
    <t>14:29</t>
  </si>
  <si>
    <t>06:27</t>
  </si>
  <si>
    <t>תע״א</t>
  </si>
  <si>
    <t>21:27</t>
  </si>
  <si>
    <t>06:53</t>
  </si>
  <si>
    <t>15:58</t>
  </si>
  <si>
    <t>09:58</t>
  </si>
  <si>
    <t>48:14</t>
  </si>
  <si>
    <t>45:44</t>
  </si>
  <si>
    <t>16:44</t>
  </si>
  <si>
    <t>זכרון+עצמאות יבנה</t>
  </si>
  <si>
    <t>05:50</t>
  </si>
  <si>
    <t>09:01</t>
  </si>
  <si>
    <t>08:31</t>
  </si>
  <si>
    <t>35:03</t>
  </si>
  <si>
    <t>33:03</t>
  </si>
  <si>
    <t>31:02</t>
  </si>
  <si>
    <t>11:10</t>
  </si>
  <si>
    <t>10:24</t>
  </si>
  <si>
    <t>09:54</t>
  </si>
  <si>
    <t>07:10</t>
  </si>
  <si>
    <t>154:53</t>
  </si>
  <si>
    <t>147:23</t>
  </si>
  <si>
    <t>84:24</t>
  </si>
  <si>
    <t>136:29</t>
  </si>
  <si>
    <t>לאון שמייב</t>
  </si>
  <si>
    <t>07:22</t>
  </si>
  <si>
    <t>דרום- קמג</t>
  </si>
  <si>
    <t>16:21</t>
  </si>
  <si>
    <t>15:42</t>
  </si>
  <si>
    <t>15:39</t>
  </si>
  <si>
    <t>דרום - קמ״ג</t>
  </si>
  <si>
    <t>43:58</t>
  </si>
  <si>
    <t>41:28</t>
  </si>
  <si>
    <t>40:00</t>
  </si>
  <si>
    <t>16:34</t>
  </si>
  <si>
    <t>15:50</t>
  </si>
  <si>
    <t>14:12</t>
  </si>
  <si>
    <t>07:13</t>
  </si>
  <si>
    <t>34:44</t>
  </si>
  <si>
    <t>32:44</t>
  </si>
  <si>
    <t>31:36</t>
  </si>
  <si>
    <t>06:42</t>
  </si>
  <si>
    <t>15:46</t>
  </si>
  <si>
    <t>08:34</t>
  </si>
  <si>
    <t>06:55</t>
  </si>
  <si>
    <t>15:10</t>
  </si>
  <si>
    <t>דרום - קמג</t>
  </si>
  <si>
    <t>16:26</t>
  </si>
  <si>
    <t>06:22</t>
  </si>
  <si>
    <t>15:32</t>
  </si>
  <si>
    <t>125:00</t>
  </si>
  <si>
    <t>04:27</t>
  </si>
  <si>
    <t>112:57</t>
  </si>
  <si>
    <t>05:03</t>
  </si>
  <si>
    <t>12:03</t>
  </si>
  <si>
    <t>מיכה אברג'ל</t>
  </si>
  <si>
    <t>מצורף אישור מילואים</t>
  </si>
  <si>
    <t>03:32</t>
  </si>
  <si>
    <t>13:15</t>
  </si>
  <si>
    <t>17:06</t>
  </si>
  <si>
    <t>03:51</t>
  </si>
  <si>
    <t>^ 08:53</t>
  </si>
  <si>
    <t>נסיעה לדרום</t>
  </si>
  <si>
    <t>16:19</t>
  </si>
  <si>
    <t>18:12</t>
  </si>
  <si>
    <t>02:37</t>
  </si>
  <si>
    <t>14:46</t>
  </si>
  <si>
    <t>05:46</t>
  </si>
  <si>
    <t>08:20</t>
  </si>
  <si>
    <t>15:27</t>
  </si>
  <si>
    <t>16:47</t>
  </si>
  <si>
    <t>58:38</t>
  </si>
  <si>
    <t>55:38</t>
  </si>
  <si>
    <t>61:00</t>
  </si>
  <si>
    <t>54:52</t>
  </si>
  <si>
    <t>נתן פרדר</t>
  </si>
  <si>
    <t>025155235</t>
  </si>
  <si>
    <t>17:39</t>
  </si>
  <si>
    <t>09:26</t>
  </si>
  <si>
    <t>18:45</t>
  </si>
  <si>
    <t>14:31</t>
  </si>
  <si>
    <t>44:55</t>
  </si>
  <si>
    <t>42:55</t>
  </si>
  <si>
    <t>39:26</t>
  </si>
  <si>
    <t>06:48</t>
  </si>
  <si>
    <t>19:41</t>
  </si>
  <si>
    <t>18:38</t>
  </si>
  <si>
    <t>10:16</t>
  </si>
  <si>
    <t>13:42</t>
  </si>
  <si>
    <t>05:59</t>
  </si>
  <si>
    <t>36:56</t>
  </si>
  <si>
    <t>34:56</t>
  </si>
  <si>
    <t>30:41</t>
  </si>
  <si>
    <t>17:45</t>
  </si>
  <si>
    <t>09:37</t>
  </si>
  <si>
    <t>10:59</t>
  </si>
  <si>
    <t>11:31</t>
  </si>
  <si>
    <t>18:01</t>
  </si>
  <si>
    <t>10:08</t>
  </si>
  <si>
    <t>134:54</t>
  </si>
  <si>
    <t>128:24</t>
  </si>
  <si>
    <t>112:07</t>
  </si>
  <si>
    <t>15:31</t>
  </si>
  <si>
    <t>14:01</t>
  </si>
  <si>
    <t>רום יחיא</t>
  </si>
  <si>
    <t>02:41</t>
  </si>
  <si>
    <t>15:05</t>
  </si>
  <si>
    <t>06:03</t>
  </si>
  <si>
    <t>02:12</t>
  </si>
  <si>
    <t>16:14</t>
  </si>
  <si>
    <t>02:40</t>
  </si>
  <si>
    <t>41:27</t>
  </si>
  <si>
    <t>38:57</t>
  </si>
  <si>
    <t>11:14</t>
  </si>
  <si>
    <t>אבי בנג'ו</t>
  </si>
  <si>
    <t>רפאל</t>
  </si>
  <si>
    <t>^ 07:57</t>
  </si>
  <si>
    <t>^ 17:05</t>
  </si>
  <si>
    <t>^ 17:36</t>
  </si>
  <si>
    <t>^ 07:58</t>
  </si>
  <si>
    <t>^ 17:15</t>
  </si>
  <si>
    <t>^ 17:04</t>
  </si>
  <si>
    <t>^ 17:02</t>
  </si>
  <si>
    <t>^ 17:06</t>
  </si>
  <si>
    <t>46:35</t>
  </si>
  <si>
    <t>44:05</t>
  </si>
  <si>
    <t>^ 18:26</t>
  </si>
  <si>
    <t>10:41</t>
  </si>
  <si>
    <t>10:11</t>
  </si>
  <si>
    <t>^ 07:34</t>
  </si>
  <si>
    <t>^ 17:35</t>
  </si>
  <si>
    <t>10:01</t>
  </si>
  <si>
    <t>09:31</t>
  </si>
  <si>
    <t>^ 17:09</t>
  </si>
  <si>
    <t>^ 17:23</t>
  </si>
  <si>
    <t>39:38</t>
  </si>
  <si>
    <t>37:38</t>
  </si>
  <si>
    <t>32:36</t>
  </si>
  <si>
    <t>^ 17:22</t>
  </si>
  <si>
    <t>^ 17:16</t>
  </si>
  <si>
    <t>^ 17:18</t>
  </si>
  <si>
    <t>142:37</t>
  </si>
  <si>
    <t>135:07</t>
  </si>
  <si>
    <t>10:07</t>
  </si>
  <si>
    <t>17:07</t>
  </si>
  <si>
    <t>אוראל שווקי</t>
  </si>
  <si>
    <t>^ 17:29</t>
  </si>
  <si>
    <t>49:08</t>
  </si>
  <si>
    <t>46:38</t>
  </si>
  <si>
    <t>^ 07:40</t>
  </si>
  <si>
    <t>13:58</t>
  </si>
  <si>
    <t>05:48</t>
  </si>
  <si>
    <t>35:10</t>
  </si>
  <si>
    <t>33:10</t>
  </si>
  <si>
    <t>31:00</t>
  </si>
  <si>
    <t>01:54</t>
  </si>
  <si>
    <t>17:41</t>
  </si>
  <si>
    <t>16:15</t>
  </si>
  <si>
    <t>130:47</t>
  </si>
  <si>
    <t>123:47</t>
  </si>
  <si>
    <t>117:00</t>
  </si>
  <si>
    <t>113:50</t>
  </si>
  <si>
    <t>09:53</t>
  </si>
  <si>
    <t>אייל מלח</t>
  </si>
  <si>
    <t>מילואים  ^</t>
  </si>
  <si>
    <t>16:49</t>
  </si>
  <si>
    <t>28:34</t>
  </si>
  <si>
    <t>27:04</t>
  </si>
  <si>
    <t>02:19</t>
  </si>
  <si>
    <t>16:24</t>
  </si>
  <si>
    <t>28:01</t>
  </si>
  <si>
    <t>26:31</t>
  </si>
  <si>
    <t>16:56</t>
  </si>
  <si>
    <t>102:42</t>
  </si>
  <si>
    <t>97:12</t>
  </si>
  <si>
    <t>92:24</t>
  </si>
  <si>
    <t>04:48</t>
  </si>
  <si>
    <t>08:05</t>
  </si>
  <si>
    <t>אריק רוזנווסר</t>
  </si>
  <si>
    <t>35:02</t>
  </si>
  <si>
    <t>33:02</t>
  </si>
  <si>
    <t>32:57</t>
  </si>
  <si>
    <t>ההסעה התעקבה.</t>
  </si>
  <si>
    <t>16:51</t>
  </si>
  <si>
    <t>07:07</t>
  </si>
  <si>
    <t>^ 16:50</t>
  </si>
  <si>
    <t>35:31</t>
  </si>
  <si>
    <t>33:31</t>
  </si>
  <si>
    <t>32:12</t>
  </si>
  <si>
    <t>ההסעה איחרה</t>
  </si>
  <si>
    <t>16:52</t>
  </si>
  <si>
    <t>114:28</t>
  </si>
  <si>
    <t>107:58</t>
  </si>
  <si>
    <t>19:33</t>
  </si>
  <si>
    <t>106:15</t>
  </si>
  <si>
    <t>01:43</t>
  </si>
  <si>
    <t>טל ניב</t>
  </si>
  <si>
    <t>13:55</t>
  </si>
  <si>
    <t>05:06</t>
  </si>
  <si>
    <t>13:31</t>
  </si>
  <si>
    <t>32:42</t>
  </si>
  <si>
    <t>31:42</t>
  </si>
  <si>
    <t>30:42</t>
  </si>
  <si>
    <t>18:58</t>
  </si>
  <si>
    <t>03:04</t>
  </si>
  <si>
    <t>^ 17:20</t>
  </si>
  <si>
    <t>44:33</t>
  </si>
  <si>
    <t>42:03</t>
  </si>
  <si>
    <t>13:00</t>
  </si>
  <si>
    <t>32:43</t>
  </si>
  <si>
    <t>30:43</t>
  </si>
  <si>
    <t>17:47</t>
  </si>
  <si>
    <t>^ 07:39</t>
  </si>
  <si>
    <t>160:28</t>
  </si>
  <si>
    <t>151:58</t>
  </si>
  <si>
    <t>150:54</t>
  </si>
  <si>
    <t>20:16</t>
  </si>
  <si>
    <t>יענקל מונטבולינסקי</t>
  </si>
  <si>
    <t>24:24</t>
  </si>
  <si>
    <t>23:54</t>
  </si>
  <si>
    <t>23:36</t>
  </si>
  <si>
    <t>46:24</t>
  </si>
  <si>
    <t>43:54</t>
  </si>
  <si>
    <t>41:41</t>
  </si>
  <si>
    <t>04:09</t>
  </si>
  <si>
    <t>^ 17:08</t>
  </si>
  <si>
    <t>13:51</t>
  </si>
  <si>
    <t>05:31</t>
  </si>
  <si>
    <t>22:24</t>
  </si>
  <si>
    <t>22:06</t>
  </si>
  <si>
    <t>06:13</t>
  </si>
  <si>
    <t>05:43</t>
  </si>
  <si>
    <t>03:45</t>
  </si>
  <si>
    <t>134:12</t>
  </si>
  <si>
    <t>127:12</t>
  </si>
  <si>
    <t>125:12</t>
  </si>
  <si>
    <t>124:02</t>
  </si>
  <si>
    <t>15:48</t>
  </si>
  <si>
    <t>לוי דור</t>
  </si>
  <si>
    <t>^ 17:14</t>
  </si>
  <si>
    <t>^ 17:27</t>
  </si>
  <si>
    <t>18:15</t>
  </si>
  <si>
    <t>27:15</t>
  </si>
  <si>
    <t>25:45</t>
  </si>
  <si>
    <t>מיכאל רפאל</t>
  </si>
  <si>
    <t>^ 12:00</t>
  </si>
  <si>
    <t>03:36</t>
  </si>
  <si>
    <t>^ 18:20</t>
  </si>
  <si>
    <t>14:06</t>
  </si>
  <si>
    <t>12:24</t>
  </si>
  <si>
    <t>04:18</t>
  </si>
  <si>
    <t>15:29</t>
  </si>
  <si>
    <t>^ 16:30</t>
  </si>
  <si>
    <t>10:21</t>
  </si>
  <si>
    <t>^ 19:03</t>
  </si>
  <si>
    <t>02:03</t>
  </si>
  <si>
    <t>47:05</t>
  </si>
  <si>
    <t>44:35</t>
  </si>
  <si>
    <t>02:35</t>
  </si>
  <si>
    <t>^ 17:01</t>
  </si>
  <si>
    <t>10:05</t>
  </si>
  <si>
    <t>^ 08:00</t>
  </si>
  <si>
    <t>^ 12:30</t>
  </si>
  <si>
    <t>03:24</t>
  </si>
  <si>
    <t>35:22</t>
  </si>
  <si>
    <t>33:22</t>
  </si>
  <si>
    <t>29:12</t>
  </si>
  <si>
    <t>04:10</t>
  </si>
  <si>
    <t>15:15</t>
  </si>
  <si>
    <t>^ 18:09</t>
  </si>
  <si>
    <t>14:40</t>
  </si>
  <si>
    <t>^ 17:31</t>
  </si>
  <si>
    <t>^ 19:31</t>
  </si>
  <si>
    <t>^ 08:30</t>
  </si>
  <si>
    <t>^ 17:30</t>
  </si>
  <si>
    <t>149:02</t>
  </si>
  <si>
    <t>140:32</t>
  </si>
  <si>
    <t>125:48</t>
  </si>
  <si>
    <t>129:36</t>
  </si>
  <si>
    <t>10:56</t>
  </si>
  <si>
    <t>04:21</t>
  </si>
  <si>
    <t>מנפרד מרקוביץ'</t>
  </si>
  <si>
    <t>11:25</t>
  </si>
  <si>
    <t>10:55</t>
  </si>
  <si>
    <t>05:24</t>
  </si>
  <si>
    <t>10:49</t>
  </si>
  <si>
    <t>^ 12:40</t>
  </si>
  <si>
    <t>01:37</t>
  </si>
  <si>
    <t>11:04</t>
  </si>
  <si>
    <t>39:35</t>
  </si>
  <si>
    <t>37:35</t>
  </si>
  <si>
    <t>30:59</t>
  </si>
  <si>
    <t>05:55</t>
  </si>
  <si>
    <t>82:29</t>
  </si>
  <si>
    <t>78:29</t>
  </si>
  <si>
    <t>64:35</t>
  </si>
  <si>
    <t>12:25</t>
  </si>
  <si>
    <t>משה בורך</t>
  </si>
  <si>
    <t>^ 06:50</t>
  </si>
  <si>
    <t>^ 13:00</t>
  </si>
  <si>
    <t>05:40</t>
  </si>
  <si>
    <t>05:16</t>
  </si>
  <si>
    <t>^ 06:55</t>
  </si>
  <si>
    <t>^ 07:05</t>
  </si>
  <si>
    <t>^ 16:10</t>
  </si>
  <si>
    <t>^ 16:20</t>
  </si>
  <si>
    <t>46:30</t>
  </si>
  <si>
    <t>44:00</t>
  </si>
  <si>
    <t>37:05</t>
  </si>
  <si>
    <t>35:05</t>
  </si>
  <si>
    <t>^ 18:25</t>
  </si>
  <si>
    <t>145:26</t>
  </si>
  <si>
    <t>137:26</t>
  </si>
  <si>
    <t>127:46</t>
  </si>
  <si>
    <t>27:02</t>
  </si>
  <si>
    <t>נתן  מזרחי</t>
  </si>
  <si>
    <t>^ 17:38</t>
  </si>
  <si>
    <t>^ 07:46</t>
  </si>
  <si>
    <t>10:15</t>
  </si>
  <si>
    <t>^ 07:35</t>
  </si>
  <si>
    <t>48:41</t>
  </si>
  <si>
    <t>46:11</t>
  </si>
  <si>
    <t>41:09</t>
  </si>
  <si>
    <t>^ 08:25</t>
  </si>
  <si>
    <t>^ 18:06</t>
  </si>
  <si>
    <t>17:56</t>
  </si>
  <si>
    <t>^ 14:04</t>
  </si>
  <si>
    <t>05:41</t>
  </si>
  <si>
    <t>^ 08:11</t>
  </si>
  <si>
    <t>^ 18:11</t>
  </si>
  <si>
    <t>35:41</t>
  </si>
  <si>
    <t>33:41</t>
  </si>
  <si>
    <t>30:53</t>
  </si>
  <si>
    <t>02:48</t>
  </si>
  <si>
    <t>^ 07:51</t>
  </si>
  <si>
    <t>10:54</t>
  </si>
  <si>
    <t>11:05</t>
  </si>
  <si>
    <t>^ 07:48</t>
  </si>
  <si>
    <t>18:51</t>
  </si>
  <si>
    <t>145:44</t>
  </si>
  <si>
    <t>138:14</t>
  </si>
  <si>
    <t>122:23</t>
  </si>
  <si>
    <t>15:24</t>
  </si>
  <si>
    <t>15:51</t>
  </si>
  <si>
    <t>11:57</t>
  </si>
  <si>
    <t>צחי חנגל</t>
  </si>
  <si>
    <t>^ 17:10</t>
  </si>
  <si>
    <t>^ 08:07</t>
  </si>
  <si>
    <t>27:32</t>
  </si>
  <si>
    <t>26:02</t>
  </si>
  <si>
    <t>03:07</t>
  </si>
  <si>
    <t>^ 18:05</t>
  </si>
  <si>
    <t>^ 08:27</t>
  </si>
  <si>
    <t>^ 08:23</t>
  </si>
  <si>
    <t>^ 17:41</t>
  </si>
  <si>
    <t>37:07</t>
  </si>
  <si>
    <t>35:07</t>
  </si>
  <si>
    <t>^ 08:05</t>
  </si>
  <si>
    <t>^ 08:16</t>
  </si>
  <si>
    <t>^ 17:26</t>
  </si>
  <si>
    <t>110:22</t>
  </si>
  <si>
    <t>104:22</t>
  </si>
  <si>
    <t>93:36</t>
  </si>
  <si>
    <t>99:48</t>
  </si>
  <si>
    <t>04:34</t>
  </si>
  <si>
    <t>12:49</t>
  </si>
  <si>
    <t>אבישי שרון מהדקאר</t>
  </si>
  <si>
    <t>תומר</t>
  </si>
  <si>
    <t>^ 22:10</t>
  </si>
  <si>
    <t>05:45</t>
  </si>
  <si>
    <t>14:33</t>
  </si>
  <si>
    <t>17:52</t>
  </si>
  <si>
    <t>12:09</t>
  </si>
  <si>
    <t>11:21</t>
  </si>
  <si>
    <t>16:30</t>
  </si>
  <si>
    <t>21:58</t>
  </si>
  <si>
    <t>13:52</t>
  </si>
  <si>
    <t>^ 03:40</t>
  </si>
  <si>
    <t>^ 15:25</t>
  </si>
  <si>
    <t>11:45</t>
  </si>
  <si>
    <t>60:01</t>
  </si>
  <si>
    <t>57:13</t>
  </si>
  <si>
    <t>40:36</t>
  </si>
  <si>
    <t>10:36</t>
  </si>
  <si>
    <t>^ 06:25</t>
  </si>
  <si>
    <t>13:13</t>
  </si>
  <si>
    <t>^ 15:42</t>
  </si>
  <si>
    <t>36:40</t>
  </si>
  <si>
    <t>35:28</t>
  </si>
  <si>
    <t>12:26</t>
  </si>
  <si>
    <t>^ 14:57</t>
  </si>
  <si>
    <t>158:47</t>
  </si>
  <si>
    <t>152:23</t>
  </si>
  <si>
    <t>107:48</t>
  </si>
  <si>
    <t>27:53</t>
  </si>
  <si>
    <t>מיכאל קייטלין</t>
  </si>
  <si>
    <t>^ 06:32</t>
  </si>
  <si>
    <t>^ 15:52</t>
  </si>
  <si>
    <t>^ 06:10</t>
  </si>
  <si>
    <t>^ 16:53</t>
  </si>
  <si>
    <t>10:43</t>
  </si>
  <si>
    <t>13:59</t>
  </si>
  <si>
    <t>37:00</t>
  </si>
  <si>
    <t>36:12</t>
  </si>
  <si>
    <t>26:08</t>
  </si>
  <si>
    <t>05:49</t>
  </si>
  <si>
    <t>88:47</t>
  </si>
  <si>
    <t>85:59</t>
  </si>
  <si>
    <t>68:08</t>
  </si>
  <si>
    <t>ימים משולמים</t>
  </si>
  <si>
    <t>שם עובד</t>
  </si>
  <si>
    <t>ימי מחלה</t>
  </si>
  <si>
    <t>ללא מחלה</t>
  </si>
  <si>
    <t>הופחת 1 ימים בגין מחלה</t>
  </si>
  <si>
    <t>הופחת 1.5 ימים בגין מחלה</t>
  </si>
  <si>
    <t>2. השלמת אירועים בחג/ערב חג (132 אירועים הושלמו)</t>
  </si>
  <si>
    <t>אירוע שהושלם</t>
  </si>
  <si>
    <t xml:space="preserve">תאונת עבודה  </t>
  </si>
  <si>
    <t>5. אריאל אליה - תאונת עבודה (כל החודש)</t>
  </si>
  <si>
    <t>עודכן אירוע='תאונת עבודה' ב-15 ימי חול/חוה"מ. שעות חוסר אופסו (היו 118).</t>
  </si>
  <si>
    <t>פירוט</t>
  </si>
  <si>
    <t>ד - 01: ע.חג -0.5; א - 05: חוה"מ -1; ב - 06: חוה"מ -1; ג - 07: ע.חג -0.5; ג - 21: ע.חג -0.5</t>
  </si>
  <si>
    <t>ד - 01: ע.חג -0.5; ג - 21: ע.חג -0.5</t>
  </si>
  <si>
    <t>ד - 01: ע.חג -0.5; ג - 07: ע.חג -0.5; ג - 21: ע.חג -0.5</t>
  </si>
  <si>
    <t>תאונת עבודה/מילואים - מכוסה</t>
  </si>
  <si>
    <t>ד - 01: ע.חג -0.5; א - 05: חוה"מ -1; ג - 07: ע.חג -0.5; ג - 21: ע.חג -0.5</t>
  </si>
  <si>
    <t>ד - 01: ע.חג -0.5; ב - 06: חוה"מ -1; ג - 07: ע.חג -0.5; ג - 21: ע.חג -0.5</t>
  </si>
  <si>
    <t>ג - 21: ע.חג -0.5</t>
  </si>
  <si>
    <t>ג - 07: ע.חג -0.5</t>
  </si>
  <si>
    <t>ד - 01: ע.חג -0.5; ג - 07: ע.חג -0.5</t>
  </si>
  <si>
    <t>ד - 01: ע.חג -0.5; א - 05: חוה"מ -1; ב - 06: חוה"מ -1; ג - 07: ע.חג -0.5</t>
  </si>
  <si>
    <t>—</t>
  </si>
  <si>
    <t>ד - 01: ע.חג -0.5</t>
  </si>
  <si>
    <t>סה"כ</t>
  </si>
  <si>
    <t>7. בדיקות סופיות (5/5/2026)</t>
  </si>
  <si>
    <t>בדיקה</t>
  </si>
  <si>
    <t>תוצאה</t>
  </si>
  <si>
    <t>פעולה</t>
  </si>
  <si>
    <t>1. חופש בימי חג/ע.חג</t>
  </si>
  <si>
    <t>3 מקרים נמצאו</t>
  </si>
  <si>
    <t>תוקן: דניאל בנדרימר (21,22.04), מיכה אברג'ל (21.04) - הוחזר ל'חג'/'ערב חג'</t>
  </si>
  <si>
    <t>2. חוסר תקן מדומה ב-21.04</t>
  </si>
  <si>
    <t>כל ההפחתות בוצעו ב-30 העובדים בסבב הקודם</t>
  </si>
  <si>
    <t>אין צורך בעדכון נוסף</t>
  </si>
  <si>
    <t>3. סיכום הצגת אירועים תקין</t>
  </si>
  <si>
    <t>31 בלוקים תוקנו</t>
  </si>
  <si>
    <t>כל עובד שלא במילואים/תאונת עבודה: חג=3, ע.חג=3, חוה"מ=2</t>
  </si>
  <si>
    <t>4. פורמט תאים בהצגת אירועים</t>
  </si>
  <si>
    <t>כל ה-K עודכן לפורמט מספר 0 (וחופשה מנוצלת=0.0)</t>
  </si>
  <si>
    <t>הפחתה מדומה (ע.חג/חג)</t>
  </si>
  <si>
    <t>סה"כ חוסר מעודכן</t>
  </si>
  <si>
    <t>4. תיקון שעות חוסר מדומות בערבי חג/חג</t>
  </si>
  <si>
    <t>חוסר מקורי</t>
  </si>
  <si>
    <t>הפחתה מדומה</t>
  </si>
  <si>
    <t>01.04: -0.40שע (ע.חג מדומה); 07.04: -0.40שע (ע.חג מדומה)</t>
  </si>
  <si>
    <t>01.04: -0.50שע (ע.חג מדומה)</t>
  </si>
  <si>
    <t>01.04: -0.50שע (ע.חג מדומה); 07.04: -0.50שע (ע.חג מדומה)</t>
  </si>
  <si>
    <t>01.04: -0.50שע (ע.חג מדומה); 07.04: -0.50שע (ע.חג מדומה); 21.04: -0.50שע (ע.חג מדומה)</t>
  </si>
  <si>
    <t>20.04: -1.50שע (ע.חג מדומה); 01.04: -0.50שע (ע.חג מדומה); 07.04: -0.50שע (ע.חג מדומה)</t>
  </si>
  <si>
    <t>20.04: -1.40שע (ע.חג מדומה); 01.04: -0.40שע (ע.חג מדומה); 07.04: -0.40שע (ע.חג מדומה)</t>
  </si>
  <si>
    <t>07.04: -0.50שע (ע.חג מדומה)</t>
  </si>
  <si>
    <t>20.04: -1.40שע (ע.חג מדומה); 01.04: -1.00שע (ע.חג מדומה); 07.04: -1.00שע (ע.חג מדומה)</t>
  </si>
  <si>
    <t>01.04: -1.00שע (ע.חג מדומה); 07.04: -1.00שע (ע.חג מדומה)</t>
  </si>
  <si>
    <t>01.04: -0.40שע (ע.חג מדומה); 07.04: -0.40שע (ע.חג מדומה); 21.04: -1.00שע (ע.חג מדומה)</t>
  </si>
  <si>
    <t>01.04: -0.40שע (ע.חג מדומה)</t>
  </si>
  <si>
    <t>מס' ימים</t>
  </si>
  <si>
    <t>פירוט תאריכים</t>
  </si>
  <si>
    <t>ה - 16, ה - 23</t>
  </si>
  <si>
    <t>א - 12, ד - 29</t>
  </si>
  <si>
    <t>חופש בע.חג</t>
  </si>
  <si>
    <t>חופש בחוה"מ</t>
  </si>
  <si>
    <t>חופשה לחיוב</t>
  </si>
  <si>
    <t>6. חופשה לחיוב - חופש קיים + חופש בע.חג/חוה"מ</t>
  </si>
  <si>
    <t>חופש קיים</t>
  </si>
  <si>
    <t>טבלת סיכום נוכחות חודש אפריל 2026</t>
  </si>
  <si>
    <t>סה"כ חופשה</t>
  </si>
  <si>
    <t>תאונת עבודה</t>
  </si>
  <si>
    <t>מחלה משולמת</t>
  </si>
  <si>
    <t>חוה"מ</t>
  </si>
  <si>
    <t>סטטוס</t>
  </si>
  <si>
    <t>✓</t>
  </si>
  <si>
    <t>הערות:</t>
  </si>
  <si>
    <t>• ימים משולמים = 22 (ברירת מחדל) - מחלה לא משולמת. חישוב מחלה: יום1=1 יום, ימים 2-3=0.5 יום, יום 4+=0 (לא משולם).</t>
  </si>
  <si>
    <t>• "סה"כ חופשה" = חופש קיים (אירועי 'חופש' בפועל) + חופשה לחיוב (חופש בערב חג/חוה"מ ללא נוכחות וללא מילואים).</t>
  </si>
  <si>
    <t>• ימי חג = 02.04, 08.04, 22.04. ערבי חג = 01.04, 07.04, 21.04. חוה"מ = 05.04, 06.04 (ימי חול).</t>
  </si>
  <si>
    <t>• אריאל אליה: כל החודש בתאונת עבודה (14 ימי חול/חוה"מ).</t>
  </si>
  <si>
    <t>• דניאל בנדרימר: כל החודש במילואים (14 ימי חול/חוה"מ).</t>
  </si>
  <si>
    <t>• ✓ כל הסכומים מאוזנים - ימי משולמים מתאימים לחישוב (22 בסיס - מחלה לא משולמת).</t>
  </si>
  <si>
    <t>ימי מילואים</t>
  </si>
  <si>
    <t>סה"כ שעות (משולמות)</t>
  </si>
  <si>
    <t>שעות 100%</t>
  </si>
  <si>
    <t>שעות 125%</t>
  </si>
  <si>
    <t>שעות 150%</t>
  </si>
  <si>
    <t>שעות עבודה במילואים</t>
  </si>
  <si>
    <t>• שעות עבודה במילואים = שעות 100% בימים שמסומנים כמילואים אך כוללים גם כניסה+יציאה. תאים בצהוב = יש שעות עבודה במילואים.</t>
  </si>
  <si>
    <t>בדיקה (G - H-J)</t>
  </si>
  <si>
    <t>מספר עובד</t>
  </si>
  <si>
    <t>מספר זהות</t>
  </si>
  <si>
    <t>שם משפחה</t>
  </si>
  <si>
    <t>שם פרטי</t>
  </si>
  <si>
    <t>זהר</t>
  </si>
  <si>
    <t>בנימין</t>
  </si>
  <si>
    <t>לייבנזון</t>
  </si>
  <si>
    <t>אבישי</t>
  </si>
  <si>
    <t>ראש</t>
  </si>
  <si>
    <t>חיים</t>
  </si>
  <si>
    <t>אחדות</t>
  </si>
  <si>
    <t>דוד</t>
  </si>
  <si>
    <t>דביש</t>
  </si>
  <si>
    <t>לוי</t>
  </si>
  <si>
    <t>רחמנוב</t>
  </si>
  <si>
    <t>חגי אפרים</t>
  </si>
  <si>
    <t>שלמה</t>
  </si>
  <si>
    <t>יורם</t>
  </si>
  <si>
    <t>אולשנסקי</t>
  </si>
  <si>
    <t>דניאל</t>
  </si>
  <si>
    <t>בנג'יו</t>
  </si>
  <si>
    <t>אברהם</t>
  </si>
  <si>
    <t>דור</t>
  </si>
  <si>
    <t>חנגל</t>
  </si>
  <si>
    <t>צחי</t>
  </si>
  <si>
    <t xml:space="preserve">לסנר </t>
  </si>
  <si>
    <t>רפאיל</t>
  </si>
  <si>
    <t>מיכאל</t>
  </si>
  <si>
    <t>פינגרמן</t>
  </si>
  <si>
    <t>מרג'ורי</t>
  </si>
  <si>
    <t>מלח</t>
  </si>
  <si>
    <t>אייל</t>
  </si>
  <si>
    <t>מרקוביץ</t>
  </si>
  <si>
    <t>מנפרד</t>
  </si>
  <si>
    <t>סרויה</t>
  </si>
  <si>
    <t>אורן</t>
  </si>
  <si>
    <t>פרדר</t>
  </si>
  <si>
    <t>נתן</t>
  </si>
  <si>
    <t>יחיא</t>
  </si>
  <si>
    <t>רום</t>
  </si>
  <si>
    <t>שמייב</t>
  </si>
  <si>
    <t>לאון</t>
  </si>
  <si>
    <t>מוסארי</t>
  </si>
  <si>
    <t>יום טוב</t>
  </si>
  <si>
    <t>טל</t>
  </si>
  <si>
    <t>ניב</t>
  </si>
  <si>
    <t>אליה</t>
  </si>
  <si>
    <t>אריאל</t>
  </si>
  <si>
    <t xml:space="preserve">בנדרימר </t>
  </si>
  <si>
    <t>בורך</t>
  </si>
  <si>
    <t>משה</t>
  </si>
  <si>
    <t>פינץ</t>
  </si>
  <si>
    <t>טראיקו</t>
  </si>
  <si>
    <t>ולדה</t>
  </si>
  <si>
    <t>שועה</t>
  </si>
  <si>
    <t>אפל</t>
  </si>
  <si>
    <t>ירדן</t>
  </si>
  <si>
    <t>מיה</t>
  </si>
  <si>
    <t>קומרוב</t>
  </si>
  <si>
    <t>ג'סיקה</t>
  </si>
  <si>
    <t>שווקי</t>
  </si>
  <si>
    <t>אוראל</t>
  </si>
  <si>
    <t>מזרחי</t>
  </si>
  <si>
    <t>אשטון</t>
  </si>
  <si>
    <t>בר</t>
  </si>
  <si>
    <t>כהן</t>
  </si>
  <si>
    <t>נהיראל יאיר</t>
  </si>
  <si>
    <t>אשתר</t>
  </si>
  <si>
    <t>אורי</t>
  </si>
  <si>
    <t>שירזי</t>
  </si>
  <si>
    <t>איילה</t>
  </si>
  <si>
    <t>מונטבולינסקי</t>
  </si>
  <si>
    <t>יענקל</t>
  </si>
  <si>
    <t>מהדקאר</t>
  </si>
  <si>
    <t>אבישי שרון</t>
  </si>
  <si>
    <t>הכהן</t>
  </si>
  <si>
    <t>הודיה</t>
  </si>
  <si>
    <t>עברי</t>
  </si>
  <si>
    <t>אורי דוד</t>
  </si>
  <si>
    <t>בירנבאום</t>
  </si>
  <si>
    <t>קורנפלד</t>
  </si>
  <si>
    <t>קעטבי</t>
  </si>
  <si>
    <t>איתי</t>
  </si>
  <si>
    <t>Silva de Mello</t>
  </si>
  <si>
    <t>Thamiere</t>
  </si>
  <si>
    <t>רוזנווסר</t>
  </si>
  <si>
    <t>אריק</t>
  </si>
  <si>
    <t>אברג'ל</t>
  </si>
  <si>
    <t>מיכה</t>
  </si>
  <si>
    <t>ישראל</t>
  </si>
  <si>
    <t>קייטלין</t>
  </si>
  <si>
    <t>מס' עובד</t>
  </si>
  <si>
    <t>קבלן</t>
  </si>
  <si>
    <t>זמן</t>
  </si>
  <si>
    <t>שרון</t>
  </si>
  <si>
    <t>חו"ל - ללא תשלום</t>
  </si>
  <si>
    <t>זכרון+עצמאות (יום נוסף)</t>
  </si>
  <si>
    <t>בחו"ל 1-22, ללא תשלום (חוץ מיום עצמאות)</t>
  </si>
  <si>
    <t>ע.חג: כל ערבי החג היו במילואים</t>
  </si>
  <si>
    <t>ע.חג: ד - 01: מילואים; ג - 07: מילואים; ג - 21: עבד</t>
  </si>
  <si>
    <t>ע.חג: ד - 01: מילואים; ג - 07: מילואים; ג - 21: מילואים (משוער)</t>
  </si>
  <si>
    <t>כל ערבי החג בחו"ל / ללא תשלום</t>
  </si>
  <si>
    <t>ד - 01: 0.5 חופש בע.חג; ג - 07: מחלה; ג - 21: עבד</t>
  </si>
  <si>
    <t>תוספת: ע.חג שעובדים עבדו בו (כל שעות החוסר מופחתות)</t>
  </si>
  <si>
    <t>חוסר מקורי בערב חג</t>
  </si>
  <si>
    <t>הפחתה מדומה ע.חג עבד</t>
  </si>
  <si>
    <t>ד - 01: -0.00שע; ג - 21: -2.35שע</t>
  </si>
  <si>
    <t>ג - 21: -2.63שע</t>
  </si>
  <si>
    <t>ג - 21: -4.10שע</t>
  </si>
  <si>
    <t>ג - 21: -1.52שע</t>
  </si>
  <si>
    <t>ג - 21: -1.57שע</t>
  </si>
  <si>
    <t>ג - 21: -1.00שע</t>
  </si>
  <si>
    <t>ג - 21: -1.60שע</t>
  </si>
  <si>
    <t>ד - 01: -0.00שע; ג - 07: -0.00שע; ג - 21: -1.90שע</t>
  </si>
  <si>
    <t>ג - 21: -1.88שע</t>
  </si>
  <si>
    <t>ד - 01: -0.00שע; ג - 07: -0.00שע; ג - 21: -3.40שע</t>
  </si>
  <si>
    <t>ג - 21: -1.62שע</t>
  </si>
  <si>
    <t>ג - 21: -1.72שע</t>
  </si>
  <si>
    <t>3. ימי חוסר סגירה ללא אירוע - דורש בדיקה</t>
  </si>
  <si>
    <t>מה חסר</t>
  </si>
  <si>
    <t>שניהם (כניסה ויציאה)</t>
  </si>
  <si>
    <t>🔴 דרוש מילוי</t>
  </si>
  <si>
    <t>ד - 29 (שניהם), ה - 30 (יציאה)</t>
  </si>
  <si>
    <t>שניהם / יציאה בלבד</t>
  </si>
  <si>
    <t>הערות / טיפול שבוצע:</t>
  </si>
  <si>
    <t>• דוד וורטמן - קבלן: לא רלוונטי לחוסר סגירה - הוסר מהרשימה</t>
  </si>
  <si>
    <t>• אמיר אורון - קבלן: לא רלוונטי לחוסר סגירה - הוסר מהרשימה</t>
  </si>
  <si>
    <t>• אבישי לייבנזון - מנכ"ל: ימי הפרויקט לחיוב, לא חוסר סגירה - הוסר מהרשימה</t>
  </si>
  <si>
    <t>• שרון זמן - התחיל עבודה ב-27.04: ימי 01-26 אינם חוסר סגירה (טרם התחיל)</t>
  </si>
  <si>
    <t>• מיכאל קייטלין - התחיל עבודה ב-19.04: ימים 01-18 אינם חוסר סגירה (טרם התחיל)</t>
  </si>
  <si>
    <t>• Tami demello - עובדת שעתית: ימים שדווחו עם כניסה ויציאה תקינים. ימים בלי דיווח אינם חוסר סגירה</t>
  </si>
  <si>
    <t>טרם תחילת עבודה</t>
  </si>
  <si>
    <t>התחיל עבודה 27.04</t>
  </si>
  <si>
    <t>התחיל עבודה 19.04</t>
  </si>
  <si>
    <t>מנכ"ל - ימי פרויקט לחיוב</t>
  </si>
  <si>
    <t>חוסר סגירה: ה-16, ה-23 - הופחתו 2 ימים</t>
  </si>
  <si>
    <t>חוסר סגירה: ה-16 - הופחתו 1 ימים</t>
  </si>
  <si>
    <t>חוסר סגירה: ד-29, ה-30 - הופחתו 2 ימים</t>
  </si>
  <si>
    <t>חוסר סגירה: ה-09 - הופחתו 1 ימים</t>
  </si>
  <si>
    <t>חוסר סגירה: א-12, ד-29 - הופחתו 2 ימים</t>
  </si>
  <si>
    <t>חוסר סגירה ה-16, ה-23 - הופחתו 2 ימים</t>
  </si>
  <si>
    <t>חוסר סגירה ה-16 - הופחתו 1 ימים</t>
  </si>
  <si>
    <t>חוסר סגירה ד-29, ה-30 - הופחתו 2 ימים</t>
  </si>
  <si>
    <t>חוסר סגירה ה-09 - הופחתו 1 ימים</t>
  </si>
  <si>
    <t>חוסר סגירה א-12, ד-29 - הופחתו 2 ימים</t>
  </si>
  <si>
    <t>1. סיכום ימים - דינמי (נוסחאות מ-report)</t>
  </si>
  <si>
    <t>נייר עבודה - דינמי (נוסחאות מ-report)</t>
  </si>
  <si>
    <t>6. חופשה לחיוב - דינמי (חופש קיים + חופש בע.חג + חופש בחוה"מ)</t>
  </si>
  <si>
    <t>4. תיקון שעות חוסר מדומות בערבי חג/חג - דינמי</t>
  </si>
  <si>
    <t>תאונת עבודה - כל החודש (22 ימים משולמים על חשבון ביטוח לאומי)</t>
  </si>
  <si>
    <t>מחלה לקיזוז</t>
  </si>
  <si>
    <t>הופחתו 2 ימי מחלה לקיזוז + 2 ימי חל"ת</t>
  </si>
  <si>
    <t>הופחתו 11 ימי חל"ת</t>
  </si>
  <si>
    <t>ע.חג</t>
  </si>
  <si>
    <t>ת.עבודה</t>
  </si>
  <si>
    <t>פער</t>
  </si>
  <si>
    <t>צפוי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</si>
</sst>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;\-0.0;"/>
    <numFmt numFmtId="166" formatCode="0;\-0;"/>
  </numFmts>
  <fonts count="34" x14ac:knownFonts="1">
    <font>
      <sz val="11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Arial"/>
      <family val="2"/>
    </font>
    <font>
      <b/>
      <sz val="11"/>
      <color theme="1"/>
      <name val="Arial"/>
      <family val="2"/>
      <scheme val="minor"/>
    </font>
    <font>
      <sz val="9"/>
      <color indexed="81"/>
      <name val="Tahoma"/>
      <charset val="177"/>
    </font>
    <font>
      <i/>
      <sz val="8"/>
      <color theme="1"/>
      <name val="Arial"/>
      <family val="2"/>
    </font>
    <font>
      <b/>
      <sz val="8"/>
      <color rgb="FFFF0000"/>
      <name val="Arial"/>
      <family val="2"/>
      <scheme val="minor"/>
    </font>
    <font>
      <b/>
      <sz val="8"/>
      <color theme="1"/>
      <name val="Arial"/>
      <family val="2"/>
    </font>
    <font>
      <sz val="8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4"/>
      <color rgb="FFFFFFFF"/>
      <name val="Arial"/>
      <family val="2"/>
      <scheme val="minor"/>
    </font>
    <font>
      <b/>
      <sz val="11"/>
      <color rgb="FFFFFFFF"/>
      <name val="Arial"/>
      <family val="2"/>
      <scheme val="minor"/>
    </font>
    <font>
      <b/>
      <sz val="11"/>
      <color rgb="FF9C0006"/>
      <name val="Arial"/>
      <family val="2"/>
      <scheme val="minor"/>
    </font>
    <font>
      <sz val="11"/>
      <color rgb="FFFFFFFF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color rgb="FF0061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9C0006"/>
      <name val="Arial"/>
      <family val="2"/>
      <scheme val="minor"/>
    </font>
    <font>
      <b/>
      <sz val="11"/>
      <color rgb="FF0070C0"/>
      <name val="Arial"/>
      <family val="2"/>
      <scheme val="minor"/>
    </font>
    <font>
      <i/>
      <sz val="9"/>
      <color rgb="FF595959"/>
      <name val="Arial"/>
      <family val="2"/>
      <scheme val="minor"/>
    </font>
    <font>
      <b/>
      <sz val="8"/>
      <color rgb="FF9C0006"/>
      <name val="Arial"/>
      <family val="2"/>
      <scheme val="minor"/>
    </font>
    <font>
      <b/>
      <i/>
      <sz val="8"/>
      <color rgb="FF9C0006"/>
      <name val="Arial"/>
      <family val="2"/>
      <scheme val="minor"/>
    </font>
    <font>
      <i/>
      <sz val="11"/>
      <color rgb="FF9C0006"/>
      <name val="Arial"/>
      <family val="2"/>
      <scheme val="minor"/>
    </font>
    <font>
      <b/>
      <sz val="8"/>
      <color rgb="FF9C0006"/>
      <name val="Arial"/>
      <family val="2"/>
    </font>
    <font>
      <i/>
      <sz val="11"/>
      <color rgb="FF595959"/>
      <name val="Arial"/>
      <family val="2"/>
      <scheme val="minor"/>
    </font>
    <font>
      <i/>
      <sz val="8"/>
      <color rgb="FF9C0006"/>
      <name val="Arial"/>
      <family val="2"/>
    </font>
    <font>
      <b/>
      <i/>
      <sz val="11"/>
      <color rgb="FF9C0006"/>
      <name val="Arial"/>
      <family val="2"/>
      <scheme val="minor"/>
    </font>
    <font>
      <b/>
      <sz val="12"/>
      <color rgb="FFFFFFFF"/>
      <name val="Arial"/>
      <family val="2"/>
      <scheme val="minor"/>
    </font>
    <font>
      <b/>
      <sz val="8"/>
      <color rgb="FF006100"/>
      <name val="Arial"/>
      <family val="2"/>
      <scheme val="minor"/>
    </font>
    <font>
      <b/>
      <sz val="8"/>
      <color rgb="FF006100"/>
      <name val="Arial"/>
      <family val="2"/>
    </font>
    <font>
      <b/>
      <sz val="10"/>
      <color rgb="FFFFFFFF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2B48C"/>
        <bgColor indexed="64"/>
      </patternFill>
    </fill>
    <fill>
      <patternFill patternType="solid">
        <fgColor rgb="FFFFE4B5"/>
        <bgColor indexed="64"/>
      </patternFill>
    </fill>
    <fill>
      <patternFill patternType="solid">
        <fgColor rgb="FFD6E9F8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rgb="FFD0E8D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07B3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7EDF7"/>
        <bgColor indexed="64"/>
      </patternFill>
    </fill>
    <fill>
      <patternFill patternType="solid">
        <fgColor rgb="FFE0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AE0F0"/>
        <bgColor indexed="64"/>
      </patternFill>
    </fill>
    <fill>
      <patternFill patternType="solid">
        <fgColor rgb="FFD8E1F0"/>
        <bgColor indexed="64"/>
      </patternFill>
    </fill>
    <fill>
      <patternFill patternType="solid">
        <fgColor rgb="FFCFDDED"/>
        <bgColor indexed="64"/>
      </patternFill>
    </fill>
    <fill>
      <patternFill patternType="solid">
        <fgColor rgb="FFD0E5C2"/>
        <bgColor indexed="64"/>
      </patternFill>
    </fill>
    <fill>
      <patternFill patternType="solid">
        <fgColor rgb="FFF8D0B8"/>
        <bgColor indexed="64"/>
      </patternFill>
    </fill>
    <fill>
      <patternFill patternType="solid">
        <fgColor rgb="FFDCCDE5"/>
        <bgColor indexed="64"/>
      </patternFill>
    </fill>
    <fill>
      <patternFill patternType="solid">
        <fgColor rgb="FFC5D2E8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ck">
        <color rgb="FF1F4E78"/>
      </left>
      <right/>
      <top style="thick">
        <color rgb="FF1F4E78"/>
      </top>
      <bottom style="thick">
        <color rgb="FF1F4E78"/>
      </bottom>
      <diagonal/>
    </border>
    <border>
      <left style="thin">
        <color rgb="FFBFBFBF"/>
      </left>
      <right style="thick">
        <color rgb="FF1F4E78"/>
      </right>
      <top style="thin">
        <color rgb="FFBFBFBF"/>
      </top>
      <bottom style="thin">
        <color rgb="FFBFBFBF"/>
      </bottom>
      <diagonal/>
    </border>
    <border>
      <left style="thick">
        <color rgb="FF1F4E78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ck">
        <color rgb="FF1F4E78"/>
      </top>
      <bottom style="thick">
        <color rgb="FF1F4E78"/>
      </bottom>
      <diagonal/>
    </border>
    <border>
      <left style="thin">
        <color rgb="FFBFBFBF"/>
      </left>
      <right style="thick">
        <color rgb="FF1F4E78"/>
      </right>
      <top style="thick">
        <color rgb="FF1F4E78"/>
      </top>
      <bottom style="thick">
        <color rgb="FF1F4E78"/>
      </bottom>
      <diagonal/>
    </border>
    <border>
      <left style="thick">
        <color rgb="FF1F4E78"/>
      </left>
      <right/>
      <top/>
      <bottom style="thin">
        <color rgb="FFBFBFBF"/>
      </bottom>
      <diagonal/>
    </border>
    <border>
      <left style="thin">
        <color rgb="FFBFBFBF"/>
      </left>
      <right style="thick">
        <color rgb="FF1F4E78"/>
      </right>
      <top/>
      <bottom style="thin">
        <color rgb="FFBFBFBF"/>
      </bottom>
      <diagonal/>
    </border>
    <border>
      <left/>
      <right style="thin">
        <color rgb="FFBFBFBF"/>
      </right>
      <top style="thick">
        <color rgb="FF1F4E78"/>
      </top>
      <bottom style="thick">
        <color rgb="FF1F4E78"/>
      </bottom>
      <diagonal/>
    </border>
    <border>
      <left style="thin">
        <color rgb="FFBFBFBF"/>
      </left>
      <right/>
      <top style="thick">
        <color rgb="FF1F4E78"/>
      </top>
      <bottom style="thick">
        <color rgb="FF1F4E78"/>
      </bottom>
      <diagonal/>
    </border>
    <border>
      <left style="thick">
        <color rgb="FF1F4E78"/>
      </left>
      <right/>
      <top style="thin">
        <color rgb="FFBFBFBF"/>
      </top>
      <bottom/>
      <diagonal/>
    </border>
    <border>
      <left style="thin">
        <color rgb="FFBFBFBF"/>
      </left>
      <right style="thick">
        <color rgb="FF1F4E78"/>
      </right>
      <top style="thin">
        <color rgb="FFBFBFBF"/>
      </top>
      <bottom/>
      <diagonal/>
    </border>
  </borders>
  <cellStyleXfs count="1">
    <xf numFmtId="0" fontId="0" fillId="0" borderId="0"/>
  </cellStyleXfs>
  <cellXfs count="27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1" fillId="5" borderId="2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0" fontId="6" fillId="3" borderId="0" xfId="0" applyFont="1" applyFill="1"/>
    <xf numFmtId="0" fontId="6" fillId="5" borderId="0" xfId="0" applyFont="1" applyFill="1"/>
    <xf numFmtId="0" fontId="1" fillId="0" borderId="1" xfId="0" applyNumberFormat="1" applyFont="1" applyBorder="1" applyAlignment="1">
      <alignment horizontal="right" vertical="center"/>
    </xf>
    <xf numFmtId="164" fontId="0" fillId="0" borderId="0" xfId="0" applyNumberFormat="1"/>
    <xf numFmtId="0" fontId="0" fillId="7" borderId="0" xfId="0" applyFill="1"/>
    <xf numFmtId="164" fontId="0" fillId="7" borderId="0" xfId="0" applyNumberFormat="1" applyFill="1"/>
    <xf numFmtId="164" fontId="1" fillId="7" borderId="3" xfId="0" applyNumberFormat="1" applyFont="1" applyFill="1" applyBorder="1" applyAlignment="1">
      <alignment horizontal="right" vertical="center"/>
    </xf>
    <xf numFmtId="0" fontId="1" fillId="7" borderId="0" xfId="0" applyFont="1" applyFill="1" applyBorder="1" applyAlignment="1">
      <alignment horizontal="center" vertical="center"/>
    </xf>
    <xf numFmtId="0" fontId="0" fillId="0" borderId="0" xfId="0"/>
    <xf numFmtId="0" fontId="6" fillId="8" borderId="0" xfId="0" applyFont="1" applyFill="1"/>
    <xf numFmtId="164" fontId="6" fillId="8" borderId="0" xfId="0" applyNumberFormat="1" applyFont="1" applyFill="1"/>
    <xf numFmtId="1" fontId="1" fillId="0" borderId="1" xfId="0" applyNumberFormat="1" applyFont="1" applyBorder="1" applyAlignment="1">
      <alignment horizontal="right" vertical="center"/>
    </xf>
    <xf numFmtId="0" fontId="2" fillId="6" borderId="1" xfId="0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right" vertical="center"/>
    </xf>
    <xf numFmtId="0" fontId="10" fillId="9" borderId="1" xfId="0" applyFont="1" applyFill="1" applyBorder="1" applyAlignment="1">
      <alignment horizontal="right" vertical="center"/>
    </xf>
    <xf numFmtId="2" fontId="1" fillId="0" borderId="1" xfId="0" applyNumberFormat="1" applyFont="1" applyBorder="1" applyAlignment="1">
      <alignment horizontal="right" vertical="center"/>
    </xf>
    <xf numFmtId="2" fontId="9" fillId="6" borderId="1" xfId="0" applyNumberFormat="1" applyFont="1" applyFill="1" applyBorder="1" applyAlignment="1">
      <alignment horizontal="right" vertical="center"/>
    </xf>
    <xf numFmtId="2" fontId="1" fillId="9" borderId="1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6" fillId="8" borderId="0" xfId="0" applyNumberFormat="1" applyFont="1" applyFill="1"/>
    <xf numFmtId="0" fontId="11" fillId="4" borderId="1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2" fillId="0" borderId="0" xfId="0" applyFont="1"/>
    <xf numFmtId="164" fontId="1" fillId="7" borderId="0" xfId="0" applyNumberFormat="1" applyFont="1" applyFill="1" applyBorder="1" applyAlignment="1">
      <alignment horizontal="right" vertical="center"/>
    </xf>
    <xf numFmtId="0" fontId="0" fillId="7" borderId="0" xfId="0" applyFont="1" applyFill="1"/>
    <xf numFmtId="0" fontId="0" fillId="10" borderId="0" xfId="0" applyFill="1"/>
    <xf numFmtId="0" fontId="6" fillId="10" borderId="0" xfId="0" applyFont="1" applyFill="1"/>
    <xf numFmtId="164" fontId="6" fillId="10" borderId="0" xfId="0" applyNumberFormat="1" applyFont="1" applyFill="1"/>
    <xf numFmtId="164" fontId="1" fillId="0" borderId="1" xfId="0" applyNumberFormat="1" applyFont="1" applyBorder="1" applyAlignment="1">
      <alignment horizontal="right" vertical="center"/>
    </xf>
    <xf numFmtId="0" fontId="13" fillId="11" borderId="0" xfId="0" applyFont="1" applyFill="1" applyAlignment="1">
      <alignment horizontal="center"/>
    </xf>
    <xf numFmtId="0" fontId="14" fillId="12" borderId="0" xfId="0" applyFont="1" applyFill="1"/>
    <xf numFmtId="0" fontId="14" fillId="12" borderId="0" xfId="0" applyFont="1" applyFill="1" applyAlignment="1">
      <alignment horizontal="center"/>
    </xf>
    <xf numFmtId="0" fontId="14" fillId="1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4" fillId="12" borderId="5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6" xfId="0" applyFont="1" applyBorder="1" applyAlignment="1">
      <alignment horizontal="right"/>
    </xf>
    <xf numFmtId="0" fontId="6" fillId="0" borderId="7" xfId="0" applyFont="1" applyBorder="1" applyAlignment="1">
      <alignment horizontal="right"/>
    </xf>
    <xf numFmtId="0" fontId="6" fillId="0" borderId="8" xfId="0" applyFont="1" applyBorder="1" applyAlignment="1">
      <alignment horizontal="right"/>
    </xf>
    <xf numFmtId="0" fontId="6" fillId="10" borderId="6" xfId="0" applyFont="1" applyFill="1" applyBorder="1" applyAlignment="1">
      <alignment horizontal="center"/>
    </xf>
    <xf numFmtId="0" fontId="6" fillId="10" borderId="7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3" borderId="7" xfId="0" applyFont="1" applyFill="1" applyBorder="1" applyAlignment="1">
      <alignment horizontal="center"/>
    </xf>
    <xf numFmtId="0" fontId="0" fillId="11" borderId="0" xfId="0" applyFill="1"/>
    <xf numFmtId="0" fontId="16" fillId="11" borderId="0" xfId="0" applyFont="1" applyFill="1"/>
    <xf numFmtId="0" fontId="14" fillId="11" borderId="9" xfId="0" applyFont="1" applyFill="1" applyBorder="1" applyAlignment="1">
      <alignment horizontal="right"/>
    </xf>
    <xf numFmtId="0" fontId="14" fillId="11" borderId="9" xfId="0" applyFont="1" applyFill="1" applyBorder="1"/>
    <xf numFmtId="0" fontId="17" fillId="0" borderId="0" xfId="0" applyFont="1"/>
    <xf numFmtId="0" fontId="6" fillId="14" borderId="7" xfId="0" applyFont="1" applyFill="1" applyBorder="1" applyAlignment="1">
      <alignment horizontal="right"/>
    </xf>
    <xf numFmtId="0" fontId="0" fillId="14" borderId="7" xfId="0" applyFill="1" applyBorder="1" applyAlignment="1">
      <alignment horizontal="center"/>
    </xf>
    <xf numFmtId="0" fontId="12" fillId="14" borderId="7" xfId="0" applyFont="1" applyFill="1" applyBorder="1" applyAlignment="1">
      <alignment horizontal="center"/>
    </xf>
    <xf numFmtId="0" fontId="18" fillId="0" borderId="0" xfId="0" applyFont="1"/>
    <xf numFmtId="0" fontId="14" fillId="12" borderId="0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19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13" fillId="11" borderId="0" xfId="0" applyFont="1" applyFill="1" applyAlignment="1">
      <alignment horizontal="center"/>
    </xf>
    <xf numFmtId="0" fontId="14" fillId="12" borderId="10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right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21" fillId="0" borderId="1" xfId="0" applyNumberFormat="1" applyFont="1" applyBorder="1" applyAlignment="1">
      <alignment horizontal="center"/>
    </xf>
    <xf numFmtId="164" fontId="15" fillId="0" borderId="1" xfId="0" applyNumberFormat="1" applyFont="1" applyBorder="1" applyAlignment="1">
      <alignment horizontal="center"/>
    </xf>
    <xf numFmtId="0" fontId="6" fillId="15" borderId="0" xfId="0" applyFont="1" applyFill="1"/>
    <xf numFmtId="0" fontId="6" fillId="0" borderId="13" xfId="0" applyFont="1" applyBorder="1" applyAlignment="1">
      <alignment horizontal="right"/>
    </xf>
    <xf numFmtId="164" fontId="0" fillId="0" borderId="13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4" fontId="6" fillId="15" borderId="9" xfId="0" applyNumberFormat="1" applyFont="1" applyFill="1" applyBorder="1"/>
    <xf numFmtId="2" fontId="6" fillId="15" borderId="9" xfId="0" applyNumberFormat="1" applyFont="1" applyFill="1" applyBorder="1"/>
    <xf numFmtId="0" fontId="22" fillId="0" borderId="0" xfId="0" applyFont="1"/>
    <xf numFmtId="2" fontId="0" fillId="14" borderId="10" xfId="0" applyNumberFormat="1" applyFont="1" applyFill="1" applyBorder="1" applyAlignment="1">
      <alignment horizontal="center"/>
    </xf>
    <xf numFmtId="2" fontId="6" fillId="10" borderId="10" xfId="0" applyNumberFormat="1" applyFont="1" applyFill="1" applyBorder="1" applyAlignment="1">
      <alignment horizontal="center"/>
    </xf>
    <xf numFmtId="2" fontId="0" fillId="14" borderId="11" xfId="0" applyNumberFormat="1" applyFont="1" applyFill="1" applyBorder="1" applyAlignment="1">
      <alignment horizontal="center"/>
    </xf>
    <xf numFmtId="0" fontId="6" fillId="10" borderId="0" xfId="0" applyFont="1" applyFill="1" applyAlignment="1">
      <alignment horizontal="center"/>
    </xf>
    <xf numFmtId="2" fontId="0" fillId="0" borderId="10" xfId="0" applyNumberFormat="1" applyBorder="1" applyAlignment="1">
      <alignment horizontal="center"/>
    </xf>
    <xf numFmtId="2" fontId="6" fillId="15" borderId="10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16" borderId="1" xfId="0" applyNumberFormat="1" applyFill="1" applyBorder="1" applyAlignment="1">
      <alignment horizontal="center"/>
    </xf>
    <xf numFmtId="164" fontId="0" fillId="16" borderId="1" xfId="0" applyNumberFormat="1" applyFill="1" applyBorder="1" applyAlignment="1">
      <alignment horizontal="center"/>
    </xf>
    <xf numFmtId="20" fontId="11" fillId="5" borderId="2" xfId="0" applyNumberFormat="1" applyFont="1" applyFill="1" applyBorder="1" applyAlignment="1">
      <alignment horizontal="center" vertical="center"/>
    </xf>
    <xf numFmtId="20" fontId="11" fillId="4" borderId="1" xfId="0" applyNumberFormat="1" applyFont="1" applyFill="1" applyBorder="1" applyAlignment="1">
      <alignment horizontal="center" vertical="center"/>
    </xf>
    <xf numFmtId="0" fontId="23" fillId="2" borderId="0" xfId="0" applyFont="1" applyFill="1" applyAlignment="1">
      <alignment horizontal="right" vertical="center"/>
    </xf>
    <xf numFmtId="164" fontId="0" fillId="13" borderId="1" xfId="0" applyNumberFormat="1" applyFill="1" applyBorder="1" applyAlignment="1">
      <alignment horizontal="center"/>
    </xf>
    <xf numFmtId="164" fontId="6" fillId="13" borderId="1" xfId="0" applyNumberFormat="1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 vertical="center" wrapText="1"/>
    </xf>
    <xf numFmtId="0" fontId="24" fillId="3" borderId="3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5" fillId="0" borderId="0" xfId="0" applyFont="1" applyAlignment="1">
      <alignment wrapText="1"/>
    </xf>
    <xf numFmtId="0" fontId="26" fillId="13" borderId="1" xfId="0" applyFont="1" applyFill="1" applyBorder="1" applyAlignment="1">
      <alignment horizontal="center" vertical="center"/>
    </xf>
    <xf numFmtId="2" fontId="23" fillId="6" borderId="1" xfId="0" applyNumberFormat="1" applyFont="1" applyFill="1" applyBorder="1" applyAlignment="1">
      <alignment horizontal="right" vertical="center"/>
    </xf>
    <xf numFmtId="0" fontId="23" fillId="0" borderId="1" xfId="0" applyFont="1" applyBorder="1" applyAlignment="1">
      <alignment horizontal="right" vertical="center"/>
    </xf>
    <xf numFmtId="0" fontId="6" fillId="10" borderId="0" xfId="0" applyFont="1" applyFill="1"/>
    <xf numFmtId="0" fontId="15" fillId="0" borderId="0" xfId="0" applyFont="1"/>
    <xf numFmtId="0" fontId="14" fillId="11" borderId="0" xfId="0" applyFont="1" applyFill="1"/>
    <xf numFmtId="0" fontId="14" fillId="11" borderId="0" xfId="0" applyFont="1" applyFill="1" applyAlignment="1">
      <alignment horizontal="center"/>
    </xf>
    <xf numFmtId="0" fontId="14" fillId="12" borderId="10" xfId="0" applyFont="1" applyFill="1" applyBorder="1" applyAlignment="1">
      <alignment horizontal="center"/>
    </xf>
    <xf numFmtId="0" fontId="14" fillId="12" borderId="12" xfId="0" applyFont="1" applyFill="1" applyBorder="1" applyAlignment="1">
      <alignment horizontal="center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6" fillId="15" borderId="10" xfId="0" applyFont="1" applyFill="1" applyBorder="1" applyAlignment="1">
      <alignment horizontal="right"/>
    </xf>
    <xf numFmtId="0" fontId="14" fillId="12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6" fillId="15" borderId="1" xfId="0" applyFont="1" applyFill="1" applyBorder="1" applyAlignment="1">
      <alignment horizontal="right"/>
    </xf>
    <xf numFmtId="0" fontId="6" fillId="15" borderId="1" xfId="0" applyFont="1" applyFill="1" applyBorder="1"/>
    <xf numFmtId="0" fontId="6" fillId="10" borderId="0" xfId="0" applyFont="1" applyFill="1" applyBorder="1" applyAlignment="1">
      <alignment horizontal="right"/>
    </xf>
    <xf numFmtId="0" fontId="27" fillId="0" borderId="0" xfId="0" applyFont="1"/>
    <xf numFmtId="0" fontId="28" fillId="0" borderId="1" xfId="0" applyFont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right" vertical="center"/>
    </xf>
    <xf numFmtId="0" fontId="6" fillId="17" borderId="0" xfId="0" applyFont="1" applyFill="1" applyAlignment="1">
      <alignment horizontal="center"/>
    </xf>
    <xf numFmtId="0" fontId="6" fillId="17" borderId="7" xfId="0" applyFont="1" applyFill="1" applyBorder="1" applyAlignment="1">
      <alignment horizontal="right"/>
    </xf>
    <xf numFmtId="0" fontId="0" fillId="17" borderId="7" xfId="0" applyFill="1" applyBorder="1" applyAlignment="1">
      <alignment horizontal="center"/>
    </xf>
    <xf numFmtId="0" fontId="20" fillId="17" borderId="0" xfId="0" applyFont="1" applyFill="1" applyAlignment="1">
      <alignment horizontal="right"/>
    </xf>
    <xf numFmtId="0" fontId="6" fillId="17" borderId="1" xfId="0" applyFont="1" applyFill="1" applyBorder="1" applyAlignment="1">
      <alignment horizontal="right"/>
    </xf>
    <xf numFmtId="164" fontId="0" fillId="17" borderId="1" xfId="0" applyNumberFormat="1" applyFill="1" applyBorder="1" applyAlignment="1">
      <alignment horizontal="center"/>
    </xf>
    <xf numFmtId="2" fontId="0" fillId="17" borderId="1" xfId="0" applyNumberFormat="1" applyFill="1" applyBorder="1" applyAlignment="1">
      <alignment horizontal="center"/>
    </xf>
    <xf numFmtId="2" fontId="0" fillId="17" borderId="10" xfId="0" applyNumberFormat="1" applyFont="1" applyFill="1" applyBorder="1" applyAlignment="1">
      <alignment horizontal="center"/>
    </xf>
    <xf numFmtId="164" fontId="21" fillId="17" borderId="1" xfId="0" applyNumberFormat="1" applyFont="1" applyFill="1" applyBorder="1" applyAlignment="1">
      <alignment horizontal="center"/>
    </xf>
    <xf numFmtId="2" fontId="6" fillId="17" borderId="10" xfId="0" applyNumberFormat="1" applyFont="1" applyFill="1" applyBorder="1" applyAlignment="1">
      <alignment horizontal="center"/>
    </xf>
    <xf numFmtId="0" fontId="29" fillId="0" borderId="0" xfId="0" applyFont="1" applyAlignment="1">
      <alignment wrapText="1"/>
    </xf>
    <xf numFmtId="0" fontId="29" fillId="17" borderId="0" xfId="0" applyFont="1" applyFill="1"/>
    <xf numFmtId="0" fontId="6" fillId="15" borderId="12" xfId="0" applyFont="1" applyFill="1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6" fillId="15" borderId="1" xfId="0" applyNumberFormat="1" applyFont="1" applyFill="1" applyBorder="1" applyAlignment="1">
      <alignment horizontal="right"/>
    </xf>
    <xf numFmtId="0" fontId="30" fillId="11" borderId="0" xfId="0" applyFont="1" applyFill="1" applyAlignment="1">
      <alignment horizontal="center"/>
    </xf>
    <xf numFmtId="164" fontId="0" fillId="0" borderId="1" xfId="0" applyNumberFormat="1" applyBorder="1" applyAlignment="1">
      <alignment horizontal="right"/>
    </xf>
    <xf numFmtId="164" fontId="6" fillId="15" borderId="1" xfId="0" applyNumberFormat="1" applyFont="1" applyFill="1" applyBorder="1" applyAlignment="1">
      <alignment horizontal="right"/>
    </xf>
    <xf numFmtId="2" fontId="15" fillId="0" borderId="1" xfId="0" applyNumberFormat="1" applyFont="1" applyBorder="1" applyAlignment="1">
      <alignment horizontal="right"/>
    </xf>
    <xf numFmtId="0" fontId="26" fillId="10" borderId="1" xfId="0" applyFont="1" applyFill="1" applyBorder="1" applyAlignment="1">
      <alignment horizontal="center" vertical="center"/>
    </xf>
    <xf numFmtId="0" fontId="31" fillId="18" borderId="2" xfId="0" applyFont="1" applyFill="1" applyBorder="1" applyAlignment="1">
      <alignment horizontal="center" vertical="center"/>
    </xf>
    <xf numFmtId="0" fontId="32" fillId="18" borderId="1" xfId="0" applyFont="1" applyFill="1" applyBorder="1" applyAlignment="1">
      <alignment horizontal="center" vertical="center"/>
    </xf>
    <xf numFmtId="0" fontId="18" fillId="18" borderId="0" xfId="0" applyFont="1" applyFill="1"/>
    <xf numFmtId="0" fontId="31" fillId="18" borderId="1" xfId="0" applyFont="1" applyFill="1" applyBorder="1" applyAlignment="1">
      <alignment horizontal="center" vertical="center"/>
    </xf>
    <xf numFmtId="0" fontId="0" fillId="11" borderId="0" xfId="0" applyFill="1"/>
    <xf numFmtId="166" fontId="0" fillId="24" borderId="18" xfId="0" applyNumberFormat="1" applyFont="1" applyFill="1" applyBorder="1" applyAlignment="1">
      <alignment horizontal="center"/>
    </xf>
    <xf numFmtId="165" fontId="0" fillId="24" borderId="18" xfId="0" applyNumberFormat="1" applyFont="1" applyFill="1" applyBorder="1" applyAlignment="1">
      <alignment horizontal="center"/>
    </xf>
    <xf numFmtId="165" fontId="0" fillId="25" borderId="18" xfId="0" applyNumberFormat="1" applyFont="1" applyFill="1" applyBorder="1" applyAlignment="1">
      <alignment horizontal="center"/>
    </xf>
    <xf numFmtId="166" fontId="0" fillId="27" borderId="18" xfId="0" applyNumberFormat="1" applyFont="1" applyFill="1" applyBorder="1" applyAlignment="1">
      <alignment horizontal="center"/>
    </xf>
    <xf numFmtId="166" fontId="0" fillId="29" borderId="18" xfId="0" applyNumberFormat="1" applyFont="1" applyFill="1" applyBorder="1" applyAlignment="1">
      <alignment horizontal="center"/>
    </xf>
    <xf numFmtId="165" fontId="0" fillId="29" borderId="18" xfId="0" applyNumberFormat="1" applyFont="1" applyFill="1" applyBorder="1" applyAlignment="1">
      <alignment horizontal="center"/>
    </xf>
    <xf numFmtId="165" fontId="0" fillId="30" borderId="18" xfId="0" applyNumberFormat="1" applyFont="1" applyFill="1" applyBorder="1" applyAlignment="1">
      <alignment horizontal="center"/>
    </xf>
    <xf numFmtId="166" fontId="0" fillId="32" borderId="18" xfId="0" applyNumberFormat="1" applyFont="1" applyFill="1" applyBorder="1" applyAlignment="1">
      <alignment horizontal="center"/>
    </xf>
    <xf numFmtId="165" fontId="0" fillId="15" borderId="24" xfId="0" applyNumberFormat="1" applyFont="1" applyFill="1" applyBorder="1" applyAlignment="1">
      <alignment horizontal="center"/>
    </xf>
    <xf numFmtId="165" fontId="0" fillId="33" borderId="24" xfId="0" applyNumberFormat="1" applyFont="1" applyFill="1" applyBorder="1" applyAlignment="1">
      <alignment horizontal="center"/>
    </xf>
    <xf numFmtId="0" fontId="0" fillId="23" borderId="25" xfId="0" applyFont="1" applyFill="1" applyBorder="1" applyAlignment="1">
      <alignment horizontal="center"/>
    </xf>
    <xf numFmtId="0" fontId="0" fillId="28" borderId="25" xfId="0" applyFont="1" applyFill="1" applyBorder="1" applyAlignment="1">
      <alignment horizontal="center"/>
    </xf>
    <xf numFmtId="166" fontId="0" fillId="24" borderId="17" xfId="0" applyNumberFormat="1" applyFont="1" applyFill="1" applyBorder="1" applyAlignment="1">
      <alignment horizontal="center"/>
    </xf>
    <xf numFmtId="166" fontId="0" fillId="29" borderId="17" xfId="0" applyNumberFormat="1" applyFont="1" applyFill="1" applyBorder="1" applyAlignment="1">
      <alignment horizontal="center"/>
    </xf>
    <xf numFmtId="0" fontId="6" fillId="23" borderId="24" xfId="0" applyFont="1" applyFill="1" applyBorder="1" applyAlignment="1">
      <alignment horizontal="right"/>
    </xf>
    <xf numFmtId="0" fontId="6" fillId="28" borderId="24" xfId="0" applyFont="1" applyFill="1" applyBorder="1" applyAlignment="1">
      <alignment horizontal="right"/>
    </xf>
    <xf numFmtId="166" fontId="0" fillId="24" borderId="19" xfId="0" applyNumberFormat="1" applyFont="1" applyFill="1" applyBorder="1" applyAlignment="1">
      <alignment horizontal="center"/>
    </xf>
    <xf numFmtId="166" fontId="0" fillId="29" borderId="19" xfId="0" applyNumberFormat="1" applyFont="1" applyFill="1" applyBorder="1" applyAlignment="1">
      <alignment horizontal="center"/>
    </xf>
    <xf numFmtId="165" fontId="0" fillId="25" borderId="17" xfId="0" applyNumberFormat="1" applyFont="1" applyFill="1" applyBorder="1" applyAlignment="1">
      <alignment horizontal="center"/>
    </xf>
    <xf numFmtId="165" fontId="0" fillId="30" borderId="17" xfId="0" applyNumberFormat="1" applyFont="1" applyFill="1" applyBorder="1" applyAlignment="1">
      <alignment horizontal="center"/>
    </xf>
    <xf numFmtId="166" fontId="0" fillId="24" borderId="24" xfId="0" applyNumberFormat="1" applyFont="1" applyFill="1" applyBorder="1" applyAlignment="1">
      <alignment horizontal="center"/>
    </xf>
    <xf numFmtId="166" fontId="0" fillId="29" borderId="24" xfId="0" applyNumberFormat="1" applyFont="1" applyFill="1" applyBorder="1" applyAlignment="1">
      <alignment horizontal="center"/>
    </xf>
    <xf numFmtId="165" fontId="0" fillId="25" borderId="19" xfId="0" applyNumberFormat="1" applyFont="1" applyFill="1" applyBorder="1" applyAlignment="1">
      <alignment horizontal="center"/>
    </xf>
    <xf numFmtId="165" fontId="0" fillId="30" borderId="19" xfId="0" applyNumberFormat="1" applyFont="1" applyFill="1" applyBorder="1" applyAlignment="1">
      <alignment horizontal="center"/>
    </xf>
    <xf numFmtId="165" fontId="0" fillId="26" borderId="17" xfId="0" applyNumberFormat="1" applyFont="1" applyFill="1" applyBorder="1" applyAlignment="1">
      <alignment horizontal="center"/>
    </xf>
    <xf numFmtId="165" fontId="0" fillId="31" borderId="17" xfId="0" applyNumberFormat="1" applyFont="1" applyFill="1" applyBorder="1" applyAlignment="1">
      <alignment horizontal="center"/>
    </xf>
    <xf numFmtId="165" fontId="0" fillId="25" borderId="24" xfId="0" applyNumberFormat="1" applyFont="1" applyFill="1" applyBorder="1" applyAlignment="1">
      <alignment horizontal="center"/>
    </xf>
    <xf numFmtId="165" fontId="0" fillId="30" borderId="24" xfId="0" applyNumberFormat="1" applyFont="1" applyFill="1" applyBorder="1" applyAlignment="1">
      <alignment horizontal="center"/>
    </xf>
    <xf numFmtId="166" fontId="0" fillId="26" borderId="19" xfId="0" applyNumberFormat="1" applyFont="1" applyFill="1" applyBorder="1" applyAlignment="1">
      <alignment horizontal="center"/>
    </xf>
    <xf numFmtId="166" fontId="0" fillId="31" borderId="19" xfId="0" applyNumberFormat="1" applyFont="1" applyFill="1" applyBorder="1" applyAlignment="1">
      <alignment horizontal="center"/>
    </xf>
    <xf numFmtId="166" fontId="0" fillId="27" borderId="17" xfId="0" applyNumberFormat="1" applyFont="1" applyFill="1" applyBorder="1" applyAlignment="1">
      <alignment horizontal="center"/>
    </xf>
    <xf numFmtId="166" fontId="0" fillId="32" borderId="17" xfId="0" applyNumberFormat="1" applyFont="1" applyFill="1" applyBorder="1" applyAlignment="1">
      <alignment horizontal="center"/>
    </xf>
    <xf numFmtId="166" fontId="0" fillId="26" borderId="24" xfId="0" applyNumberFormat="1" applyFont="1" applyFill="1" applyBorder="1" applyAlignment="1">
      <alignment horizontal="center"/>
    </xf>
    <xf numFmtId="166" fontId="0" fillId="31" borderId="24" xfId="0" applyNumberFormat="1" applyFont="1" applyFill="1" applyBorder="1" applyAlignment="1">
      <alignment horizontal="center"/>
    </xf>
    <xf numFmtId="166" fontId="0" fillId="27" borderId="19" xfId="0" applyNumberFormat="1" applyFont="1" applyFill="1" applyBorder="1" applyAlignment="1">
      <alignment horizontal="center"/>
    </xf>
    <xf numFmtId="166" fontId="0" fillId="32" borderId="19" xfId="0" applyNumberFormat="1" applyFont="1" applyFill="1" applyBorder="1" applyAlignment="1">
      <alignment horizontal="center"/>
    </xf>
    <xf numFmtId="165" fontId="0" fillId="15" borderId="17" xfId="0" applyNumberFormat="1" applyFont="1" applyFill="1" applyBorder="1" applyAlignment="1">
      <alignment horizontal="center"/>
    </xf>
    <xf numFmtId="165" fontId="0" fillId="33" borderId="17" xfId="0" applyNumberFormat="1" applyFont="1" applyFill="1" applyBorder="1" applyAlignment="1">
      <alignment horizontal="center"/>
    </xf>
    <xf numFmtId="166" fontId="0" fillId="27" borderId="24" xfId="0" applyNumberFormat="1" applyFont="1" applyFill="1" applyBorder="1" applyAlignment="1">
      <alignment horizontal="center"/>
    </xf>
    <xf numFmtId="166" fontId="0" fillId="32" borderId="24" xfId="0" applyNumberFormat="1" applyFont="1" applyFill="1" applyBorder="1" applyAlignment="1">
      <alignment horizontal="center"/>
    </xf>
    <xf numFmtId="0" fontId="0" fillId="23" borderId="28" xfId="0" applyFont="1" applyFill="1" applyBorder="1" applyAlignment="1">
      <alignment horizontal="center"/>
    </xf>
    <xf numFmtId="0" fontId="6" fillId="23" borderId="29" xfId="0" applyFont="1" applyFill="1" applyBorder="1" applyAlignment="1">
      <alignment horizontal="right"/>
    </xf>
    <xf numFmtId="166" fontId="0" fillId="24" borderId="14" xfId="0" applyNumberFormat="1" applyFont="1" applyFill="1" applyBorder="1" applyAlignment="1">
      <alignment horizontal="center"/>
    </xf>
    <xf numFmtId="166" fontId="0" fillId="24" borderId="15" xfId="0" applyNumberFormat="1" applyFont="1" applyFill="1" applyBorder="1" applyAlignment="1">
      <alignment horizontal="center"/>
    </xf>
    <xf numFmtId="165" fontId="0" fillId="24" borderId="15" xfId="0" applyNumberFormat="1" applyFont="1" applyFill="1" applyBorder="1" applyAlignment="1">
      <alignment horizontal="center"/>
    </xf>
    <xf numFmtId="166" fontId="0" fillId="24" borderId="16" xfId="0" applyNumberFormat="1" applyFont="1" applyFill="1" applyBorder="1" applyAlignment="1">
      <alignment horizontal="center"/>
    </xf>
    <xf numFmtId="166" fontId="0" fillId="24" borderId="29" xfId="0" applyNumberFormat="1" applyFont="1" applyFill="1" applyBorder="1" applyAlignment="1">
      <alignment horizontal="center"/>
    </xf>
    <xf numFmtId="165" fontId="0" fillId="25" borderId="14" xfId="0" applyNumberFormat="1" applyFont="1" applyFill="1" applyBorder="1" applyAlignment="1">
      <alignment horizontal="center"/>
    </xf>
    <xf numFmtId="165" fontId="0" fillId="25" borderId="15" xfId="0" applyNumberFormat="1" applyFont="1" applyFill="1" applyBorder="1" applyAlignment="1">
      <alignment horizontal="center"/>
    </xf>
    <xf numFmtId="165" fontId="0" fillId="25" borderId="16" xfId="0" applyNumberFormat="1" applyFont="1" applyFill="1" applyBorder="1" applyAlignment="1">
      <alignment horizontal="center"/>
    </xf>
    <xf numFmtId="165" fontId="0" fillId="25" borderId="29" xfId="0" applyNumberFormat="1" applyFont="1" applyFill="1" applyBorder="1" applyAlignment="1">
      <alignment horizontal="center"/>
    </xf>
    <xf numFmtId="165" fontId="0" fillId="26" borderId="14" xfId="0" applyNumberFormat="1" applyFont="1" applyFill="1" applyBorder="1" applyAlignment="1">
      <alignment horizontal="center"/>
    </xf>
    <xf numFmtId="166" fontId="0" fillId="26" borderId="16" xfId="0" applyNumberFormat="1" applyFont="1" applyFill="1" applyBorder="1" applyAlignment="1">
      <alignment horizontal="center"/>
    </xf>
    <xf numFmtId="166" fontId="0" fillId="26" borderId="29" xfId="0" applyNumberFormat="1" applyFont="1" applyFill="1" applyBorder="1" applyAlignment="1">
      <alignment horizontal="center"/>
    </xf>
    <xf numFmtId="166" fontId="0" fillId="27" borderId="14" xfId="0" applyNumberFormat="1" applyFont="1" applyFill="1" applyBorder="1" applyAlignment="1">
      <alignment horizontal="center"/>
    </xf>
    <xf numFmtId="166" fontId="0" fillId="27" borderId="15" xfId="0" applyNumberFormat="1" applyFont="1" applyFill="1" applyBorder="1" applyAlignment="1">
      <alignment horizontal="center"/>
    </xf>
    <xf numFmtId="166" fontId="0" fillId="27" borderId="16" xfId="0" applyNumberFormat="1" applyFont="1" applyFill="1" applyBorder="1" applyAlignment="1">
      <alignment horizontal="center"/>
    </xf>
    <xf numFmtId="166" fontId="0" fillId="27" borderId="29" xfId="0" applyNumberFormat="1" applyFont="1" applyFill="1" applyBorder="1" applyAlignment="1">
      <alignment horizontal="center"/>
    </xf>
    <xf numFmtId="165" fontId="0" fillId="15" borderId="14" xfId="0" applyNumberFormat="1" applyFont="1" applyFill="1" applyBorder="1" applyAlignment="1">
      <alignment horizontal="center"/>
    </xf>
    <xf numFmtId="165" fontId="0" fillId="15" borderId="29" xfId="0" applyNumberFormat="1" applyFont="1" applyFill="1" applyBorder="1" applyAlignment="1">
      <alignment horizontal="center"/>
    </xf>
    <xf numFmtId="0" fontId="33" fillId="12" borderId="23" xfId="0" applyFont="1" applyFill="1" applyBorder="1" applyAlignment="1">
      <alignment horizontal="center" vertical="center" wrapText="1"/>
    </xf>
    <xf numFmtId="0" fontId="33" fillId="12" borderId="27" xfId="0" applyFont="1" applyFill="1" applyBorder="1" applyAlignment="1">
      <alignment horizontal="center" vertical="center" wrapText="1"/>
    </xf>
    <xf numFmtId="0" fontId="33" fillId="19" borderId="30" xfId="0" applyFont="1" applyFill="1" applyBorder="1" applyAlignment="1">
      <alignment horizontal="center" vertical="center" wrapText="1"/>
    </xf>
    <xf numFmtId="0" fontId="33" fillId="19" borderId="26" xfId="0" applyFont="1" applyFill="1" applyBorder="1" applyAlignment="1">
      <alignment horizontal="center" vertical="center" wrapText="1"/>
    </xf>
    <xf numFmtId="0" fontId="33" fillId="19" borderId="31" xfId="0" applyFont="1" applyFill="1" applyBorder="1" applyAlignment="1">
      <alignment horizontal="center" vertical="center" wrapText="1"/>
    </xf>
    <xf numFmtId="0" fontId="33" fillId="19" borderId="27" xfId="0" applyFont="1" applyFill="1" applyBorder="1" applyAlignment="1">
      <alignment horizontal="center" vertical="center" wrapText="1"/>
    </xf>
    <xf numFmtId="0" fontId="33" fillId="20" borderId="30" xfId="0" applyFont="1" applyFill="1" applyBorder="1" applyAlignment="1">
      <alignment horizontal="center" vertical="center" wrapText="1"/>
    </xf>
    <xf numFmtId="0" fontId="33" fillId="20" borderId="26" xfId="0" applyFont="1" applyFill="1" applyBorder="1" applyAlignment="1">
      <alignment horizontal="center" vertical="center" wrapText="1"/>
    </xf>
    <xf numFmtId="0" fontId="33" fillId="20" borderId="31" xfId="0" applyFont="1" applyFill="1" applyBorder="1" applyAlignment="1">
      <alignment horizontal="center" vertical="center" wrapText="1"/>
    </xf>
    <xf numFmtId="0" fontId="33" fillId="20" borderId="27" xfId="0" applyFont="1" applyFill="1" applyBorder="1" applyAlignment="1">
      <alignment horizontal="center" vertical="center" wrapText="1"/>
    </xf>
    <xf numFmtId="0" fontId="33" fillId="21" borderId="30" xfId="0" applyFont="1" applyFill="1" applyBorder="1" applyAlignment="1">
      <alignment horizontal="center" vertical="center" wrapText="1"/>
    </xf>
    <xf numFmtId="0" fontId="33" fillId="21" borderId="31" xfId="0" applyFont="1" applyFill="1" applyBorder="1" applyAlignment="1">
      <alignment horizontal="center" vertical="center" wrapText="1"/>
    </xf>
    <xf numFmtId="0" fontId="33" fillId="21" borderId="27" xfId="0" applyFont="1" applyFill="1" applyBorder="1" applyAlignment="1">
      <alignment horizontal="center" vertical="center" wrapText="1"/>
    </xf>
    <xf numFmtId="0" fontId="33" fillId="22" borderId="30" xfId="0" applyFont="1" applyFill="1" applyBorder="1" applyAlignment="1">
      <alignment horizontal="center" vertical="center" wrapText="1"/>
    </xf>
    <xf numFmtId="0" fontId="33" fillId="22" borderId="26" xfId="0" applyFont="1" applyFill="1" applyBorder="1" applyAlignment="1">
      <alignment horizontal="center" vertical="center" wrapText="1"/>
    </xf>
    <xf numFmtId="0" fontId="33" fillId="22" borderId="31" xfId="0" applyFont="1" applyFill="1" applyBorder="1" applyAlignment="1">
      <alignment horizontal="center" vertical="center" wrapText="1"/>
    </xf>
    <xf numFmtId="0" fontId="33" fillId="22" borderId="27" xfId="0" applyFont="1" applyFill="1" applyBorder="1" applyAlignment="1">
      <alignment horizontal="center" vertical="center" wrapText="1"/>
    </xf>
    <xf numFmtId="0" fontId="33" fillId="11" borderId="30" xfId="0" applyFont="1" applyFill="1" applyBorder="1" applyAlignment="1">
      <alignment horizontal="center" vertical="center" wrapText="1"/>
    </xf>
    <xf numFmtId="0" fontId="33" fillId="11" borderId="27" xfId="0" applyFont="1" applyFill="1" applyBorder="1" applyAlignment="1">
      <alignment horizontal="center" vertical="center" wrapText="1"/>
    </xf>
    <xf numFmtId="0" fontId="0" fillId="23" borderId="32" xfId="0" applyFont="1" applyFill="1" applyBorder="1" applyAlignment="1">
      <alignment horizontal="center"/>
    </xf>
    <xf numFmtId="0" fontId="6" fillId="23" borderId="33" xfId="0" applyFont="1" applyFill="1" applyBorder="1" applyAlignment="1">
      <alignment horizontal="right"/>
    </xf>
    <xf numFmtId="166" fontId="0" fillId="24" borderId="20" xfId="0" applyNumberFormat="1" applyFont="1" applyFill="1" applyBorder="1" applyAlignment="1">
      <alignment horizontal="center"/>
    </xf>
    <xf numFmtId="166" fontId="0" fillId="24" borderId="21" xfId="0" applyNumberFormat="1" applyFont="1" applyFill="1" applyBorder="1" applyAlignment="1">
      <alignment horizontal="center"/>
    </xf>
    <xf numFmtId="165" fontId="0" fillId="24" borderId="21" xfId="0" applyNumberFormat="1" applyFont="1" applyFill="1" applyBorder="1" applyAlignment="1">
      <alignment horizontal="center"/>
    </xf>
    <xf numFmtId="166" fontId="0" fillId="24" borderId="22" xfId="0" applyNumberFormat="1" applyFont="1" applyFill="1" applyBorder="1" applyAlignment="1">
      <alignment horizontal="center"/>
    </xf>
    <xf numFmtId="166" fontId="0" fillId="24" borderId="33" xfId="0" applyNumberFormat="1" applyFont="1" applyFill="1" applyBorder="1" applyAlignment="1">
      <alignment horizontal="center"/>
    </xf>
    <xf numFmtId="165" fontId="0" fillId="25" borderId="20" xfId="0" applyNumberFormat="1" applyFont="1" applyFill="1" applyBorder="1" applyAlignment="1">
      <alignment horizontal="center"/>
    </xf>
    <xf numFmtId="165" fontId="0" fillId="25" borderId="21" xfId="0" applyNumberFormat="1" applyFont="1" applyFill="1" applyBorder="1" applyAlignment="1">
      <alignment horizontal="center"/>
    </xf>
    <xf numFmtId="165" fontId="0" fillId="25" borderId="22" xfId="0" applyNumberFormat="1" applyFont="1" applyFill="1" applyBorder="1" applyAlignment="1">
      <alignment horizontal="center"/>
    </xf>
    <xf numFmtId="165" fontId="0" fillId="25" borderId="33" xfId="0" applyNumberFormat="1" applyFont="1" applyFill="1" applyBorder="1" applyAlignment="1">
      <alignment horizontal="center"/>
    </xf>
    <xf numFmtId="165" fontId="0" fillId="26" borderId="20" xfId="0" applyNumberFormat="1" applyFont="1" applyFill="1" applyBorder="1" applyAlignment="1">
      <alignment horizontal="center"/>
    </xf>
    <xf numFmtId="166" fontId="0" fillId="26" borderId="22" xfId="0" applyNumberFormat="1" applyFont="1" applyFill="1" applyBorder="1" applyAlignment="1">
      <alignment horizontal="center"/>
    </xf>
    <xf numFmtId="166" fontId="0" fillId="26" borderId="33" xfId="0" applyNumberFormat="1" applyFont="1" applyFill="1" applyBorder="1" applyAlignment="1">
      <alignment horizontal="center"/>
    </xf>
    <xf numFmtId="166" fontId="0" fillId="27" borderId="20" xfId="0" applyNumberFormat="1" applyFont="1" applyFill="1" applyBorder="1" applyAlignment="1">
      <alignment horizontal="center"/>
    </xf>
    <xf numFmtId="166" fontId="0" fillId="27" borderId="21" xfId="0" applyNumberFormat="1" applyFont="1" applyFill="1" applyBorder="1" applyAlignment="1">
      <alignment horizontal="center"/>
    </xf>
    <xf numFmtId="166" fontId="0" fillId="27" borderId="22" xfId="0" applyNumberFormat="1" applyFont="1" applyFill="1" applyBorder="1" applyAlignment="1">
      <alignment horizontal="center"/>
    </xf>
    <xf numFmtId="166" fontId="0" fillId="27" borderId="33" xfId="0" applyNumberFormat="1" applyFont="1" applyFill="1" applyBorder="1" applyAlignment="1">
      <alignment horizontal="center"/>
    </xf>
    <xf numFmtId="165" fontId="0" fillId="15" borderId="20" xfId="0" applyNumberFormat="1" applyFont="1" applyFill="1" applyBorder="1" applyAlignment="1">
      <alignment horizontal="center"/>
    </xf>
    <xf numFmtId="165" fontId="0" fillId="15" borderId="33" xfId="0" applyNumberFormat="1" applyFont="1" applyFill="1" applyBorder="1" applyAlignment="1">
      <alignment horizontal="center"/>
    </xf>
    <xf numFmtId="0" fontId="30" fillId="11" borderId="23" xfId="0" applyFont="1" applyFill="1" applyBorder="1" applyAlignment="1">
      <alignment horizontal="right"/>
    </xf>
    <xf numFmtId="0" fontId="30" fillId="11" borderId="27" xfId="0" applyFont="1" applyFill="1" applyBorder="1" applyAlignment="1">
      <alignment horizontal="right"/>
    </xf>
    <xf numFmtId="1" fontId="30" fillId="11" borderId="30" xfId="0" applyNumberFormat="1" applyFont="1" applyFill="1" applyBorder="1" applyAlignment="1">
      <alignment horizontal="right"/>
    </xf>
    <xf numFmtId="1" fontId="30" fillId="11" borderId="26" xfId="0" applyNumberFormat="1" applyFont="1" applyFill="1" applyBorder="1" applyAlignment="1">
      <alignment horizontal="right"/>
    </xf>
    <xf numFmtId="164" fontId="30" fillId="11" borderId="26" xfId="0" applyNumberFormat="1" applyFont="1" applyFill="1" applyBorder="1" applyAlignment="1">
      <alignment horizontal="right"/>
    </xf>
    <xf numFmtId="1" fontId="30" fillId="11" borderId="31" xfId="0" applyNumberFormat="1" applyFont="1" applyFill="1" applyBorder="1" applyAlignment="1">
      <alignment horizontal="right"/>
    </xf>
    <xf numFmtId="1" fontId="30" fillId="11" borderId="27" xfId="0" applyNumberFormat="1" applyFont="1" applyFill="1" applyBorder="1" applyAlignment="1">
      <alignment horizontal="right"/>
    </xf>
    <xf numFmtId="164" fontId="30" fillId="11" borderId="30" xfId="0" applyNumberFormat="1" applyFont="1" applyFill="1" applyBorder="1" applyAlignment="1">
      <alignment horizontal="right"/>
    </xf>
    <xf numFmtId="164" fontId="30" fillId="11" borderId="31" xfId="0" applyNumberFormat="1" applyFont="1" applyFill="1" applyBorder="1" applyAlignment="1">
      <alignment horizontal="right"/>
    </xf>
    <xf numFmtId="164" fontId="30" fillId="11" borderId="27" xfId="0" applyNumberFormat="1" applyFont="1" applyFill="1" applyBorder="1" applyAlignment="1">
      <alignment horizontal="right"/>
    </xf>
    <xf numFmtId="1" fontId="30" fillId="11" borderId="30" xfId="0" applyNumberFormat="1" applyFont="1" applyFill="1" applyBorder="1"/>
    <xf numFmtId="1" fontId="30" fillId="11" borderId="26" xfId="0" applyNumberFormat="1" applyFont="1" applyFill="1" applyBorder="1"/>
    <xf numFmtId="1" fontId="30" fillId="11" borderId="31" xfId="0" applyNumberFormat="1" applyFont="1" applyFill="1" applyBorder="1"/>
    <xf numFmtId="1" fontId="30" fillId="11" borderId="27" xfId="0" applyNumberFormat="1" applyFont="1" applyFill="1" applyBorder="1"/>
    <xf numFmtId="164" fontId="30" fillId="11" borderId="30" xfId="0" applyNumberFormat="1" applyFont="1" applyFill="1" applyBorder="1"/>
    <xf numFmtId="164" fontId="30" fillId="11" borderId="27" xfId="0" applyNumberFormat="1" applyFont="1" applyFill="1" applyBorder="1"/>
  </cellXfs>
  <cellStyles count="1">
    <cellStyle name="Normal" xfId="0" builtinId="0"/>
  </cellStyles>
  <dxfs count="22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5700"/>
      </font>
      <fill>
        <patternFill patternType="solid">
          <fgColor indexed="64"/>
          <bgColor rgb="FFFFE699"/>
        </patternFill>
      </fill>
    </dxf>
    <dxf>
      <font>
        <b/>
        <i val="0"/>
        <color rgb="FF9C5700"/>
      </font>
      <fill>
        <patternFill patternType="solid">
          <fgColor indexed="64"/>
          <bgColor rgb="FFFFE699"/>
        </patternFill>
      </fill>
    </dxf>
    <dxf>
      <font>
        <b/>
        <i val="0"/>
        <color rgb="FF9C5700"/>
      </font>
      <fill>
        <patternFill patternType="solid">
          <fgColor indexed="64"/>
          <bgColor rgb="FFFFE699"/>
        </patternFill>
      </fill>
    </dxf>
    <dxf>
      <font>
        <b/>
        <i val="0"/>
        <color rgb="FF9C5700"/>
      </font>
      <fill>
        <patternFill patternType="solid">
          <fgColor indexed="64"/>
          <bgColor rgb="FFFFE699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5700"/>
      </font>
      <fill>
        <patternFill patternType="solid">
          <fgColor indexed="64"/>
          <bgColor rgb="FFFFE699"/>
        </patternFill>
      </fill>
    </dxf>
    <dxf>
      <font>
        <b/>
        <i val="0"/>
        <color rgb="FF9C5700"/>
      </font>
      <fill>
        <patternFill patternType="solid">
          <fgColor indexed="64"/>
          <bgColor rgb="FFFFE699"/>
        </patternFill>
      </fill>
    </dxf>
    <dxf>
      <font>
        <b/>
        <i val="0"/>
        <color rgb="FF9C5700"/>
      </font>
      <fill>
        <patternFill patternType="solid">
          <fgColor indexed="64"/>
          <bgColor rgb="FFFFE699"/>
        </patternFill>
      </fill>
    </dxf>
    <dxf>
      <font>
        <b/>
        <i val="0"/>
        <color rgb="FF9C5700"/>
      </font>
      <fill>
        <patternFill patternType="solid">
          <fgColor indexed="64"/>
          <bgColor rgb="FFFFE699"/>
        </patternFill>
      </fill>
    </dxf>
    <dxf>
      <font>
        <b/>
        <i val="0"/>
        <color rgb="FF9C5700"/>
      </font>
      <fill>
        <patternFill patternType="solid">
          <fgColor indexed="64"/>
          <bgColor rgb="FFFFE699"/>
        </patternFill>
      </fill>
    </dxf>
    <dxf>
      <font>
        <b/>
        <i val="0"/>
        <color rgb="FF9C5700"/>
      </font>
      <fill>
        <patternFill patternType="solid">
          <fgColor indexed="64"/>
          <bgColor rgb="FFFFE699"/>
        </patternFill>
      </fill>
    </dxf>
    <dxf>
      <font>
        <b/>
        <i val="0"/>
        <color rgb="FF9C5700"/>
      </font>
      <fill>
        <patternFill patternType="solid">
          <fgColor indexed="64"/>
          <bgColor rgb="FFFFE699"/>
        </patternFill>
      </fill>
    </dxf>
    <dxf>
      <font>
        <b/>
        <i val="0"/>
        <color rgb="FF9C5700"/>
      </font>
      <fill>
        <patternFill patternType="solid">
          <fgColor indexed="64"/>
          <bgColor rgb="FFFFE699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elena Enthin" id="{3DB9F47D-679A-4EC9-8890-51CE1DC02E77}" userId="a22927e12277f1f9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8" dT="2026-05-03T12:58:58.16" personId="{3DB9F47D-679A-4EC9-8890-51CE1DC02E77}" id="{A14E77F2-61D3-4A21-A451-0B373EF8FE7D}">
    <text>הופחתו 0.80 שע' חוסר מדומה: 01.04: -0.40שע (ע.חג מדומה); 07.04: -0.40שע (ע.חג מדומה)</text>
  </threadedComment>
  <threadedComment ref="C101" dT="2026-05-03T12:58:58.19" personId="{3DB9F47D-679A-4EC9-8890-51CE1DC02E77}" id="{5E5A260E-3883-4683-89BE-B9579CC072CA}">
    <text>הופחתו 0.50 שע' חוסר מדומה: 01.04: -0.50שע (ע.חג מדומה)</text>
  </threadedComment>
  <threadedComment ref="C153" dT="2026-05-03T12:58:58.20" personId="{3DB9F47D-679A-4EC9-8890-51CE1DC02E77}" id="{1A1002B4-8C89-409C-9A13-B6FD46687755}">
    <text>הופחתו 1.00 שע' חוסר מדומה: 01.04: -0.50שע (ע.חג מדומה); 07.04: -0.50שע (ע.חג מדומה)</text>
  </threadedComment>
  <threadedComment ref="C206" dT="2026-05-03T12:58:58.20" personId="{3DB9F47D-679A-4EC9-8890-51CE1DC02E77}" id="{16237E93-D02F-4435-9B77-61C7FD02972F}">
    <text>הופחתו 1.50 שע' חוסר מדומה: 01.04: -0.50שע (ע.חג מדומה); 07.04: -0.50שע (ע.חג מדומה); 21.04: -0.50שע (ע.חג מדומה)</text>
  </threadedComment>
  <threadedComment ref="C258" dT="2026-05-03T13:03:31.30" personId="{3DB9F47D-679A-4EC9-8890-51CE1DC02E77}" id="{614D1654-2A8C-427D-B52D-F42F71739B9E}">
    <text>תאונת עבודה - כל החודש (אופסו 118 שע' חוסר)</text>
  </threadedComment>
  <threadedComment ref="C310" dT="2026-05-03T12:58:58.21" personId="{3DB9F47D-679A-4EC9-8890-51CE1DC02E77}" id="{7519BD48-C650-48B2-A8D0-E5A22F8B94F3}">
    <text>הופחתו 1.00 שע' חוסר מדומה: 01.04: -0.50שע (ע.חג מדומה); 07.04: -0.50שע (ע.חג מדומה)</text>
  </threadedComment>
  <threadedComment ref="C363" dT="2026-05-03T12:58:58.21" personId="{3DB9F47D-679A-4EC9-8890-51CE1DC02E77}" id="{3B9D6662-4A86-4701-9A4D-BBF1D6F0419D}">
    <text>הופחתו 1.00 שע' חוסר מדומה: 01.04: -0.50שע (ע.חג מדומה); 07.04: -0.50שע (ע.חג מדומה)</text>
  </threadedComment>
  <threadedComment ref="C415" dT="2026-05-03T12:58:58.21" personId="{3DB9F47D-679A-4EC9-8890-51CE1DC02E77}" id="{D4357116-75C9-4764-9655-AE52B909F66E}">
    <text>הופחתו 2.20 שע' חוסר מדומה: 20.04: -1.40שע (ע.חג מדומה); 01.04: -0.40שע (ע.חג מדומה); 07.04: -0.40שע (ע.חג מדומה)</text>
  </threadedComment>
  <threadedComment ref="C519" dT="2026-05-03T12:58:58.22" personId="{3DB9F47D-679A-4EC9-8890-51CE1DC02E77}" id="{CD5C53B0-AA32-4A6B-9550-5FAA5EA4C13C}">
    <text>הופחתו 1.00 שע' חוסר מדומה: 01.04: -0.50שע (ע.חג מדומה); 07.04: -0.50שע (ע.חג מדומה)</text>
  </threadedComment>
  <threadedComment ref="C571" dT="2026-05-03T12:58:58.23" personId="{3DB9F47D-679A-4EC9-8890-51CE1DC02E77}" id="{1C17E920-F8BD-4633-B48D-C21853FBD45F}">
    <text>הופחתו 1.00 שע' חוסר מדומה: 01.04: -0.50שע (ע.חג מדומה); 07.04: -0.50שע (ע.חג מדומה)</text>
  </threadedComment>
  <threadedComment ref="C624" dT="2026-05-03T12:58:58.23" personId="{3DB9F47D-679A-4EC9-8890-51CE1DC02E77}" id="{824D4894-AC58-4FFB-8BA2-6CABD116AF81}">
    <text>הופחתו 1.00 שע' חוסר מדומה: 01.04: -0.50שע (ע.חג מדומה); 07.04: -0.50שע (ע.חג מדומה)</text>
  </threadedComment>
  <threadedComment ref="C676" dT="2026-05-03T12:58:58.24" personId="{3DB9F47D-679A-4EC9-8890-51CE1DC02E77}" id="{501BC6FF-AE97-4B17-9AA9-FCA93C5F48B3}">
    <text>הופחתו 1.00 שע' חוסר מדומה: 01.04: -0.50שע (ע.חג מדומה); 07.04: -0.50שע (ע.חג מדומה)</text>
  </threadedComment>
  <threadedComment ref="C780" dT="2026-05-03T12:58:58.24" personId="{3DB9F47D-679A-4EC9-8890-51CE1DC02E77}" id="{BB1D54A0-7C21-4F1E-9073-683934BF448A}">
    <text>הופחתו 0.50 שע' חוסר מדומה: 07.04: -0.50שע (ע.חג מדומה)</text>
  </threadedComment>
  <threadedComment ref="C884" dT="2026-05-03T12:58:58.25" personId="{3DB9F47D-679A-4EC9-8890-51CE1DC02E77}" id="{8DD50C2F-ABAB-4988-B08E-12DBF366DEE0}">
    <text>הופחתו 3.40 שע' חוסר מדומה: 20.04: -1.40שע (ע.חג מדומה); 01.04: -1.00שע (ע.חג מדומה); 07.04: -1.00שע (ע.חג מדומה)</text>
  </threadedComment>
  <threadedComment ref="C936" dT="2026-05-03T12:58:58.25" personId="{3DB9F47D-679A-4EC9-8890-51CE1DC02E77}" id="{299387A3-B179-40A5-81A1-139E1074DAF0}">
    <text>הופחתו 3.40 שע' חוסר מדומה: 20.04: -1.40שע (ע.חג מדומה); 01.04: -1.00שע (ע.חג מדומה); 07.04: -1.00שע (ע.חג מדומה)</text>
  </threadedComment>
  <threadedComment ref="C990" dT="2026-05-03T12:58:58.25" personId="{3DB9F47D-679A-4EC9-8890-51CE1DC02E77}" id="{25D110FB-A33A-432E-8741-9A9A64BC09A6}">
    <text>הופחתו 2.00 שע' חוסר מדומה: 01.04: -1.00שע (ע.חג מדומה); 07.04: -1.00שע (ע.חג מדומה)</text>
  </threadedComment>
  <threadedComment ref="C1042" dT="2026-05-03T12:58:58.26" personId="{3DB9F47D-679A-4EC9-8890-51CE1DC02E77}" id="{BC624CB7-099E-44A6-95FA-192560BD1C1F}">
    <text>הופחתו 2.20 שע' חוסר מדומה: 20.04: -1.40שע (ע.חג מדומה); 01.04: -0.40שע (ע.חג מדומה); 07.04: -0.40שע (ע.חג מדומה)</text>
  </threadedComment>
  <threadedComment ref="C1095" dT="2026-05-03T12:58:58.26" personId="{3DB9F47D-679A-4EC9-8890-51CE1DC02E77}" id="{B91FD662-6E79-4106-B7DD-99BD695FA5C1}">
    <text>הופחתו 0.80 שע' חוסר מדומה: 01.04: -0.40שע (ע.חג מדומה); 07.04: -0.40שע (ע.חג מדומה)</text>
  </threadedComment>
  <threadedComment ref="C1147" dT="2026-05-03T12:58:58.26" personId="{3DB9F47D-679A-4EC9-8890-51CE1DC02E77}" id="{2E0D3A23-3A11-4F46-ACB0-960E22AC7EBA}">
    <text>הופחתו 0.80 שע' חוסר מדומה: 01.04: -0.40שע (ע.חג מדומה); 07.04: -0.40שע (ע.חג מדומה)</text>
  </threadedComment>
  <threadedComment ref="C1251" dT="2026-05-03T12:58:58.27" personId="{3DB9F47D-679A-4EC9-8890-51CE1DC02E77}" id="{DE1DADEE-CDBC-4E4A-BBA2-4EE7C2185C3D}">
    <text>הופחתו 0.80 שע' חוסר מדומה: 01.04: -0.40שע (ע.חג מדומה); 07.04: -0.40שע (ע.חג מדומה)</text>
  </threadedComment>
  <threadedComment ref="C1408" dT="2026-05-03T12:58:58.27" personId="{3DB9F47D-679A-4EC9-8890-51CE1DC02E77}" id="{AEDAD4A5-BE4C-41FE-A287-0396E996BFD5}">
    <text>הופחתו 1.80 שע' חוסר מדומה: 01.04: -0.40שע (ע.חג מדומה); 07.04: -0.40שע (ע.חג מדומה); 21.04: -1.00שע (ע.חג מדומה)</text>
  </threadedComment>
  <threadedComment ref="C1461" dT="2026-05-03T12:58:58.27" personId="{3DB9F47D-679A-4EC9-8890-51CE1DC02E77}" id="{81F18E60-CC7A-4683-8046-2C25CE9C5AE0}">
    <text>הופחתו 0.80 שע' חוסר מדומה: 01.04: -0.40שע (ע.חג מדומה); 07.04: -0.40שע (ע.חג מדומה)</text>
  </threadedComment>
  <threadedComment ref="C1565" dT="2026-05-03T12:58:58.27" personId="{3DB9F47D-679A-4EC9-8890-51CE1DC02E77}" id="{26CD0E76-A14A-4B04-BC67-5068C3194D92}">
    <text>הופחתו 2.20 שע' חוסר מדומה: 20.04: -1.40שע (ע.חג מדומה); 01.04: -0.40שע (ע.חג מדומה); 07.04: -0.40שע (ע.חג מדומה)</text>
  </threadedComment>
  <threadedComment ref="C1617" dT="2026-05-03T12:58:58.28" personId="{3DB9F47D-679A-4EC9-8890-51CE1DC02E77}" id="{7F630173-E87F-4220-A3A9-4B2D9A106560}">
    <text>הופחתו 0.80 שע' חוסר מדומה: 01.04: -0.40שע (ע.חג מדומה); 07.04: -0.40שע (ע.חג מדומה)</text>
  </threadedComment>
  <threadedComment ref="C1669" dT="2026-05-03T12:58:58.28" personId="{3DB9F47D-679A-4EC9-8890-51CE1DC02E77}" id="{C6EE6E72-1EE9-45A8-91DB-86CC284B7351}">
    <text>הופחתו 0.40 שע' חוסר מדומה: 01.04: -0.40שע (ע.חג מדומה)</text>
  </threadedComment>
  <threadedComment ref="C1773" dT="2026-05-03T12:58:58.28" personId="{3DB9F47D-679A-4EC9-8890-51CE1DC02E77}" id="{A720AD18-B57B-4B22-9361-96EB38A139F2}">
    <text>הופחתו 0.80 שע' חוסר מדומה: 01.04: -0.40שע (ע.חג מדומה); 07.04: -0.40שע (ע.חג מדומה)</text>
  </threadedComment>
  <threadedComment ref="C1877" dT="2026-05-03T12:58:58.28" personId="{3DB9F47D-679A-4EC9-8890-51CE1DC02E77}" id="{05BCC6B7-00D6-4169-AD81-6FC3E71318C1}">
    <text>הופחתו 0.80 שע' חוסר מדומה: 01.04: -0.40שע (ע.חג מדומה); 07.04: -0.40שע (ע.חג מדומה)</text>
  </threadedComment>
  <threadedComment ref="C1929" dT="2026-05-03T12:58:58.29" personId="{3DB9F47D-679A-4EC9-8890-51CE1DC02E77}" id="{3F70626E-F007-4D2C-961F-119567979BD4}">
    <text>הופחתו 0.80 שע' חוסר מדומה: 01.04: -0.40שע (ע.חג מדומה); 07.04: -0.40שע (ע.חג מדומה)</text>
  </threadedComment>
  <threadedComment ref="C2141" dT="2026-05-03T12:58:58.29" personId="{3DB9F47D-679A-4EC9-8890-51CE1DC02E77}" id="{0566DBD1-C6CB-4E73-A3CF-F1DB1FE3CC40}">
    <text>הופחתו 0.80 שע' חוסר מדומה: 01.04: -0.40שע (ע.חג מדומה); 07.04: -0.40שע (ע.חג מדומה)</text>
  </threadedComment>
  <threadedComment ref="C2193" dT="2026-05-03T12:58:58.29" personId="{3DB9F47D-679A-4EC9-8890-51CE1DC02E77}" id="{E0E28AFF-AB04-45DE-9B6C-112BEA0E00D0}">
    <text>הופחתו 0.80 שע' חוסר מדומה: 01.04: -0.40שע (ע.חג מדומה); 07.04: -0.40שע (ע.חג מדומה)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2DFB662-752C-4D4D-825D-50224EF7A4C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7894b94-91d2-4df4-8515-a639c375591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01"/>
  <sheetViews>
    <sheetView rightToLeft="1" topLeftCell="A676" workbookViewId="0">
      <selection activeCell="A681" sqref="A681:C681"/>
    </sheetView>
  </sheetViews>
  <sheetFormatPr defaultRowHeight="14.25" x14ac:dyDescent="0.2"/>
  <cols>
    <col min="1" max="1" width="7.25" customWidth="1"/>
    <col min="2" max="5" width="5.25" customWidth="1"/>
    <col min="6" max="7" width="6" customWidth="1"/>
    <col min="8" max="8" width="5.25" customWidth="1"/>
    <col min="9" max="9" width="5.75" customWidth="1"/>
    <col min="10" max="16" width="5.25" customWidth="1"/>
  </cols>
  <sheetData>
    <row r="1" spans="1:16" ht="12.95" customHeight="1" x14ac:dyDescent="0.2">
      <c r="A1" s="7" t="s">
        <v>0</v>
      </c>
      <c r="B1" s="7"/>
      <c r="C1" s="7"/>
      <c r="D1" s="7" t="s">
        <v>1</v>
      </c>
      <c r="E1" s="7"/>
      <c r="F1" s="7"/>
      <c r="G1" s="7"/>
      <c r="H1" s="7" t="s">
        <v>2</v>
      </c>
      <c r="I1" s="7"/>
      <c r="J1" s="7"/>
      <c r="K1" s="7"/>
      <c r="L1" s="7"/>
      <c r="M1" s="7"/>
      <c r="N1" s="7"/>
      <c r="O1" s="7"/>
      <c r="P1" s="7"/>
    </row>
    <row r="2" spans="1:16" ht="12.95" customHeight="1" x14ac:dyDescent="0.2">
      <c r="A2" s="7" t="s">
        <v>3</v>
      </c>
      <c r="B2" s="7"/>
      <c r="C2" s="7"/>
      <c r="D2" s="7"/>
      <c r="E2" s="7"/>
      <c r="F2" s="7">
        <v>113</v>
      </c>
      <c r="G2" s="7"/>
      <c r="H2" s="7" t="s">
        <v>4</v>
      </c>
      <c r="I2" s="7"/>
      <c r="J2" s="7"/>
      <c r="K2" s="7"/>
      <c r="L2" s="7"/>
      <c r="M2" s="7"/>
      <c r="N2" s="7"/>
      <c r="O2" s="7"/>
      <c r="P2" s="7"/>
    </row>
    <row r="3" spans="1:16" ht="22.5" customHeight="1" x14ac:dyDescent="0.2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19</v>
      </c>
      <c r="P3" s="1" t="s">
        <v>20</v>
      </c>
    </row>
    <row r="4" spans="1:16" ht="12.95" customHeight="1" x14ac:dyDescent="0.2">
      <c r="A4" s="2" t="s">
        <v>21</v>
      </c>
      <c r="B4" s="2" t="s">
        <v>22</v>
      </c>
      <c r="C4" s="2"/>
      <c r="D4" s="2"/>
      <c r="E4" s="3"/>
      <c r="F4" s="2"/>
      <c r="G4" s="2"/>
      <c r="H4" s="2" t="s">
        <v>23</v>
      </c>
      <c r="I4" s="12" t="s">
        <v>23</v>
      </c>
      <c r="J4" s="2"/>
      <c r="K4" s="2"/>
      <c r="L4" s="2"/>
      <c r="M4" s="2"/>
      <c r="N4" s="2" t="s">
        <v>24</v>
      </c>
      <c r="O4" s="2" t="s">
        <v>25</v>
      </c>
      <c r="P4" s="2"/>
    </row>
    <row r="5" spans="1:16" ht="12.95" customHeight="1" x14ac:dyDescent="0.2">
      <c r="A5" s="2" t="s">
        <v>26</v>
      </c>
      <c r="B5" s="2" t="s">
        <v>27</v>
      </c>
      <c r="C5" s="2"/>
      <c r="D5" s="2"/>
      <c r="E5" s="3"/>
      <c r="F5" s="2"/>
      <c r="G5" s="2"/>
      <c r="H5" s="2"/>
      <c r="I5" s="13"/>
      <c r="J5" s="2"/>
      <c r="K5" s="2"/>
      <c r="L5" s="2"/>
      <c r="M5" s="2"/>
      <c r="N5" s="2" t="s">
        <v>28</v>
      </c>
      <c r="O5" s="2" t="s">
        <v>29</v>
      </c>
      <c r="P5" s="2"/>
    </row>
    <row r="6" spans="1:16" ht="12.95" customHeight="1" x14ac:dyDescent="0.2">
      <c r="A6" s="4" t="s">
        <v>30</v>
      </c>
      <c r="B6" s="4" t="s">
        <v>31</v>
      </c>
      <c r="C6" s="4"/>
      <c r="D6" s="4"/>
      <c r="E6" s="3"/>
      <c r="F6" s="4"/>
      <c r="G6" s="4"/>
      <c r="H6" s="4"/>
      <c r="I6" s="35"/>
      <c r="J6" s="4"/>
      <c r="K6" s="4"/>
      <c r="L6" s="4"/>
      <c r="M6" s="4"/>
      <c r="N6" s="4"/>
      <c r="O6" s="4"/>
      <c r="P6" s="4"/>
    </row>
    <row r="7" spans="1:16" ht="12.95" customHeight="1" x14ac:dyDescent="0.2">
      <c r="A7" s="4" t="s">
        <v>32</v>
      </c>
      <c r="B7" s="4" t="s">
        <v>31</v>
      </c>
      <c r="C7" s="4"/>
      <c r="D7" s="4"/>
      <c r="E7" s="3"/>
      <c r="F7" s="4"/>
      <c r="G7" s="4"/>
      <c r="H7" s="4"/>
      <c r="I7" s="35"/>
      <c r="J7" s="4"/>
      <c r="K7" s="4"/>
      <c r="L7" s="4"/>
      <c r="M7" s="4"/>
      <c r="N7" s="4"/>
      <c r="O7" s="4"/>
      <c r="P7" s="4"/>
    </row>
    <row r="8" spans="1:16" x14ac:dyDescent="0.2">
      <c r="A8" s="4" t="s">
        <v>33</v>
      </c>
      <c r="B8" s="4" t="s">
        <v>34</v>
      </c>
      <c r="C8" s="4" t="s">
        <v>34</v>
      </c>
      <c r="D8" s="4" t="s">
        <v>34</v>
      </c>
      <c r="E8" s="4"/>
      <c r="F8" s="4"/>
      <c r="G8" s="4"/>
      <c r="H8" s="4" t="s">
        <v>23</v>
      </c>
      <c r="I8" s="35" t="s">
        <v>23</v>
      </c>
      <c r="J8" s="4"/>
      <c r="K8" s="4"/>
      <c r="L8" s="4"/>
      <c r="M8" s="4"/>
      <c r="N8" s="4"/>
      <c r="O8" s="4"/>
      <c r="P8" s="4"/>
    </row>
    <row r="9" spans="1:16" ht="12.95" customHeight="1" x14ac:dyDescent="0.2">
      <c r="A9" s="2" t="s">
        <v>35</v>
      </c>
      <c r="B9" s="2" t="s">
        <v>36</v>
      </c>
      <c r="C9" s="2"/>
      <c r="D9" s="2"/>
      <c r="E9" s="3"/>
      <c r="F9" s="2"/>
      <c r="G9" s="2"/>
      <c r="H9" s="2"/>
      <c r="I9" s="13"/>
      <c r="J9" s="2"/>
      <c r="K9" s="2"/>
      <c r="L9" s="2"/>
      <c r="M9" s="2"/>
      <c r="N9" s="2" t="s">
        <v>37</v>
      </c>
      <c r="O9" s="2"/>
      <c r="P9" s="2"/>
    </row>
    <row r="10" spans="1:16" ht="12.95" customHeight="1" x14ac:dyDescent="0.2">
      <c r="A10" s="2" t="s">
        <v>38</v>
      </c>
      <c r="B10" s="2" t="s">
        <v>36</v>
      </c>
      <c r="C10" s="2"/>
      <c r="D10" s="2"/>
      <c r="E10" s="3"/>
      <c r="F10" s="2"/>
      <c r="G10" s="2"/>
      <c r="H10" s="2"/>
      <c r="I10" s="13"/>
      <c r="J10" s="2"/>
      <c r="K10" s="2"/>
      <c r="L10" s="2"/>
      <c r="M10" s="2"/>
      <c r="N10" s="2" t="s">
        <v>37</v>
      </c>
      <c r="O10" s="2"/>
      <c r="P10" s="2"/>
    </row>
    <row r="11" spans="1:16" ht="12.95" customHeight="1" x14ac:dyDescent="0.2">
      <c r="A11" s="2" t="s">
        <v>39</v>
      </c>
      <c r="B11" s="2" t="s">
        <v>22</v>
      </c>
      <c r="C11" s="2"/>
      <c r="D11" s="2"/>
      <c r="E11" s="3"/>
      <c r="F11" s="2"/>
      <c r="G11" s="2"/>
      <c r="H11" s="2" t="s">
        <v>23</v>
      </c>
      <c r="I11" s="12" t="s">
        <v>23</v>
      </c>
      <c r="J11" s="2"/>
      <c r="K11" s="2"/>
      <c r="L11" s="2"/>
      <c r="M11" s="2"/>
      <c r="N11" s="2" t="s">
        <v>24</v>
      </c>
      <c r="O11" s="2" t="s">
        <v>25</v>
      </c>
      <c r="P11" s="2"/>
    </row>
    <row r="12" spans="1:16" ht="12.95" customHeight="1" x14ac:dyDescent="0.2">
      <c r="A12" s="2" t="s">
        <v>40</v>
      </c>
      <c r="B12" s="2" t="s">
        <v>27</v>
      </c>
      <c r="C12" s="2"/>
      <c r="D12" s="2"/>
      <c r="E12" s="3"/>
      <c r="F12" s="2"/>
      <c r="G12" s="2"/>
      <c r="H12" s="2"/>
      <c r="I12" s="13"/>
      <c r="J12" s="2"/>
      <c r="K12" s="2"/>
      <c r="L12" s="2"/>
      <c r="M12" s="2"/>
      <c r="N12" s="2" t="s">
        <v>28</v>
      </c>
      <c r="O12" s="2" t="s">
        <v>25</v>
      </c>
      <c r="P12" s="2"/>
    </row>
    <row r="13" spans="1:16" ht="12.95" customHeight="1" x14ac:dyDescent="0.2">
      <c r="A13" s="2" t="s">
        <v>41</v>
      </c>
      <c r="B13" s="2" t="s">
        <v>42</v>
      </c>
      <c r="C13" s="2" t="s">
        <v>43</v>
      </c>
      <c r="D13" s="2" t="s">
        <v>44</v>
      </c>
      <c r="E13" s="3" t="s">
        <v>45</v>
      </c>
      <c r="F13" s="2" t="s">
        <v>46</v>
      </c>
      <c r="G13" s="2" t="s">
        <v>47</v>
      </c>
      <c r="H13" s="2" t="s">
        <v>48</v>
      </c>
      <c r="I13" s="13"/>
      <c r="J13" s="2" t="s">
        <v>48</v>
      </c>
      <c r="K13" s="2" t="s">
        <v>49</v>
      </c>
      <c r="L13" s="2" t="s">
        <v>49</v>
      </c>
      <c r="M13" s="2" t="s">
        <v>50</v>
      </c>
      <c r="N13" s="2"/>
      <c r="O13" s="2"/>
      <c r="P13" s="2"/>
    </row>
    <row r="14" spans="1:16" ht="12.95" customHeight="1" x14ac:dyDescent="0.2">
      <c r="A14" s="4" t="s">
        <v>51</v>
      </c>
      <c r="B14" s="4" t="s">
        <v>31</v>
      </c>
      <c r="C14" s="4"/>
      <c r="D14" s="4"/>
      <c r="E14" s="3"/>
      <c r="F14" s="4"/>
      <c r="G14" s="4"/>
      <c r="H14" s="4"/>
      <c r="I14" s="35"/>
      <c r="J14" s="4"/>
      <c r="K14" s="4"/>
      <c r="L14" s="4"/>
      <c r="M14" s="4"/>
      <c r="N14" s="4"/>
      <c r="O14" s="4"/>
      <c r="P14" s="4"/>
    </row>
    <row r="15" spans="1:16" ht="12.95" customHeight="1" x14ac:dyDescent="0.2">
      <c r="A15" s="4" t="s">
        <v>52</v>
      </c>
      <c r="B15" s="4" t="s">
        <v>31</v>
      </c>
      <c r="C15" s="4"/>
      <c r="D15" s="4"/>
      <c r="E15" s="3"/>
      <c r="F15" s="4"/>
      <c r="G15" s="4"/>
      <c r="H15" s="4"/>
      <c r="I15" s="35"/>
      <c r="J15" s="4"/>
      <c r="K15" s="4"/>
      <c r="L15" s="4"/>
      <c r="M15" s="4"/>
      <c r="N15" s="4"/>
      <c r="O15" s="4"/>
      <c r="P15" s="4"/>
    </row>
    <row r="16" spans="1:16" x14ac:dyDescent="0.2">
      <c r="A16" s="4" t="s">
        <v>33</v>
      </c>
      <c r="B16" s="4" t="s">
        <v>34</v>
      </c>
      <c r="C16" s="4" t="s">
        <v>34</v>
      </c>
      <c r="D16" s="4" t="s">
        <v>34</v>
      </c>
      <c r="E16" s="4" t="s">
        <v>45</v>
      </c>
      <c r="F16" s="4" t="s">
        <v>46</v>
      </c>
      <c r="G16" s="4" t="s">
        <v>47</v>
      </c>
      <c r="H16" s="4" t="s">
        <v>53</v>
      </c>
      <c r="I16" s="35" t="s">
        <v>23</v>
      </c>
      <c r="J16" s="4" t="s">
        <v>48</v>
      </c>
      <c r="K16" s="4" t="s">
        <v>49</v>
      </c>
      <c r="L16" s="4" t="s">
        <v>49</v>
      </c>
      <c r="M16" s="4" t="s">
        <v>50</v>
      </c>
      <c r="N16" s="4"/>
      <c r="O16" s="4"/>
      <c r="P16" s="4"/>
    </row>
    <row r="17" spans="1:16" ht="12.95" customHeight="1" x14ac:dyDescent="0.2">
      <c r="A17" s="2" t="s">
        <v>54</v>
      </c>
      <c r="B17" s="2" t="s">
        <v>42</v>
      </c>
      <c r="C17" s="2" t="s">
        <v>55</v>
      </c>
      <c r="D17" s="2" t="s">
        <v>56</v>
      </c>
      <c r="E17" s="3" t="s">
        <v>57</v>
      </c>
      <c r="F17" s="2" t="s">
        <v>46</v>
      </c>
      <c r="G17" s="2" t="s">
        <v>58</v>
      </c>
      <c r="H17" s="2" t="s">
        <v>48</v>
      </c>
      <c r="I17" s="13"/>
      <c r="J17" s="2" t="s">
        <v>48</v>
      </c>
      <c r="K17" s="2" t="s">
        <v>59</v>
      </c>
      <c r="L17" s="2" t="s">
        <v>59</v>
      </c>
      <c r="M17" s="2" t="s">
        <v>60</v>
      </c>
      <c r="N17" s="2"/>
      <c r="O17" s="2"/>
      <c r="P17" s="2"/>
    </row>
    <row r="18" spans="1:16" ht="12.95" customHeight="1" x14ac:dyDescent="0.2">
      <c r="A18" s="2" t="s">
        <v>61</v>
      </c>
      <c r="B18" s="2" t="s">
        <v>42</v>
      </c>
      <c r="C18" s="2" t="s">
        <v>62</v>
      </c>
      <c r="D18" s="2" t="s">
        <v>63</v>
      </c>
      <c r="E18" s="3" t="s">
        <v>64</v>
      </c>
      <c r="F18" s="2" t="s">
        <v>46</v>
      </c>
      <c r="G18" s="2" t="s">
        <v>65</v>
      </c>
      <c r="H18" s="2" t="s">
        <v>48</v>
      </c>
      <c r="I18" s="13" t="s">
        <v>66</v>
      </c>
      <c r="J18" s="2" t="s">
        <v>65</v>
      </c>
      <c r="K18" s="2"/>
      <c r="L18" s="2"/>
      <c r="M18" s="2" t="s">
        <v>67</v>
      </c>
      <c r="N18" s="2"/>
      <c r="O18" s="2"/>
      <c r="P18" s="2"/>
    </row>
    <row r="19" spans="1:16" ht="12.95" customHeight="1" x14ac:dyDescent="0.2">
      <c r="A19" s="2" t="s">
        <v>68</v>
      </c>
      <c r="B19" s="2" t="s">
        <v>42</v>
      </c>
      <c r="C19" s="2" t="s">
        <v>69</v>
      </c>
      <c r="D19" s="2" t="s">
        <v>70</v>
      </c>
      <c r="E19" s="3" t="s">
        <v>71</v>
      </c>
      <c r="F19" s="2" t="s">
        <v>46</v>
      </c>
      <c r="G19" s="2" t="s">
        <v>72</v>
      </c>
      <c r="H19" s="2" t="s">
        <v>48</v>
      </c>
      <c r="I19" s="13"/>
      <c r="J19" s="2" t="s">
        <v>48</v>
      </c>
      <c r="K19" s="2" t="s">
        <v>73</v>
      </c>
      <c r="L19" s="2" t="s">
        <v>73</v>
      </c>
      <c r="M19" s="2" t="s">
        <v>74</v>
      </c>
      <c r="N19" s="2"/>
      <c r="O19" s="2"/>
      <c r="P19" s="2"/>
    </row>
    <row r="20" spans="1:16" ht="12.95" customHeight="1" x14ac:dyDescent="0.2">
      <c r="A20" s="2" t="s">
        <v>75</v>
      </c>
      <c r="B20" s="2" t="s">
        <v>42</v>
      </c>
      <c r="C20" s="2" t="s">
        <v>76</v>
      </c>
      <c r="D20" s="2" t="s">
        <v>70</v>
      </c>
      <c r="E20" s="3" t="s">
        <v>77</v>
      </c>
      <c r="F20" s="2" t="s">
        <v>46</v>
      </c>
      <c r="G20" s="2" t="s">
        <v>78</v>
      </c>
      <c r="H20" s="2" t="s">
        <v>48</v>
      </c>
      <c r="I20" s="13" t="s">
        <v>79</v>
      </c>
      <c r="J20" s="2" t="s">
        <v>78</v>
      </c>
      <c r="K20" s="2"/>
      <c r="L20" s="2"/>
      <c r="M20" s="2" t="s">
        <v>80</v>
      </c>
      <c r="N20" s="2"/>
      <c r="O20" s="2"/>
      <c r="P20" s="2"/>
    </row>
    <row r="21" spans="1:16" ht="12.95" customHeight="1" x14ac:dyDescent="0.2">
      <c r="A21" s="2" t="s">
        <v>81</v>
      </c>
      <c r="B21" s="2" t="s">
        <v>42</v>
      </c>
      <c r="C21" s="2" t="s">
        <v>82</v>
      </c>
      <c r="D21" s="2" t="s">
        <v>83</v>
      </c>
      <c r="E21" s="3" t="s">
        <v>84</v>
      </c>
      <c r="F21" s="2" t="s">
        <v>46</v>
      </c>
      <c r="G21" s="2" t="s">
        <v>64</v>
      </c>
      <c r="H21" s="2" t="s">
        <v>48</v>
      </c>
      <c r="I21" s="13"/>
      <c r="J21" s="2" t="s">
        <v>48</v>
      </c>
      <c r="K21" s="2" t="s">
        <v>85</v>
      </c>
      <c r="L21" s="2" t="s">
        <v>85</v>
      </c>
      <c r="M21" s="2" t="s">
        <v>86</v>
      </c>
      <c r="N21" s="2"/>
      <c r="O21" s="2"/>
      <c r="P21" s="2"/>
    </row>
    <row r="22" spans="1:16" ht="12.95" customHeight="1" x14ac:dyDescent="0.2">
      <c r="A22" s="4" t="s">
        <v>87</v>
      </c>
      <c r="B22" s="4" t="s">
        <v>31</v>
      </c>
      <c r="C22" s="4"/>
      <c r="D22" s="4"/>
      <c r="E22" s="3"/>
      <c r="F22" s="4"/>
      <c r="G22" s="4"/>
      <c r="H22" s="4"/>
      <c r="I22" s="35"/>
      <c r="J22" s="4"/>
      <c r="K22" s="4"/>
      <c r="L22" s="4"/>
      <c r="M22" s="4"/>
      <c r="N22" s="4"/>
      <c r="O22" s="4"/>
      <c r="P22" s="4"/>
    </row>
    <row r="23" spans="1:16" ht="12.95" customHeight="1" x14ac:dyDescent="0.2">
      <c r="A23" s="4" t="s">
        <v>88</v>
      </c>
      <c r="B23" s="4" t="s">
        <v>31</v>
      </c>
      <c r="C23" s="4"/>
      <c r="D23" s="4"/>
      <c r="E23" s="3"/>
      <c r="F23" s="4"/>
      <c r="G23" s="4"/>
      <c r="H23" s="4"/>
      <c r="I23" s="35"/>
      <c r="J23" s="4"/>
      <c r="K23" s="4"/>
      <c r="L23" s="4"/>
      <c r="M23" s="4"/>
      <c r="N23" s="4"/>
      <c r="O23" s="4"/>
      <c r="P23" s="4"/>
    </row>
    <row r="24" spans="1:16" x14ac:dyDescent="0.2">
      <c r="A24" s="4" t="s">
        <v>33</v>
      </c>
      <c r="B24" s="4" t="s">
        <v>34</v>
      </c>
      <c r="C24" s="4" t="s">
        <v>34</v>
      </c>
      <c r="D24" s="4" t="s">
        <v>34</v>
      </c>
      <c r="E24" s="4" t="s">
        <v>89</v>
      </c>
      <c r="F24" s="4" t="s">
        <v>90</v>
      </c>
      <c r="G24" s="4" t="s">
        <v>91</v>
      </c>
      <c r="H24" s="4" t="s">
        <v>92</v>
      </c>
      <c r="I24" s="35" t="s">
        <v>93</v>
      </c>
      <c r="J24" s="4" t="s">
        <v>94</v>
      </c>
      <c r="K24" s="4" t="s">
        <v>95</v>
      </c>
      <c r="L24" s="4" t="s">
        <v>95</v>
      </c>
      <c r="M24" s="4" t="s">
        <v>96</v>
      </c>
      <c r="N24" s="4"/>
      <c r="O24" s="4"/>
      <c r="P24" s="4"/>
    </row>
    <row r="25" spans="1:16" ht="12.95" customHeight="1" x14ac:dyDescent="0.2">
      <c r="A25" s="2" t="s">
        <v>97</v>
      </c>
      <c r="B25" s="2" t="s">
        <v>42</v>
      </c>
      <c r="C25" s="2" t="s">
        <v>98</v>
      </c>
      <c r="D25" s="2" t="s">
        <v>99</v>
      </c>
      <c r="E25" s="3" t="s">
        <v>100</v>
      </c>
      <c r="F25" s="2" t="s">
        <v>46</v>
      </c>
      <c r="G25" s="2" t="s">
        <v>101</v>
      </c>
      <c r="H25" s="2" t="s">
        <v>48</v>
      </c>
      <c r="I25" s="13" t="s">
        <v>102</v>
      </c>
      <c r="J25" s="2" t="s">
        <v>101</v>
      </c>
      <c r="K25" s="2"/>
      <c r="L25" s="2"/>
      <c r="M25" s="2" t="s">
        <v>103</v>
      </c>
      <c r="N25" s="2"/>
      <c r="O25" s="2"/>
      <c r="P25" s="2"/>
    </row>
    <row r="26" spans="1:16" ht="12.95" customHeight="1" x14ac:dyDescent="0.2">
      <c r="A26" s="2" t="s">
        <v>104</v>
      </c>
      <c r="B26" s="2" t="s">
        <v>42</v>
      </c>
      <c r="C26" s="2" t="s">
        <v>96</v>
      </c>
      <c r="D26" s="2" t="s">
        <v>105</v>
      </c>
      <c r="E26" s="3" t="s">
        <v>106</v>
      </c>
      <c r="F26" s="2" t="s">
        <v>46</v>
      </c>
      <c r="G26" s="2" t="s">
        <v>107</v>
      </c>
      <c r="H26" s="2" t="s">
        <v>108</v>
      </c>
      <c r="I26" s="13"/>
      <c r="J26" s="2" t="s">
        <v>107</v>
      </c>
      <c r="K26" s="2"/>
      <c r="L26" s="2" t="s">
        <v>109</v>
      </c>
      <c r="M26" s="2" t="s">
        <v>110</v>
      </c>
      <c r="N26" s="2"/>
      <c r="O26" s="2"/>
      <c r="P26" s="2"/>
    </row>
    <row r="27" spans="1:16" ht="12.95" customHeight="1" x14ac:dyDescent="0.2">
      <c r="A27" s="2" t="s">
        <v>112</v>
      </c>
      <c r="B27" s="2" t="s">
        <v>22</v>
      </c>
      <c r="C27" s="2"/>
      <c r="D27" s="2"/>
      <c r="E27" s="3"/>
      <c r="F27" s="2"/>
      <c r="G27" s="2"/>
      <c r="H27" s="2" t="s">
        <v>113</v>
      </c>
      <c r="I27" s="13" t="s">
        <v>113</v>
      </c>
      <c r="J27" s="2"/>
      <c r="K27" s="2"/>
      <c r="L27" s="2"/>
      <c r="M27" s="2"/>
      <c r="N27" s="2" t="s">
        <v>24</v>
      </c>
      <c r="O27" s="2" t="s">
        <v>111</v>
      </c>
      <c r="P27" s="2"/>
    </row>
    <row r="28" spans="1:16" ht="12.95" customHeight="1" x14ac:dyDescent="0.2">
      <c r="A28" s="2" t="s">
        <v>114</v>
      </c>
      <c r="B28" s="2" t="s">
        <v>27</v>
      </c>
      <c r="C28" s="2"/>
      <c r="D28" s="2"/>
      <c r="E28" s="3"/>
      <c r="F28" s="2"/>
      <c r="G28" s="2"/>
      <c r="H28" s="2"/>
      <c r="I28" s="13"/>
      <c r="J28" s="2"/>
      <c r="K28" s="2"/>
      <c r="L28" s="2"/>
      <c r="M28" s="2"/>
      <c r="N28" s="2" t="s">
        <v>28</v>
      </c>
      <c r="O28" s="2" t="s">
        <v>111</v>
      </c>
      <c r="P28" s="2"/>
    </row>
    <row r="29" spans="1:16" ht="12.95" customHeight="1" x14ac:dyDescent="0.2">
      <c r="A29" s="2" t="s">
        <v>115</v>
      </c>
      <c r="B29" s="2" t="s">
        <v>42</v>
      </c>
      <c r="C29" s="2" t="s">
        <v>116</v>
      </c>
      <c r="D29" s="2" t="s">
        <v>117</v>
      </c>
      <c r="E29" s="3" t="s">
        <v>118</v>
      </c>
      <c r="F29" s="2" t="s">
        <v>46</v>
      </c>
      <c r="G29" s="2" t="s">
        <v>119</v>
      </c>
      <c r="H29" s="2" t="s">
        <v>48</v>
      </c>
      <c r="I29" s="13"/>
      <c r="J29" s="2" t="s">
        <v>48</v>
      </c>
      <c r="K29" s="2" t="s">
        <v>120</v>
      </c>
      <c r="L29" s="2" t="s">
        <v>120</v>
      </c>
      <c r="M29" s="2" t="s">
        <v>121</v>
      </c>
      <c r="N29" s="2"/>
      <c r="O29" s="2"/>
      <c r="P29" s="2"/>
    </row>
    <row r="30" spans="1:16" ht="12.95" customHeight="1" x14ac:dyDescent="0.2">
      <c r="A30" s="4" t="s">
        <v>122</v>
      </c>
      <c r="B30" s="4" t="s">
        <v>31</v>
      </c>
      <c r="C30" s="4"/>
      <c r="D30" s="4"/>
      <c r="E30" s="3"/>
      <c r="F30" s="4"/>
      <c r="G30" s="4"/>
      <c r="H30" s="4"/>
      <c r="I30" s="35"/>
      <c r="J30" s="4"/>
      <c r="K30" s="4"/>
      <c r="L30" s="4"/>
      <c r="M30" s="4"/>
      <c r="N30" s="4"/>
      <c r="O30" s="4"/>
      <c r="P30" s="4"/>
    </row>
    <row r="31" spans="1:16" ht="12.95" customHeight="1" x14ac:dyDescent="0.2">
      <c r="A31" s="4" t="s">
        <v>123</v>
      </c>
      <c r="B31" s="4" t="s">
        <v>31</v>
      </c>
      <c r="C31" s="4"/>
      <c r="D31" s="4"/>
      <c r="E31" s="3"/>
      <c r="F31" s="4"/>
      <c r="G31" s="4"/>
      <c r="H31" s="4"/>
      <c r="I31" s="35"/>
      <c r="J31" s="4"/>
      <c r="K31" s="4"/>
      <c r="L31" s="4"/>
      <c r="M31" s="4"/>
      <c r="N31" s="4"/>
      <c r="O31" s="4"/>
      <c r="P31" s="4"/>
    </row>
    <row r="32" spans="1:16" x14ac:dyDescent="0.2">
      <c r="A32" s="4" t="s">
        <v>33</v>
      </c>
      <c r="B32" s="4" t="s">
        <v>34</v>
      </c>
      <c r="C32" s="4" t="s">
        <v>34</v>
      </c>
      <c r="D32" s="4" t="s">
        <v>34</v>
      </c>
      <c r="E32" s="4" t="s">
        <v>124</v>
      </c>
      <c r="F32" s="4" t="s">
        <v>125</v>
      </c>
      <c r="G32" s="4" t="s">
        <v>126</v>
      </c>
      <c r="H32" s="4" t="s">
        <v>127</v>
      </c>
      <c r="I32" s="35" t="s">
        <v>43</v>
      </c>
      <c r="J32" s="4" t="s">
        <v>128</v>
      </c>
      <c r="K32" s="4" t="s">
        <v>120</v>
      </c>
      <c r="L32" s="4" t="s">
        <v>129</v>
      </c>
      <c r="M32" s="4" t="s">
        <v>130</v>
      </c>
      <c r="N32" s="4"/>
      <c r="O32" s="4"/>
      <c r="P32" s="4"/>
    </row>
    <row r="33" spans="1:16" ht="12.95" customHeight="1" x14ac:dyDescent="0.2">
      <c r="A33" s="2" t="s">
        <v>131</v>
      </c>
      <c r="B33" s="2" t="s">
        <v>42</v>
      </c>
      <c r="C33" s="2" t="s">
        <v>132</v>
      </c>
      <c r="D33" s="2" t="s">
        <v>133</v>
      </c>
      <c r="E33" s="3" t="s">
        <v>134</v>
      </c>
      <c r="F33" s="2" t="s">
        <v>46</v>
      </c>
      <c r="G33" s="2" t="s">
        <v>135</v>
      </c>
      <c r="H33" s="2" t="s">
        <v>48</v>
      </c>
      <c r="I33" s="13"/>
      <c r="J33" s="2" t="s">
        <v>48</v>
      </c>
      <c r="K33" s="2" t="s">
        <v>136</v>
      </c>
      <c r="L33" s="2" t="s">
        <v>136</v>
      </c>
      <c r="M33" s="2" t="s">
        <v>137</v>
      </c>
      <c r="N33" s="2"/>
      <c r="O33" s="2"/>
      <c r="P33" s="2"/>
    </row>
    <row r="34" spans="1:16" ht="12.95" customHeight="1" x14ac:dyDescent="0.2">
      <c r="A34" s="2" t="s">
        <v>138</v>
      </c>
      <c r="B34" s="2" t="s">
        <v>42</v>
      </c>
      <c r="C34" s="2" t="s">
        <v>98</v>
      </c>
      <c r="D34" s="2" t="s">
        <v>139</v>
      </c>
      <c r="E34" s="3" t="s">
        <v>140</v>
      </c>
      <c r="F34" s="2" t="s">
        <v>46</v>
      </c>
      <c r="G34" s="2" t="s">
        <v>141</v>
      </c>
      <c r="H34" s="2" t="s">
        <v>48</v>
      </c>
      <c r="I34" s="13"/>
      <c r="J34" s="2" t="s">
        <v>48</v>
      </c>
      <c r="K34" s="2" t="s">
        <v>142</v>
      </c>
      <c r="L34" s="2" t="s">
        <v>142</v>
      </c>
      <c r="M34" s="2" t="s">
        <v>103</v>
      </c>
      <c r="N34" s="2"/>
      <c r="O34" s="2"/>
      <c r="P34" s="2"/>
    </row>
    <row r="35" spans="1:16" ht="12.95" customHeight="1" x14ac:dyDescent="0.2">
      <c r="A35" s="2" t="s">
        <v>143</v>
      </c>
      <c r="B35" s="2" t="s">
        <v>42</v>
      </c>
      <c r="C35" s="2" t="s">
        <v>106</v>
      </c>
      <c r="D35" s="2" t="s">
        <v>144</v>
      </c>
      <c r="E35" s="3" t="s">
        <v>145</v>
      </c>
      <c r="F35" s="2" t="s">
        <v>46</v>
      </c>
      <c r="G35" s="2" t="s">
        <v>134</v>
      </c>
      <c r="H35" s="2" t="s">
        <v>48</v>
      </c>
      <c r="I35" s="13"/>
      <c r="J35" s="2" t="s">
        <v>48</v>
      </c>
      <c r="K35" s="2" t="s">
        <v>146</v>
      </c>
      <c r="L35" s="2" t="s">
        <v>146</v>
      </c>
      <c r="M35" s="2" t="s">
        <v>147</v>
      </c>
      <c r="N35" s="2"/>
      <c r="O35" s="2"/>
      <c r="P35" s="2"/>
    </row>
    <row r="36" spans="1:16" ht="12.95" customHeight="1" x14ac:dyDescent="0.2">
      <c r="A36" s="2" t="s">
        <v>148</v>
      </c>
      <c r="B36" s="2" t="s">
        <v>42</v>
      </c>
      <c r="C36" s="2" t="s">
        <v>149</v>
      </c>
      <c r="D36" s="2" t="s">
        <v>150</v>
      </c>
      <c r="E36" s="3" t="s">
        <v>151</v>
      </c>
      <c r="F36" s="2" t="s">
        <v>46</v>
      </c>
      <c r="G36" s="2" t="s">
        <v>152</v>
      </c>
      <c r="H36" s="2" t="s">
        <v>48</v>
      </c>
      <c r="I36" s="13"/>
      <c r="J36" s="2" t="s">
        <v>48</v>
      </c>
      <c r="K36" s="2" t="s">
        <v>153</v>
      </c>
      <c r="L36" s="2" t="s">
        <v>153</v>
      </c>
      <c r="M36" s="2" t="s">
        <v>154</v>
      </c>
      <c r="N36" s="2"/>
      <c r="O36" s="2"/>
      <c r="P36" s="2"/>
    </row>
    <row r="37" spans="1:16" ht="12.95" customHeight="1" x14ac:dyDescent="0.2">
      <c r="A37" s="2" t="s">
        <v>155</v>
      </c>
      <c r="B37" s="2" t="s">
        <v>42</v>
      </c>
      <c r="C37" s="2" t="s">
        <v>65</v>
      </c>
      <c r="D37" s="2" t="s">
        <v>156</v>
      </c>
      <c r="E37" s="3" t="s">
        <v>157</v>
      </c>
      <c r="F37" s="2" t="s">
        <v>46</v>
      </c>
      <c r="G37" s="2" t="s">
        <v>158</v>
      </c>
      <c r="H37" s="2" t="s">
        <v>48</v>
      </c>
      <c r="I37" s="13"/>
      <c r="J37" s="2" t="s">
        <v>48</v>
      </c>
      <c r="K37" s="2" t="s">
        <v>159</v>
      </c>
      <c r="L37" s="2" t="s">
        <v>159</v>
      </c>
      <c r="M37" s="2" t="s">
        <v>160</v>
      </c>
      <c r="N37" s="2"/>
      <c r="O37" s="2"/>
      <c r="P37" s="2"/>
    </row>
    <row r="38" spans="1:16" ht="12.95" customHeight="1" x14ac:dyDescent="0.2">
      <c r="A38" s="8" t="s">
        <v>161</v>
      </c>
      <c r="B38" s="8"/>
      <c r="C38" s="8"/>
      <c r="D38" s="8"/>
      <c r="E38" s="5" t="s">
        <v>162</v>
      </c>
      <c r="F38" s="5" t="s">
        <v>163</v>
      </c>
      <c r="G38" s="5" t="s">
        <v>164</v>
      </c>
      <c r="H38" s="5" t="s">
        <v>165</v>
      </c>
      <c r="I38" s="36" t="s">
        <v>166</v>
      </c>
      <c r="J38" s="5" t="s">
        <v>167</v>
      </c>
      <c r="K38" s="5" t="s">
        <v>168</v>
      </c>
      <c r="L38" s="5" t="s">
        <v>169</v>
      </c>
      <c r="M38" s="5" t="s">
        <v>170</v>
      </c>
      <c r="N38" s="5"/>
      <c r="O38" s="5"/>
      <c r="P38" s="5"/>
    </row>
    <row r="39" spans="1:16" ht="12.95" customHeight="1" x14ac:dyDescent="0.2">
      <c r="A39" s="8" t="s">
        <v>171</v>
      </c>
      <c r="B39" s="8"/>
      <c r="C39" s="8"/>
      <c r="D39" s="8"/>
      <c r="E39" s="5" t="s">
        <v>162</v>
      </c>
      <c r="F39" s="5" t="s">
        <v>163</v>
      </c>
      <c r="G39" s="5" t="s">
        <v>164</v>
      </c>
      <c r="H39" s="5" t="s">
        <v>165</v>
      </c>
      <c r="I39" s="36" t="s">
        <v>172</v>
      </c>
      <c r="J39" s="5" t="s">
        <v>167</v>
      </c>
      <c r="K39" s="5" t="s">
        <v>168</v>
      </c>
      <c r="L39" s="5" t="s">
        <v>169</v>
      </c>
      <c r="M39" s="5" t="s">
        <v>170</v>
      </c>
      <c r="N39" s="5"/>
      <c r="O39" s="5"/>
      <c r="P39" s="5"/>
    </row>
    <row r="40" spans="1:16" ht="12.95" customHeight="1" x14ac:dyDescent="0.2">
      <c r="A40" s="8" t="s">
        <v>173</v>
      </c>
      <c r="B40" s="8"/>
      <c r="C40" s="8"/>
      <c r="D40" s="8"/>
      <c r="E40" s="5">
        <v>124.25</v>
      </c>
      <c r="F40" s="5">
        <v>7</v>
      </c>
      <c r="G40" s="5">
        <v>117.25</v>
      </c>
      <c r="H40" s="5">
        <v>118.8</v>
      </c>
      <c r="I40" s="36">
        <v>1.55</v>
      </c>
      <c r="J40" s="5">
        <v>114.51</v>
      </c>
      <c r="K40" s="5">
        <v>2.73</v>
      </c>
      <c r="L40" s="5">
        <v>9.0299999999999994</v>
      </c>
      <c r="M40" s="5">
        <v>17.2</v>
      </c>
      <c r="N40" s="5"/>
      <c r="O40" s="5"/>
      <c r="P40" s="5"/>
    </row>
    <row r="41" spans="1:16" x14ac:dyDescent="0.2">
      <c r="I41" s="37"/>
    </row>
    <row r="42" spans="1:16" ht="12.95" customHeight="1" x14ac:dyDescent="0.2">
      <c r="A42" s="9" t="s">
        <v>174</v>
      </c>
      <c r="B42" s="9"/>
      <c r="C42" s="9"/>
      <c r="E42" s="9" t="s">
        <v>180</v>
      </c>
      <c r="F42" s="9"/>
      <c r="G42" s="9"/>
      <c r="I42" s="9" t="s">
        <v>181</v>
      </c>
      <c r="J42" s="9"/>
      <c r="K42" s="9"/>
    </row>
    <row r="43" spans="1:16" ht="12.95" customHeight="1" x14ac:dyDescent="0.2">
      <c r="A43" s="10" t="s">
        <v>175</v>
      </c>
      <c r="B43" s="10"/>
      <c r="C43" s="6">
        <v>14</v>
      </c>
      <c r="E43" s="10" t="s">
        <v>14</v>
      </c>
      <c r="F43" s="10"/>
      <c r="G43" s="6">
        <v>114.51</v>
      </c>
      <c r="I43" s="10" t="s">
        <v>27</v>
      </c>
      <c r="J43" s="10"/>
      <c r="K43" s="26">
        <v>3</v>
      </c>
    </row>
    <row r="44" spans="1:16" ht="12.95" customHeight="1" x14ac:dyDescent="0.2">
      <c r="A44" s="10" t="s">
        <v>1531</v>
      </c>
      <c r="B44" s="10"/>
      <c r="C44" s="6">
        <v>22</v>
      </c>
      <c r="E44" s="10" t="s">
        <v>15</v>
      </c>
      <c r="F44" s="10"/>
      <c r="G44" s="6">
        <v>2.73</v>
      </c>
      <c r="I44" s="10" t="s">
        <v>22</v>
      </c>
      <c r="J44" s="10"/>
      <c r="K44" s="26">
        <v>3</v>
      </c>
    </row>
    <row r="45" spans="1:16" ht="12.95" customHeight="1" x14ac:dyDescent="0.2">
      <c r="A45" s="10" t="s">
        <v>176</v>
      </c>
      <c r="B45" s="10"/>
      <c r="C45" s="6">
        <v>124.25</v>
      </c>
      <c r="I45" s="10" t="s">
        <v>36</v>
      </c>
      <c r="J45" s="10"/>
      <c r="K45" s="26">
        <v>2</v>
      </c>
    </row>
    <row r="46" spans="1:16" ht="12.95" customHeight="1" x14ac:dyDescent="0.2">
      <c r="A46" s="10" t="s">
        <v>177</v>
      </c>
      <c r="B46" s="10"/>
      <c r="C46" s="6">
        <v>118.8</v>
      </c>
      <c r="I46" s="39" t="s">
        <v>1591</v>
      </c>
      <c r="J46" s="19"/>
      <c r="K46" s="20">
        <v>1.5</v>
      </c>
    </row>
    <row r="47" spans="1:16" ht="12.95" customHeight="1" x14ac:dyDescent="0.2">
      <c r="A47" s="10" t="s">
        <v>11</v>
      </c>
      <c r="B47" s="10"/>
      <c r="C47" s="6">
        <v>117.25</v>
      </c>
      <c r="I47" s="39" t="s">
        <v>1592</v>
      </c>
      <c r="J47" s="19"/>
      <c r="K47" s="38">
        <v>2</v>
      </c>
    </row>
    <row r="48" spans="1:16" ht="12.95" customHeight="1" x14ac:dyDescent="0.25">
      <c r="A48" s="10" t="s">
        <v>178</v>
      </c>
      <c r="B48" s="10"/>
      <c r="C48" s="30">
        <v>10.58</v>
      </c>
      <c r="I48" s="41" t="s">
        <v>1593</v>
      </c>
      <c r="J48" s="40"/>
      <c r="K48" s="42">
        <f>K46+K47</f>
        <v>3.5</v>
      </c>
    </row>
    <row r="49" spans="1:16" ht="12.95" customHeight="1" x14ac:dyDescent="0.2">
      <c r="A49" s="28" t="s">
        <v>1571</v>
      </c>
      <c r="B49" s="27"/>
      <c r="C49" s="31">
        <v>-0.8</v>
      </c>
    </row>
    <row r="50" spans="1:16" ht="12.95" customHeight="1" x14ac:dyDescent="0.2">
      <c r="A50" s="29" t="s">
        <v>1572</v>
      </c>
      <c r="B50" s="29"/>
      <c r="C50" s="32">
        <f>C48+C49</f>
        <v>9.7799999999999994</v>
      </c>
    </row>
    <row r="51" spans="1:16" x14ac:dyDescent="0.2">
      <c r="A51" s="10" t="s">
        <v>10</v>
      </c>
      <c r="B51" s="10"/>
      <c r="C51" s="6">
        <v>7</v>
      </c>
    </row>
    <row r="52" spans="1:16" x14ac:dyDescent="0.2">
      <c r="A52" t="s">
        <v>1615</v>
      </c>
      <c r="C52" cm="1">
        <f t="array" ref="C52">IFERROR(SUMPRODUCT((ISNUMBER(SEARCH("מילואים",N4:N41))+ISNUMBER(SEARCH("מילואים",O4:O41))&gt;0)*(C4:C41&lt;&gt;"")*(J4:J41+0))*24,0)</f>
        <v>0</v>
      </c>
    </row>
    <row r="53" spans="1:16" ht="12.95" customHeight="1" x14ac:dyDescent="0.2">
      <c r="A53" s="7" t="s">
        <v>182</v>
      </c>
      <c r="B53" s="7"/>
      <c r="C53" s="7"/>
      <c r="D53" s="7" t="s">
        <v>1</v>
      </c>
      <c r="E53" s="7"/>
      <c r="F53" s="7"/>
      <c r="G53" s="7"/>
      <c r="H53" s="7" t="s">
        <v>2</v>
      </c>
      <c r="I53" s="7"/>
      <c r="J53" s="7"/>
      <c r="K53" s="7"/>
      <c r="L53" s="7"/>
      <c r="M53" s="7"/>
      <c r="N53" s="7"/>
      <c r="O53" s="7"/>
      <c r="P53" s="7"/>
    </row>
    <row r="54" spans="1:16" ht="12.95" customHeight="1" x14ac:dyDescent="0.2">
      <c r="A54" s="7" t="s">
        <v>3</v>
      </c>
      <c r="B54" s="7"/>
      <c r="C54" s="7"/>
      <c r="D54" s="7"/>
      <c r="E54" s="7"/>
      <c r="F54" s="7">
        <v>118</v>
      </c>
      <c r="G54" s="7"/>
      <c r="H54" s="7" t="s">
        <v>183</v>
      </c>
      <c r="I54" s="7"/>
      <c r="J54" s="7"/>
      <c r="K54" s="7"/>
      <c r="L54" s="7"/>
      <c r="M54" s="7"/>
      <c r="N54" s="7"/>
      <c r="O54" s="7"/>
      <c r="P54" s="7"/>
    </row>
    <row r="55" spans="1:16" ht="22.5" customHeight="1" x14ac:dyDescent="0.2">
      <c r="A55" s="1" t="s">
        <v>5</v>
      </c>
      <c r="B55" s="1" t="s">
        <v>6</v>
      </c>
      <c r="C55" s="1" t="s">
        <v>7</v>
      </c>
      <c r="D55" s="1" t="s">
        <v>8</v>
      </c>
      <c r="E55" s="1" t="s">
        <v>9</v>
      </c>
      <c r="F55" s="1" t="s">
        <v>10</v>
      </c>
      <c r="G55" s="1" t="s">
        <v>11</v>
      </c>
      <c r="H55" s="1" t="s">
        <v>12</v>
      </c>
      <c r="I55" s="1" t="s">
        <v>13</v>
      </c>
      <c r="J55" s="1" t="s">
        <v>14</v>
      </c>
      <c r="K55" s="1" t="s">
        <v>15</v>
      </c>
      <c r="L55" s="1" t="s">
        <v>16</v>
      </c>
      <c r="M55" s="1" t="s">
        <v>17</v>
      </c>
      <c r="N55" s="1" t="s">
        <v>18</v>
      </c>
      <c r="O55" s="108"/>
      <c r="P55" s="1" t="s">
        <v>20</v>
      </c>
    </row>
    <row r="56" spans="1:16" ht="12.95" customHeight="1" x14ac:dyDescent="0.2">
      <c r="A56" s="2" t="s">
        <v>21</v>
      </c>
      <c r="B56" s="2" t="s">
        <v>22</v>
      </c>
      <c r="C56" s="2"/>
      <c r="D56" s="2"/>
      <c r="E56" s="3"/>
      <c r="F56" s="2"/>
      <c r="G56" s="2"/>
      <c r="H56" s="2" t="s">
        <v>46</v>
      </c>
      <c r="I56" s="12" t="s">
        <v>46</v>
      </c>
      <c r="J56" s="2"/>
      <c r="K56" s="2"/>
      <c r="L56" s="2"/>
      <c r="M56" s="2"/>
      <c r="N56" s="2" t="s">
        <v>24</v>
      </c>
      <c r="O56" s="2" t="s">
        <v>25</v>
      </c>
      <c r="P56" s="2"/>
    </row>
    <row r="57" spans="1:16" ht="12.95" customHeight="1" x14ac:dyDescent="0.2">
      <c r="A57" s="2" t="s">
        <v>26</v>
      </c>
      <c r="B57" s="2" t="s">
        <v>27</v>
      </c>
      <c r="C57" s="2"/>
      <c r="D57" s="2"/>
      <c r="E57" s="3"/>
      <c r="F57" s="2"/>
      <c r="G57" s="2"/>
      <c r="H57" s="2"/>
      <c r="I57" s="13"/>
      <c r="J57" s="2"/>
      <c r="K57" s="2"/>
      <c r="L57" s="2"/>
      <c r="M57" s="2"/>
      <c r="N57" s="2" t="s">
        <v>28</v>
      </c>
      <c r="O57" s="2" t="s">
        <v>29</v>
      </c>
      <c r="P57" s="2"/>
    </row>
    <row r="58" spans="1:16" ht="12.95" customHeight="1" x14ac:dyDescent="0.2">
      <c r="A58" s="4" t="s">
        <v>30</v>
      </c>
      <c r="B58" s="4" t="s">
        <v>31</v>
      </c>
      <c r="C58" s="4"/>
      <c r="D58" s="4"/>
      <c r="E58" s="3"/>
      <c r="F58" s="4"/>
      <c r="G58" s="4"/>
      <c r="H58" s="4"/>
      <c r="I58" s="35"/>
      <c r="J58" s="4"/>
      <c r="K58" s="4"/>
      <c r="L58" s="4"/>
      <c r="M58" s="4"/>
      <c r="N58" s="4"/>
      <c r="O58" s="4"/>
      <c r="P58" s="4"/>
    </row>
    <row r="59" spans="1:16" ht="12.95" customHeight="1" x14ac:dyDescent="0.2">
      <c r="A59" s="4" t="s">
        <v>32</v>
      </c>
      <c r="B59" s="4" t="s">
        <v>31</v>
      </c>
      <c r="C59" s="4"/>
      <c r="D59" s="4"/>
      <c r="E59" s="3"/>
      <c r="F59" s="4"/>
      <c r="G59" s="4"/>
      <c r="H59" s="4"/>
      <c r="I59" s="35"/>
      <c r="J59" s="4"/>
      <c r="K59" s="4"/>
      <c r="L59" s="4"/>
      <c r="M59" s="4"/>
      <c r="N59" s="4"/>
      <c r="O59" s="4"/>
      <c r="P59" s="4"/>
    </row>
    <row r="60" spans="1:16" x14ac:dyDescent="0.2">
      <c r="A60" s="4" t="s">
        <v>33</v>
      </c>
      <c r="B60" s="4" t="s">
        <v>34</v>
      </c>
      <c r="C60" s="4" t="s">
        <v>34</v>
      </c>
      <c r="D60" s="4" t="s">
        <v>34</v>
      </c>
      <c r="E60" s="4"/>
      <c r="F60" s="4"/>
      <c r="G60" s="4"/>
      <c r="H60" s="4" t="s">
        <v>46</v>
      </c>
      <c r="I60" s="35" t="s">
        <v>46</v>
      </c>
      <c r="J60" s="4"/>
      <c r="K60" s="4"/>
      <c r="L60" s="4"/>
      <c r="M60" s="4"/>
      <c r="N60" s="4"/>
      <c r="O60" s="4"/>
      <c r="P60" s="4"/>
    </row>
    <row r="61" spans="1:16" ht="12.95" customHeight="1" x14ac:dyDescent="0.2">
      <c r="A61" s="2" t="s">
        <v>35</v>
      </c>
      <c r="B61" s="2" t="s">
        <v>36</v>
      </c>
      <c r="C61" s="2" t="s">
        <v>184</v>
      </c>
      <c r="D61" s="2" t="s">
        <v>144</v>
      </c>
      <c r="E61" s="3" t="s">
        <v>185</v>
      </c>
      <c r="F61" s="2"/>
      <c r="G61" s="2" t="s">
        <v>185</v>
      </c>
      <c r="H61" s="2"/>
      <c r="I61" s="13"/>
      <c r="J61" s="2" t="s">
        <v>185</v>
      </c>
      <c r="K61" s="2"/>
      <c r="L61" s="2"/>
      <c r="M61" s="2"/>
      <c r="N61" s="2"/>
      <c r="O61" s="2"/>
      <c r="P61" s="2"/>
    </row>
    <row r="62" spans="1:16" ht="12.95" customHeight="1" x14ac:dyDescent="0.2">
      <c r="A62" s="2" t="s">
        <v>38</v>
      </c>
      <c r="B62" s="2" t="s">
        <v>36</v>
      </c>
      <c r="C62" s="2" t="s">
        <v>186</v>
      </c>
      <c r="D62" s="2" t="s">
        <v>187</v>
      </c>
      <c r="E62" s="3" t="s">
        <v>188</v>
      </c>
      <c r="F62" s="2"/>
      <c r="G62" s="2" t="s">
        <v>188</v>
      </c>
      <c r="H62" s="2"/>
      <c r="I62" s="13"/>
      <c r="J62" s="2" t="s">
        <v>188</v>
      </c>
      <c r="K62" s="2"/>
      <c r="L62" s="2"/>
      <c r="M62" s="2"/>
      <c r="N62" s="2"/>
      <c r="O62" s="2"/>
      <c r="P62" s="2"/>
    </row>
    <row r="63" spans="1:16" ht="12.95" customHeight="1" x14ac:dyDescent="0.2">
      <c r="A63" s="2" t="s">
        <v>39</v>
      </c>
      <c r="B63" s="2" t="s">
        <v>22</v>
      </c>
      <c r="C63" s="2" t="s">
        <v>189</v>
      </c>
      <c r="D63" s="2" t="s">
        <v>190</v>
      </c>
      <c r="E63" s="3" t="s">
        <v>191</v>
      </c>
      <c r="F63" s="2" t="s">
        <v>46</v>
      </c>
      <c r="G63" s="2" t="s">
        <v>192</v>
      </c>
      <c r="H63" s="2" t="s">
        <v>46</v>
      </c>
      <c r="I63" s="13"/>
      <c r="J63" s="2" t="s">
        <v>192</v>
      </c>
      <c r="K63" s="2"/>
      <c r="L63" s="2" t="s">
        <v>193</v>
      </c>
      <c r="M63" s="2"/>
      <c r="N63" s="2" t="s">
        <v>24</v>
      </c>
      <c r="O63" s="2" t="s">
        <v>25</v>
      </c>
      <c r="P63" s="2"/>
    </row>
    <row r="64" spans="1:16" ht="12.95" customHeight="1" x14ac:dyDescent="0.2">
      <c r="A64" s="2" t="s">
        <v>40</v>
      </c>
      <c r="B64" s="2" t="s">
        <v>27</v>
      </c>
      <c r="C64" s="2"/>
      <c r="D64" s="2"/>
      <c r="E64" s="3"/>
      <c r="F64" s="2"/>
      <c r="G64" s="2"/>
      <c r="H64" s="2"/>
      <c r="I64" s="13"/>
      <c r="J64" s="2"/>
      <c r="K64" s="2"/>
      <c r="L64" s="2"/>
      <c r="M64" s="2"/>
      <c r="N64" s="2" t="s">
        <v>28</v>
      </c>
      <c r="O64" s="2" t="s">
        <v>25</v>
      </c>
      <c r="P64" s="2"/>
    </row>
    <row r="65" spans="1:16" ht="12.95" customHeight="1" x14ac:dyDescent="0.2">
      <c r="A65" s="2" t="s">
        <v>41</v>
      </c>
      <c r="B65" s="2" t="s">
        <v>42</v>
      </c>
      <c r="C65" s="2"/>
      <c r="D65" s="2"/>
      <c r="E65" s="3"/>
      <c r="F65" s="2"/>
      <c r="G65" s="2"/>
      <c r="H65" s="2"/>
      <c r="I65" s="13"/>
      <c r="J65" s="2"/>
      <c r="K65" s="2"/>
      <c r="L65" s="2"/>
      <c r="M65" s="2"/>
      <c r="N65" s="2" t="s">
        <v>194</v>
      </c>
      <c r="O65" s="2"/>
      <c r="P65" s="2"/>
    </row>
    <row r="66" spans="1:16" ht="12.95" customHeight="1" x14ac:dyDescent="0.2">
      <c r="A66" s="4" t="s">
        <v>51</v>
      </c>
      <c r="B66" s="4" t="s">
        <v>31</v>
      </c>
      <c r="C66" s="4"/>
      <c r="D66" s="4"/>
      <c r="E66" s="3"/>
      <c r="F66" s="4"/>
      <c r="G66" s="4"/>
      <c r="H66" s="4"/>
      <c r="I66" s="35"/>
      <c r="J66" s="4"/>
      <c r="K66" s="4"/>
      <c r="L66" s="4"/>
      <c r="M66" s="4"/>
      <c r="N66" s="4"/>
      <c r="O66" s="4"/>
      <c r="P66" s="4"/>
    </row>
    <row r="67" spans="1:16" ht="12.95" customHeight="1" x14ac:dyDescent="0.2">
      <c r="A67" s="4" t="s">
        <v>52</v>
      </c>
      <c r="B67" s="4" t="s">
        <v>31</v>
      </c>
      <c r="C67" s="4"/>
      <c r="D67" s="4"/>
      <c r="E67" s="3"/>
      <c r="F67" s="4"/>
      <c r="G67" s="4"/>
      <c r="H67" s="4"/>
      <c r="I67" s="35"/>
      <c r="J67" s="4"/>
      <c r="K67" s="4"/>
      <c r="L67" s="4"/>
      <c r="M67" s="4"/>
      <c r="N67" s="4"/>
      <c r="O67" s="4"/>
      <c r="P67" s="4"/>
    </row>
    <row r="68" spans="1:16" x14ac:dyDescent="0.2">
      <c r="A68" s="4" t="s">
        <v>33</v>
      </c>
      <c r="B68" s="4" t="s">
        <v>34</v>
      </c>
      <c r="C68" s="4" t="s">
        <v>34</v>
      </c>
      <c r="D68" s="4" t="s">
        <v>34</v>
      </c>
      <c r="E68" s="4" t="s">
        <v>195</v>
      </c>
      <c r="F68" s="4" t="s">
        <v>46</v>
      </c>
      <c r="G68" s="4" t="s">
        <v>196</v>
      </c>
      <c r="H68" s="4" t="s">
        <v>46</v>
      </c>
      <c r="I68" s="35"/>
      <c r="J68" s="4" t="s">
        <v>196</v>
      </c>
      <c r="K68" s="4"/>
      <c r="L68" s="4" t="s">
        <v>193</v>
      </c>
      <c r="M68" s="4"/>
      <c r="N68" s="4"/>
      <c r="O68" s="4"/>
      <c r="P68" s="4"/>
    </row>
    <row r="69" spans="1:16" ht="12.95" customHeight="1" x14ac:dyDescent="0.2">
      <c r="A69" s="2" t="s">
        <v>54</v>
      </c>
      <c r="B69" s="2" t="s">
        <v>42</v>
      </c>
      <c r="C69" s="2" t="s">
        <v>197</v>
      </c>
      <c r="D69" s="2" t="s">
        <v>198</v>
      </c>
      <c r="E69" s="3" t="s">
        <v>199</v>
      </c>
      <c r="F69" s="2" t="s">
        <v>46</v>
      </c>
      <c r="G69" s="2" t="s">
        <v>200</v>
      </c>
      <c r="H69" s="2" t="s">
        <v>201</v>
      </c>
      <c r="I69" s="13" t="s">
        <v>202</v>
      </c>
      <c r="J69" s="2" t="s">
        <v>200</v>
      </c>
      <c r="K69" s="2"/>
      <c r="L69" s="2"/>
      <c r="M69" s="2" t="s">
        <v>203</v>
      </c>
      <c r="N69" s="2"/>
      <c r="O69" s="2"/>
      <c r="P69" s="2"/>
    </row>
    <row r="70" spans="1:16" ht="12.95" customHeight="1" x14ac:dyDescent="0.2">
      <c r="A70" s="2" t="s">
        <v>61</v>
      </c>
      <c r="B70" s="2" t="s">
        <v>42</v>
      </c>
      <c r="C70" s="2" t="s">
        <v>53</v>
      </c>
      <c r="D70" s="2" t="s">
        <v>204</v>
      </c>
      <c r="E70" s="3" t="s">
        <v>205</v>
      </c>
      <c r="F70" s="2" t="s">
        <v>46</v>
      </c>
      <c r="G70" s="2" t="s">
        <v>206</v>
      </c>
      <c r="H70" s="2" t="s">
        <v>201</v>
      </c>
      <c r="I70" s="13" t="s">
        <v>86</v>
      </c>
      <c r="J70" s="2" t="s">
        <v>206</v>
      </c>
      <c r="K70" s="2"/>
      <c r="L70" s="2"/>
      <c r="M70" s="2" t="s">
        <v>207</v>
      </c>
      <c r="N70" s="2"/>
      <c r="O70" s="2"/>
      <c r="P70" s="2"/>
    </row>
    <row r="71" spans="1:16" ht="12.95" customHeight="1" x14ac:dyDescent="0.2">
      <c r="A71" s="2" t="s">
        <v>68</v>
      </c>
      <c r="B71" s="2" t="s">
        <v>42</v>
      </c>
      <c r="C71" s="2" t="s">
        <v>208</v>
      </c>
      <c r="D71" s="2" t="s">
        <v>209</v>
      </c>
      <c r="E71" s="3" t="s">
        <v>210</v>
      </c>
      <c r="F71" s="2" t="s">
        <v>46</v>
      </c>
      <c r="G71" s="2" t="s">
        <v>211</v>
      </c>
      <c r="H71" s="2" t="s">
        <v>201</v>
      </c>
      <c r="I71" s="13" t="s">
        <v>212</v>
      </c>
      <c r="J71" s="2" t="s">
        <v>211</v>
      </c>
      <c r="K71" s="2"/>
      <c r="L71" s="2"/>
      <c r="M71" s="2" t="s">
        <v>213</v>
      </c>
      <c r="N71" s="2"/>
      <c r="O71" s="2"/>
      <c r="P71" s="2"/>
    </row>
    <row r="72" spans="1:16" ht="12.95" customHeight="1" x14ac:dyDescent="0.2">
      <c r="A72" s="2" t="s">
        <v>75</v>
      </c>
      <c r="B72" s="2" t="s">
        <v>42</v>
      </c>
      <c r="C72" s="2"/>
      <c r="D72" s="2"/>
      <c r="E72" s="3"/>
      <c r="F72" s="2"/>
      <c r="G72" s="2"/>
      <c r="H72" s="2"/>
      <c r="I72" s="13"/>
      <c r="J72" s="2"/>
      <c r="K72" s="2"/>
      <c r="L72" s="2"/>
      <c r="M72" s="2"/>
      <c r="N72" s="2" t="s">
        <v>214</v>
      </c>
      <c r="O72" s="2"/>
      <c r="P72" s="2"/>
    </row>
    <row r="73" spans="1:16" ht="12.95" customHeight="1" x14ac:dyDescent="0.2">
      <c r="A73" s="2" t="s">
        <v>81</v>
      </c>
      <c r="B73" s="2" t="s">
        <v>42</v>
      </c>
      <c r="C73" s="2"/>
      <c r="D73" s="2"/>
      <c r="E73" s="3"/>
      <c r="F73" s="2"/>
      <c r="G73" s="2"/>
      <c r="H73" s="2" t="s">
        <v>201</v>
      </c>
      <c r="I73" s="12" t="s">
        <v>201</v>
      </c>
      <c r="J73" s="2"/>
      <c r="K73" s="2"/>
      <c r="L73" s="2"/>
      <c r="M73" s="2"/>
      <c r="N73" s="2"/>
      <c r="O73" s="2"/>
      <c r="P73" s="2"/>
    </row>
    <row r="74" spans="1:16" ht="12.95" customHeight="1" x14ac:dyDescent="0.2">
      <c r="A74" s="4" t="s">
        <v>87</v>
      </c>
      <c r="B74" s="4" t="s">
        <v>31</v>
      </c>
      <c r="C74" s="4"/>
      <c r="D74" s="4"/>
      <c r="E74" s="3"/>
      <c r="F74" s="4"/>
      <c r="G74" s="4"/>
      <c r="H74" s="4"/>
      <c r="I74" s="35"/>
      <c r="J74" s="4"/>
      <c r="K74" s="4"/>
      <c r="L74" s="4"/>
      <c r="M74" s="4"/>
      <c r="N74" s="4"/>
      <c r="O74" s="4"/>
      <c r="P74" s="4"/>
    </row>
    <row r="75" spans="1:16" ht="12.95" customHeight="1" x14ac:dyDescent="0.2">
      <c r="A75" s="4" t="s">
        <v>88</v>
      </c>
      <c r="B75" s="4" t="s">
        <v>31</v>
      </c>
      <c r="C75" s="4"/>
      <c r="D75" s="4"/>
      <c r="E75" s="3"/>
      <c r="F75" s="4"/>
      <c r="G75" s="4"/>
      <c r="H75" s="4"/>
      <c r="I75" s="35"/>
      <c r="J75" s="4"/>
      <c r="K75" s="4"/>
      <c r="L75" s="4"/>
      <c r="M75" s="4"/>
      <c r="N75" s="4"/>
      <c r="O75" s="4"/>
      <c r="P75" s="4"/>
    </row>
    <row r="76" spans="1:16" x14ac:dyDescent="0.2">
      <c r="A76" s="4" t="s">
        <v>33</v>
      </c>
      <c r="B76" s="4" t="s">
        <v>34</v>
      </c>
      <c r="C76" s="4" t="s">
        <v>34</v>
      </c>
      <c r="D76" s="4" t="s">
        <v>34</v>
      </c>
      <c r="E76" s="4" t="s">
        <v>215</v>
      </c>
      <c r="F76" s="4" t="s">
        <v>125</v>
      </c>
      <c r="G76" s="4" t="s">
        <v>216</v>
      </c>
      <c r="H76" s="4" t="s">
        <v>217</v>
      </c>
      <c r="I76" s="35" t="s">
        <v>218</v>
      </c>
      <c r="J76" s="4" t="s">
        <v>216</v>
      </c>
      <c r="K76" s="4"/>
      <c r="L76" s="4"/>
      <c r="M76" s="4" t="s">
        <v>219</v>
      </c>
      <c r="N76" s="4"/>
      <c r="O76" s="4"/>
      <c r="P76" s="4"/>
    </row>
    <row r="77" spans="1:16" ht="12.95" customHeight="1" x14ac:dyDescent="0.2">
      <c r="A77" s="2" t="s">
        <v>97</v>
      </c>
      <c r="B77" s="2" t="s">
        <v>42</v>
      </c>
      <c r="C77" s="2" t="s">
        <v>220</v>
      </c>
      <c r="D77" s="2" t="s">
        <v>221</v>
      </c>
      <c r="E77" s="3" t="s">
        <v>145</v>
      </c>
      <c r="F77" s="2" t="s">
        <v>46</v>
      </c>
      <c r="G77" s="2" t="s">
        <v>134</v>
      </c>
      <c r="H77" s="2" t="s">
        <v>201</v>
      </c>
      <c r="I77" s="13"/>
      <c r="J77" s="2" t="s">
        <v>48</v>
      </c>
      <c r="K77" s="2" t="s">
        <v>146</v>
      </c>
      <c r="L77" s="2" t="s">
        <v>222</v>
      </c>
      <c r="M77" s="2" t="s">
        <v>223</v>
      </c>
      <c r="N77" s="2"/>
      <c r="O77" s="2"/>
      <c r="P77" s="2"/>
    </row>
    <row r="78" spans="1:16" ht="12.95" customHeight="1" x14ac:dyDescent="0.2">
      <c r="A78" s="2" t="s">
        <v>104</v>
      </c>
      <c r="B78" s="2" t="s">
        <v>42</v>
      </c>
      <c r="C78" s="2" t="s">
        <v>224</v>
      </c>
      <c r="D78" s="2" t="s">
        <v>225</v>
      </c>
      <c r="E78" s="3" t="s">
        <v>71</v>
      </c>
      <c r="F78" s="2" t="s">
        <v>46</v>
      </c>
      <c r="G78" s="2" t="s">
        <v>72</v>
      </c>
      <c r="H78" s="2" t="s">
        <v>125</v>
      </c>
      <c r="I78" s="13"/>
      <c r="J78" s="2" t="s">
        <v>48</v>
      </c>
      <c r="K78" s="2" t="s">
        <v>73</v>
      </c>
      <c r="L78" s="2" t="s">
        <v>226</v>
      </c>
      <c r="M78" s="2"/>
      <c r="N78" s="2"/>
      <c r="O78" s="2"/>
      <c r="P78" s="2"/>
    </row>
    <row r="79" spans="1:16" ht="12.95" customHeight="1" x14ac:dyDescent="0.2">
      <c r="A79" s="2" t="s">
        <v>112</v>
      </c>
      <c r="B79" s="2" t="s">
        <v>22</v>
      </c>
      <c r="C79" s="2"/>
      <c r="D79" s="2"/>
      <c r="E79" s="3"/>
      <c r="F79" s="2"/>
      <c r="G79" s="2"/>
      <c r="H79" s="2" t="s">
        <v>227</v>
      </c>
      <c r="I79" s="13" t="s">
        <v>227</v>
      </c>
      <c r="J79" s="2"/>
      <c r="K79" s="2"/>
      <c r="L79" s="2"/>
      <c r="M79" s="2"/>
      <c r="N79" s="2" t="s">
        <v>24</v>
      </c>
      <c r="O79" s="2" t="s">
        <v>111</v>
      </c>
      <c r="P79" s="2"/>
    </row>
    <row r="80" spans="1:16" ht="12.95" customHeight="1" x14ac:dyDescent="0.2">
      <c r="A80" s="2" t="s">
        <v>114</v>
      </c>
      <c r="B80" s="2" t="s">
        <v>27</v>
      </c>
      <c r="C80" s="2"/>
      <c r="D80" s="2"/>
      <c r="E80" s="3"/>
      <c r="F80" s="2"/>
      <c r="G80" s="2"/>
      <c r="H80" s="2"/>
      <c r="I80" s="13"/>
      <c r="J80" s="2"/>
      <c r="K80" s="2"/>
      <c r="L80" s="2"/>
      <c r="M80" s="2"/>
      <c r="N80" s="2" t="s">
        <v>28</v>
      </c>
      <c r="O80" s="2" t="s">
        <v>111</v>
      </c>
      <c r="P80" s="2"/>
    </row>
    <row r="81" spans="1:16" ht="12.95" customHeight="1" x14ac:dyDescent="0.2">
      <c r="A81" s="2" t="s">
        <v>115</v>
      </c>
      <c r="B81" s="2" t="s">
        <v>42</v>
      </c>
      <c r="C81" s="2"/>
      <c r="D81" s="2"/>
      <c r="E81" s="3"/>
      <c r="F81" s="2"/>
      <c r="G81" s="2"/>
      <c r="H81" s="2" t="s">
        <v>201</v>
      </c>
      <c r="I81" s="12" t="s">
        <v>201</v>
      </c>
      <c r="J81" s="2"/>
      <c r="K81" s="2"/>
      <c r="L81" s="2"/>
      <c r="M81" s="2"/>
      <c r="N81" s="2"/>
      <c r="O81" s="2"/>
      <c r="P81" s="2"/>
    </row>
    <row r="82" spans="1:16" ht="12.95" customHeight="1" x14ac:dyDescent="0.2">
      <c r="A82" s="4" t="s">
        <v>122</v>
      </c>
      <c r="B82" s="4" t="s">
        <v>31</v>
      </c>
      <c r="C82" s="4"/>
      <c r="D82" s="4"/>
      <c r="E82" s="3"/>
      <c r="F82" s="4"/>
      <c r="G82" s="4"/>
      <c r="H82" s="4"/>
      <c r="I82" s="35"/>
      <c r="J82" s="4"/>
      <c r="K82" s="4"/>
      <c r="L82" s="4"/>
      <c r="M82" s="4"/>
      <c r="N82" s="4"/>
      <c r="O82" s="4"/>
      <c r="P82" s="4"/>
    </row>
    <row r="83" spans="1:16" ht="12.95" customHeight="1" x14ac:dyDescent="0.2">
      <c r="A83" s="4" t="s">
        <v>123</v>
      </c>
      <c r="B83" s="4" t="s">
        <v>31</v>
      </c>
      <c r="C83" s="4"/>
      <c r="D83" s="4"/>
      <c r="E83" s="3"/>
      <c r="F83" s="4"/>
      <c r="G83" s="4"/>
      <c r="H83" s="4"/>
      <c r="I83" s="35"/>
      <c r="J83" s="4"/>
      <c r="K83" s="4"/>
      <c r="L83" s="4"/>
      <c r="M83" s="4"/>
      <c r="N83" s="4"/>
      <c r="O83" s="4"/>
      <c r="P83" s="4"/>
    </row>
    <row r="84" spans="1:16" x14ac:dyDescent="0.2">
      <c r="A84" s="4" t="s">
        <v>33</v>
      </c>
      <c r="B84" s="4" t="s">
        <v>34</v>
      </c>
      <c r="C84" s="4" t="s">
        <v>34</v>
      </c>
      <c r="D84" s="4" t="s">
        <v>34</v>
      </c>
      <c r="E84" s="4" t="s">
        <v>228</v>
      </c>
      <c r="F84" s="4" t="s">
        <v>95</v>
      </c>
      <c r="G84" s="4" t="s">
        <v>229</v>
      </c>
      <c r="H84" s="4" t="s">
        <v>230</v>
      </c>
      <c r="I84" s="35" t="s">
        <v>231</v>
      </c>
      <c r="J84" s="4" t="s">
        <v>63</v>
      </c>
      <c r="K84" s="4" t="s">
        <v>232</v>
      </c>
      <c r="L84" s="4" t="s">
        <v>227</v>
      </c>
      <c r="M84" s="4" t="s">
        <v>223</v>
      </c>
      <c r="N84" s="4"/>
      <c r="O84" s="4"/>
      <c r="P84" s="4"/>
    </row>
    <row r="85" spans="1:16" ht="12.95" customHeight="1" x14ac:dyDescent="0.2">
      <c r="A85" s="2" t="s">
        <v>131</v>
      </c>
      <c r="B85" s="2" t="s">
        <v>42</v>
      </c>
      <c r="C85" s="2" t="s">
        <v>233</v>
      </c>
      <c r="D85" s="2" t="s">
        <v>234</v>
      </c>
      <c r="E85" s="3" t="s">
        <v>235</v>
      </c>
      <c r="F85" s="2"/>
      <c r="G85" s="2" t="s">
        <v>235</v>
      </c>
      <c r="H85" s="2" t="s">
        <v>201</v>
      </c>
      <c r="I85" s="13" t="s">
        <v>236</v>
      </c>
      <c r="J85" s="2" t="s">
        <v>235</v>
      </c>
      <c r="K85" s="2"/>
      <c r="L85" s="2"/>
      <c r="M85" s="2" t="s">
        <v>237</v>
      </c>
      <c r="N85" s="2"/>
      <c r="O85" s="2"/>
      <c r="P85" s="2"/>
    </row>
    <row r="86" spans="1:16" ht="12.95" customHeight="1" x14ac:dyDescent="0.2">
      <c r="A86" s="2" t="s">
        <v>138</v>
      </c>
      <c r="B86" s="2" t="s">
        <v>42</v>
      </c>
      <c r="C86" s="2" t="s">
        <v>238</v>
      </c>
      <c r="D86" s="2" t="s">
        <v>239</v>
      </c>
      <c r="E86" s="3" t="s">
        <v>57</v>
      </c>
      <c r="F86" s="2" t="s">
        <v>46</v>
      </c>
      <c r="G86" s="2" t="s">
        <v>58</v>
      </c>
      <c r="H86" s="2" t="s">
        <v>201</v>
      </c>
      <c r="I86" s="13"/>
      <c r="J86" s="2" t="s">
        <v>48</v>
      </c>
      <c r="K86" s="2" t="s">
        <v>59</v>
      </c>
      <c r="L86" s="2" t="s">
        <v>240</v>
      </c>
      <c r="M86" s="2" t="s">
        <v>241</v>
      </c>
      <c r="N86" s="2"/>
      <c r="O86" s="2"/>
      <c r="P86" s="2"/>
    </row>
    <row r="87" spans="1:16" ht="12.95" customHeight="1" x14ac:dyDescent="0.2">
      <c r="A87" s="2" t="s">
        <v>143</v>
      </c>
      <c r="B87" s="2" t="s">
        <v>42</v>
      </c>
      <c r="C87" s="2"/>
      <c r="D87" s="2"/>
      <c r="E87" s="3"/>
      <c r="F87" s="2"/>
      <c r="G87" s="2"/>
      <c r="H87" s="2"/>
      <c r="I87" s="13"/>
      <c r="J87" s="2"/>
      <c r="K87" s="2"/>
      <c r="L87" s="2"/>
      <c r="M87" s="2"/>
      <c r="N87" s="2" t="s">
        <v>214</v>
      </c>
      <c r="O87" s="2"/>
      <c r="P87" s="2"/>
    </row>
    <row r="88" spans="1:16" ht="12.95" customHeight="1" x14ac:dyDescent="0.2">
      <c r="A88" s="153" t="s">
        <v>148</v>
      </c>
      <c r="B88" s="153" t="s">
        <v>42</v>
      </c>
      <c r="C88" s="153" t="s">
        <v>242</v>
      </c>
      <c r="D88" s="153" t="s">
        <v>243</v>
      </c>
      <c r="E88" s="152" t="s">
        <v>244</v>
      </c>
      <c r="F88" s="153"/>
      <c r="G88" s="153" t="s">
        <v>244</v>
      </c>
      <c r="H88" s="153"/>
      <c r="I88" s="153"/>
      <c r="J88" s="153" t="s">
        <v>244</v>
      </c>
      <c r="K88" s="153"/>
      <c r="L88" s="153"/>
      <c r="M88" s="153" t="s">
        <v>245</v>
      </c>
      <c r="N88" s="153" t="s">
        <v>214</v>
      </c>
      <c r="O88" s="153"/>
      <c r="P88" s="2"/>
    </row>
    <row r="89" spans="1:16" ht="12.95" customHeight="1" x14ac:dyDescent="0.2">
      <c r="A89" s="2" t="s">
        <v>155</v>
      </c>
      <c r="B89" s="2" t="s">
        <v>42</v>
      </c>
      <c r="C89" s="2" t="s">
        <v>246</v>
      </c>
      <c r="D89" s="2" t="s">
        <v>247</v>
      </c>
      <c r="E89" s="3" t="s">
        <v>248</v>
      </c>
      <c r="F89" s="2"/>
      <c r="G89" s="2" t="s">
        <v>248</v>
      </c>
      <c r="H89" s="2" t="s">
        <v>201</v>
      </c>
      <c r="I89" s="13" t="s">
        <v>249</v>
      </c>
      <c r="J89" s="2" t="s">
        <v>248</v>
      </c>
      <c r="K89" s="2"/>
      <c r="L89" s="2"/>
      <c r="M89" s="2" t="s">
        <v>250</v>
      </c>
      <c r="N89" s="2"/>
      <c r="O89" s="2"/>
      <c r="P89" s="2"/>
    </row>
    <row r="90" spans="1:16" ht="12.95" customHeight="1" x14ac:dyDescent="0.2">
      <c r="A90" s="2" t="s">
        <v>155</v>
      </c>
      <c r="B90" s="2" t="s">
        <v>42</v>
      </c>
      <c r="C90" s="2" t="s">
        <v>251</v>
      </c>
      <c r="D90" s="2" t="s">
        <v>252</v>
      </c>
      <c r="E90" s="3" t="s">
        <v>253</v>
      </c>
      <c r="F90" s="2" t="s">
        <v>46</v>
      </c>
      <c r="G90" s="2" t="s">
        <v>254</v>
      </c>
      <c r="H90" s="2"/>
      <c r="I90" s="13"/>
      <c r="J90" s="2" t="s">
        <v>254</v>
      </c>
      <c r="K90" s="2"/>
      <c r="L90" s="2"/>
      <c r="M90" s="2"/>
      <c r="N90" s="2"/>
      <c r="O90" s="2"/>
      <c r="P90" s="2"/>
    </row>
    <row r="91" spans="1:16" ht="12.95" customHeight="1" x14ac:dyDescent="0.2">
      <c r="A91" s="8" t="s">
        <v>161</v>
      </c>
      <c r="B91" s="8"/>
      <c r="C91" s="8"/>
      <c r="D91" s="8"/>
      <c r="E91" s="5" t="s">
        <v>255</v>
      </c>
      <c r="F91" s="5" t="s">
        <v>256</v>
      </c>
      <c r="G91" s="5" t="s">
        <v>257</v>
      </c>
      <c r="H91" s="5" t="s">
        <v>258</v>
      </c>
      <c r="I91" s="36" t="s">
        <v>259</v>
      </c>
      <c r="J91" s="5" t="s">
        <v>260</v>
      </c>
      <c r="K91" s="5" t="s">
        <v>261</v>
      </c>
      <c r="L91" s="5" t="s">
        <v>262</v>
      </c>
      <c r="M91" s="5" t="s">
        <v>263</v>
      </c>
      <c r="N91" s="5"/>
      <c r="O91" s="5"/>
      <c r="P91" s="5"/>
    </row>
    <row r="92" spans="1:16" ht="12.95" customHeight="1" x14ac:dyDescent="0.2">
      <c r="A92" s="8" t="s">
        <v>171</v>
      </c>
      <c r="B92" s="8"/>
      <c r="C92" s="8"/>
      <c r="D92" s="8"/>
      <c r="E92" s="5" t="s">
        <v>255</v>
      </c>
      <c r="F92" s="5" t="s">
        <v>256</v>
      </c>
      <c r="G92" s="5" t="s">
        <v>257</v>
      </c>
      <c r="H92" s="5" t="s">
        <v>258</v>
      </c>
      <c r="I92" s="36" t="s">
        <v>227</v>
      </c>
      <c r="J92" s="5" t="s">
        <v>260</v>
      </c>
      <c r="K92" s="5" t="s">
        <v>261</v>
      </c>
      <c r="L92" s="5" t="s">
        <v>262</v>
      </c>
      <c r="M92" s="5" t="s">
        <v>263</v>
      </c>
      <c r="N92" s="5"/>
      <c r="O92" s="5"/>
      <c r="P92" s="5"/>
    </row>
    <row r="93" spans="1:16" ht="12.95" customHeight="1" x14ac:dyDescent="0.2">
      <c r="A93" s="8" t="s">
        <v>173</v>
      </c>
      <c r="B93" s="8"/>
      <c r="C93" s="8"/>
      <c r="D93" s="8"/>
      <c r="E93" s="5">
        <v>83</v>
      </c>
      <c r="F93" s="5">
        <v>4</v>
      </c>
      <c r="G93" s="5">
        <v>79</v>
      </c>
      <c r="H93" s="5">
        <v>86.5</v>
      </c>
      <c r="I93" s="36">
        <v>7.5</v>
      </c>
      <c r="J93" s="5">
        <v>77.81</v>
      </c>
      <c r="K93" s="5">
        <v>1.18</v>
      </c>
      <c r="L93" s="5">
        <v>10.51</v>
      </c>
      <c r="M93" s="5">
        <v>21.8</v>
      </c>
      <c r="N93" s="5"/>
      <c r="O93" s="5"/>
      <c r="P93" s="5"/>
    </row>
    <row r="94" spans="1:16" x14ac:dyDescent="0.2">
      <c r="I94" s="37"/>
    </row>
    <row r="95" spans="1:16" ht="12.95" customHeight="1" x14ac:dyDescent="0.2">
      <c r="A95" s="9" t="s">
        <v>174</v>
      </c>
      <c r="B95" s="9"/>
      <c r="C95" s="9"/>
      <c r="E95" s="9" t="s">
        <v>180</v>
      </c>
      <c r="F95" s="9"/>
      <c r="G95" s="9"/>
      <c r="I95" s="9" t="s">
        <v>181</v>
      </c>
      <c r="J95" s="9"/>
      <c r="K95" s="9"/>
    </row>
    <row r="96" spans="1:16" ht="12.95" customHeight="1" x14ac:dyDescent="0.2">
      <c r="A96" s="10" t="s">
        <v>175</v>
      </c>
      <c r="B96" s="10"/>
      <c r="C96" s="6">
        <v>12</v>
      </c>
      <c r="E96" s="10" t="s">
        <v>14</v>
      </c>
      <c r="F96" s="10"/>
      <c r="G96" s="6">
        <v>77.81</v>
      </c>
      <c r="I96" s="10" t="s">
        <v>264</v>
      </c>
      <c r="J96" s="10"/>
      <c r="K96" s="43">
        <v>1</v>
      </c>
    </row>
    <row r="97" spans="1:17" ht="12.95" customHeight="1" x14ac:dyDescent="0.2">
      <c r="A97" s="10" t="s">
        <v>1531</v>
      </c>
      <c r="B97" s="10"/>
      <c r="C97" s="131">
        <v>20</v>
      </c>
      <c r="E97" s="10" t="s">
        <v>15</v>
      </c>
      <c r="F97" s="10"/>
      <c r="G97" s="6">
        <v>1.18</v>
      </c>
      <c r="I97" s="10" t="s">
        <v>265</v>
      </c>
      <c r="J97" s="10"/>
      <c r="K97" s="6">
        <v>3</v>
      </c>
    </row>
    <row r="98" spans="1:17" ht="12.95" customHeight="1" x14ac:dyDescent="0.2">
      <c r="A98" s="10" t="s">
        <v>176</v>
      </c>
      <c r="B98" s="10"/>
      <c r="C98" s="6">
        <v>83</v>
      </c>
      <c r="I98" s="10" t="s">
        <v>27</v>
      </c>
      <c r="J98" s="10"/>
      <c r="K98" s="26">
        <v>3</v>
      </c>
    </row>
    <row r="99" spans="1:17" ht="12.95" customHeight="1" x14ac:dyDescent="0.2">
      <c r="A99" s="10" t="s">
        <v>177</v>
      </c>
      <c r="B99" s="10"/>
      <c r="C99" s="6">
        <v>86.5</v>
      </c>
      <c r="I99" s="10" t="s">
        <v>22</v>
      </c>
      <c r="J99" s="10"/>
      <c r="K99" s="26">
        <v>2</v>
      </c>
    </row>
    <row r="100" spans="1:17" ht="12.95" customHeight="1" x14ac:dyDescent="0.2">
      <c r="A100" s="10" t="s">
        <v>11</v>
      </c>
      <c r="B100" s="10"/>
      <c r="C100" s="6">
        <v>79</v>
      </c>
      <c r="I100" s="10" t="s">
        <v>36</v>
      </c>
      <c r="J100" s="10"/>
      <c r="K100" s="26">
        <v>2</v>
      </c>
    </row>
    <row r="101" spans="1:17" ht="12.95" customHeight="1" x14ac:dyDescent="0.2">
      <c r="A101" s="10" t="s">
        <v>178</v>
      </c>
      <c r="B101" s="10"/>
      <c r="C101" s="30">
        <v>34.979999999999997</v>
      </c>
      <c r="I101" s="39" t="s">
        <v>1591</v>
      </c>
      <c r="J101" s="19"/>
      <c r="K101" s="20">
        <v>1</v>
      </c>
    </row>
    <row r="102" spans="1:17" ht="12.95" customHeight="1" x14ac:dyDescent="0.2">
      <c r="A102" s="28" t="s">
        <v>1571</v>
      </c>
      <c r="B102" s="27"/>
      <c r="C102" s="31">
        <v>-0.5</v>
      </c>
      <c r="I102" s="39" t="s">
        <v>1592</v>
      </c>
      <c r="J102" s="19"/>
      <c r="K102" s="38">
        <v>0</v>
      </c>
      <c r="L102" s="142"/>
      <c r="M102" s="142"/>
      <c r="N102" s="142"/>
      <c r="O102" s="142"/>
      <c r="P102" s="142"/>
      <c r="Q102" s="142"/>
    </row>
    <row r="103" spans="1:17" ht="12.95" customHeight="1" x14ac:dyDescent="0.2">
      <c r="A103" s="29" t="s">
        <v>1572</v>
      </c>
      <c r="B103" s="29"/>
      <c r="C103" s="32">
        <f>C101+C102</f>
        <v>34.479999999999997</v>
      </c>
      <c r="E103" s="143" t="s">
        <v>1758</v>
      </c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</row>
    <row r="104" spans="1:17" x14ac:dyDescent="0.2">
      <c r="A104" s="10" t="s">
        <v>10</v>
      </c>
      <c r="B104" s="10"/>
      <c r="C104" s="6">
        <v>4</v>
      </c>
    </row>
    <row r="105" spans="1:17" ht="15" x14ac:dyDescent="0.25">
      <c r="A105" s="154" t="s">
        <v>1615</v>
      </c>
      <c r="B105" s="154"/>
      <c r="C105" s="154" cm="1">
        <f t="array" ref="C105">IFERROR(SUMPRODUCT((ISNUMBER(SEARCH("מילואים",N56:N94))+ISNUMBER(SEARCH("מילואים",O56:O94))&gt;0)*(C56:C94&lt;&gt;"")*(J56:J94+0))*24,0)</f>
        <v>3.083333333333333</v>
      </c>
    </row>
    <row r="106" spans="1:17" ht="12.95" customHeight="1" x14ac:dyDescent="0.2">
      <c r="A106" s="7" t="s">
        <v>266</v>
      </c>
      <c r="B106" s="7"/>
      <c r="C106" s="7"/>
      <c r="D106" s="7" t="s">
        <v>1</v>
      </c>
      <c r="E106" s="7"/>
      <c r="F106" s="7"/>
      <c r="G106" s="7"/>
      <c r="H106" s="7" t="s">
        <v>2</v>
      </c>
      <c r="I106" s="7"/>
      <c r="J106" s="7"/>
      <c r="K106" s="7"/>
      <c r="L106" s="7"/>
      <c r="M106" s="7"/>
      <c r="N106" s="7"/>
      <c r="O106" s="7"/>
      <c r="P106" s="7"/>
      <c r="Q106" s="7"/>
    </row>
    <row r="107" spans="1:17" ht="12.95" customHeight="1" x14ac:dyDescent="0.2">
      <c r="A107" s="7" t="s">
        <v>3</v>
      </c>
      <c r="B107" s="7"/>
      <c r="C107" s="7"/>
      <c r="D107" s="7"/>
      <c r="E107" s="7"/>
      <c r="F107" s="7">
        <v>121</v>
      </c>
      <c r="G107" s="7"/>
      <c r="H107" s="7" t="s">
        <v>183</v>
      </c>
      <c r="I107" s="7"/>
      <c r="J107" s="7"/>
      <c r="K107" s="7"/>
      <c r="L107" s="7"/>
      <c r="M107" s="7"/>
      <c r="N107" s="7"/>
      <c r="O107" s="7"/>
      <c r="P107" s="7"/>
      <c r="Q107" s="7"/>
    </row>
    <row r="108" spans="1:17" ht="22.5" customHeight="1" x14ac:dyDescent="0.2">
      <c r="A108" s="1" t="s">
        <v>5</v>
      </c>
      <c r="B108" s="1" t="s">
        <v>6</v>
      </c>
      <c r="C108" s="1" t="s">
        <v>7</v>
      </c>
      <c r="D108" s="1" t="s">
        <v>8</v>
      </c>
      <c r="E108" s="1" t="s">
        <v>9</v>
      </c>
      <c r="F108" s="1" t="s">
        <v>10</v>
      </c>
      <c r="G108" s="1" t="s">
        <v>11</v>
      </c>
      <c r="H108" s="1" t="s">
        <v>12</v>
      </c>
      <c r="I108" s="1" t="s">
        <v>13</v>
      </c>
      <c r="J108" s="1" t="s">
        <v>14</v>
      </c>
      <c r="K108" s="1" t="s">
        <v>15</v>
      </c>
      <c r="L108" s="1" t="s">
        <v>267</v>
      </c>
      <c r="M108" s="1" t="s">
        <v>16</v>
      </c>
      <c r="N108" s="1" t="s">
        <v>17</v>
      </c>
      <c r="O108" s="1" t="s">
        <v>18</v>
      </c>
      <c r="P108" s="1" t="s">
        <v>19</v>
      </c>
      <c r="Q108" s="1" t="s">
        <v>20</v>
      </c>
    </row>
    <row r="109" spans="1:17" ht="12.95" customHeight="1" x14ac:dyDescent="0.2">
      <c r="A109" s="2" t="s">
        <v>21</v>
      </c>
      <c r="B109" s="2" t="s">
        <v>22</v>
      </c>
      <c r="C109" s="2"/>
      <c r="D109" s="2"/>
      <c r="E109" s="3"/>
      <c r="F109" s="2"/>
      <c r="G109" s="2"/>
      <c r="H109" s="2" t="s">
        <v>46</v>
      </c>
      <c r="I109" s="12" t="s">
        <v>46</v>
      </c>
      <c r="J109" s="2"/>
      <c r="K109" s="2"/>
      <c r="L109" s="2"/>
      <c r="M109" s="2"/>
      <c r="N109" s="2"/>
      <c r="O109" s="2" t="s">
        <v>24</v>
      </c>
      <c r="P109" s="2" t="s">
        <v>25</v>
      </c>
      <c r="Q109" s="2"/>
    </row>
    <row r="110" spans="1:17" ht="12.95" customHeight="1" x14ac:dyDescent="0.2">
      <c r="A110" s="2" t="s">
        <v>26</v>
      </c>
      <c r="B110" s="2" t="s">
        <v>27</v>
      </c>
      <c r="C110" s="2"/>
      <c r="D110" s="2"/>
      <c r="E110" s="3"/>
      <c r="F110" s="2"/>
      <c r="G110" s="2"/>
      <c r="H110" s="2"/>
      <c r="I110" s="13"/>
      <c r="J110" s="2"/>
      <c r="K110" s="2"/>
      <c r="L110" s="2"/>
      <c r="M110" s="2"/>
      <c r="N110" s="2"/>
      <c r="O110" s="2" t="s">
        <v>28</v>
      </c>
      <c r="P110" s="2" t="s">
        <v>29</v>
      </c>
      <c r="Q110" s="2"/>
    </row>
    <row r="111" spans="1:17" ht="12.95" customHeight="1" x14ac:dyDescent="0.2">
      <c r="A111" s="4" t="s">
        <v>30</v>
      </c>
      <c r="B111" s="4" t="s">
        <v>31</v>
      </c>
      <c r="C111" s="4"/>
      <c r="D111" s="4"/>
      <c r="E111" s="3"/>
      <c r="F111" s="4"/>
      <c r="G111" s="4"/>
      <c r="H111" s="4"/>
      <c r="I111" s="35"/>
      <c r="J111" s="4"/>
      <c r="K111" s="4"/>
      <c r="L111" s="4"/>
      <c r="M111" s="4"/>
      <c r="N111" s="4"/>
      <c r="O111" s="4"/>
      <c r="P111" s="4"/>
      <c r="Q111" s="4"/>
    </row>
    <row r="112" spans="1:17" ht="12.95" customHeight="1" x14ac:dyDescent="0.2">
      <c r="A112" s="4" t="s">
        <v>32</v>
      </c>
      <c r="B112" s="4" t="s">
        <v>31</v>
      </c>
      <c r="C112" s="4"/>
      <c r="D112" s="4"/>
      <c r="E112" s="3"/>
      <c r="F112" s="4"/>
      <c r="G112" s="4"/>
      <c r="H112" s="4"/>
      <c r="I112" s="35"/>
      <c r="J112" s="4"/>
      <c r="K112" s="4"/>
      <c r="L112" s="4"/>
      <c r="M112" s="4"/>
      <c r="N112" s="4"/>
      <c r="O112" s="4"/>
      <c r="P112" s="4"/>
      <c r="Q112" s="4"/>
    </row>
    <row r="113" spans="1:17" x14ac:dyDescent="0.2">
      <c r="A113" s="4" t="s">
        <v>33</v>
      </c>
      <c r="B113" s="4" t="s">
        <v>34</v>
      </c>
      <c r="C113" s="4" t="s">
        <v>34</v>
      </c>
      <c r="D113" s="4" t="s">
        <v>34</v>
      </c>
      <c r="E113" s="4"/>
      <c r="F113" s="4"/>
      <c r="G113" s="4"/>
      <c r="H113" s="4" t="s">
        <v>46</v>
      </c>
      <c r="I113" s="35" t="s">
        <v>46</v>
      </c>
      <c r="J113" s="4"/>
      <c r="K113" s="4"/>
      <c r="L113" s="4"/>
      <c r="M113" s="4"/>
      <c r="N113" s="4"/>
      <c r="O113" s="4"/>
      <c r="P113" s="4"/>
      <c r="Q113" s="4"/>
    </row>
    <row r="114" spans="1:17" ht="12.95" customHeight="1" x14ac:dyDescent="0.2">
      <c r="A114" s="2" t="s">
        <v>35</v>
      </c>
      <c r="B114" s="2" t="s">
        <v>36</v>
      </c>
      <c r="C114" s="2"/>
      <c r="D114" s="2"/>
      <c r="E114" s="3"/>
      <c r="F114" s="2"/>
      <c r="G114" s="2"/>
      <c r="H114" s="2"/>
      <c r="I114" s="13"/>
      <c r="J114" s="2"/>
      <c r="K114" s="2"/>
      <c r="L114" s="2"/>
      <c r="M114" s="2"/>
      <c r="N114" s="2"/>
      <c r="O114" s="2" t="s">
        <v>37</v>
      </c>
      <c r="P114" s="2"/>
      <c r="Q114" s="2"/>
    </row>
    <row r="115" spans="1:17" ht="12.95" customHeight="1" x14ac:dyDescent="0.2">
      <c r="A115" s="2" t="s">
        <v>38</v>
      </c>
      <c r="B115" s="2" t="s">
        <v>36</v>
      </c>
      <c r="C115" s="2"/>
      <c r="D115" s="2"/>
      <c r="E115" s="3"/>
      <c r="F115" s="2"/>
      <c r="G115" s="2"/>
      <c r="H115" s="2"/>
      <c r="I115" s="13"/>
      <c r="J115" s="2"/>
      <c r="K115" s="2"/>
      <c r="L115" s="2"/>
      <c r="M115" s="2"/>
      <c r="N115" s="2"/>
      <c r="O115" s="2" t="s">
        <v>37</v>
      </c>
      <c r="P115" s="2"/>
      <c r="Q115" s="2"/>
    </row>
    <row r="116" spans="1:17" ht="12.95" customHeight="1" x14ac:dyDescent="0.2">
      <c r="A116" s="2" t="s">
        <v>39</v>
      </c>
      <c r="B116" s="2" t="s">
        <v>22</v>
      </c>
      <c r="C116" s="2"/>
      <c r="D116" s="2"/>
      <c r="E116" s="3"/>
      <c r="F116" s="2"/>
      <c r="G116" s="2"/>
      <c r="H116" s="2" t="s">
        <v>46</v>
      </c>
      <c r="I116" s="12" t="s">
        <v>46</v>
      </c>
      <c r="J116" s="2"/>
      <c r="K116" s="2"/>
      <c r="L116" s="2"/>
      <c r="M116" s="2"/>
      <c r="N116" s="2"/>
      <c r="O116" s="2" t="s">
        <v>24</v>
      </c>
      <c r="P116" s="2" t="s">
        <v>25</v>
      </c>
      <c r="Q116" s="2"/>
    </row>
    <row r="117" spans="1:17" ht="12.95" customHeight="1" x14ac:dyDescent="0.2">
      <c r="A117" s="2" t="s">
        <v>40</v>
      </c>
      <c r="B117" s="2" t="s">
        <v>27</v>
      </c>
      <c r="C117" s="2"/>
      <c r="D117" s="2"/>
      <c r="E117" s="3"/>
      <c r="F117" s="2"/>
      <c r="G117" s="2"/>
      <c r="H117" s="2"/>
      <c r="I117" s="13"/>
      <c r="J117" s="2"/>
      <c r="K117" s="2"/>
      <c r="L117" s="2"/>
      <c r="M117" s="2"/>
      <c r="N117" s="2"/>
      <c r="O117" s="2" t="s">
        <v>28</v>
      </c>
      <c r="P117" s="2" t="s">
        <v>25</v>
      </c>
      <c r="Q117" s="2"/>
    </row>
    <row r="118" spans="1:17" ht="12.95" customHeight="1" x14ac:dyDescent="0.2">
      <c r="A118" s="2" t="s">
        <v>41</v>
      </c>
      <c r="B118" s="2" t="s">
        <v>42</v>
      </c>
      <c r="C118" s="2"/>
      <c r="D118" s="2"/>
      <c r="E118" s="3"/>
      <c r="F118" s="2"/>
      <c r="G118" s="2"/>
      <c r="H118" s="2"/>
      <c r="I118" s="13"/>
      <c r="J118" s="2"/>
      <c r="K118" s="2"/>
      <c r="L118" s="2"/>
      <c r="M118" s="2"/>
      <c r="N118" s="2"/>
      <c r="O118" s="2" t="s">
        <v>214</v>
      </c>
      <c r="P118" s="2" t="s">
        <v>25</v>
      </c>
      <c r="Q118" s="2"/>
    </row>
    <row r="119" spans="1:17" ht="12.95" customHeight="1" x14ac:dyDescent="0.2">
      <c r="A119" s="4" t="s">
        <v>51</v>
      </c>
      <c r="B119" s="4" t="s">
        <v>31</v>
      </c>
      <c r="C119" s="4"/>
      <c r="D119" s="4"/>
      <c r="E119" s="3"/>
      <c r="F119" s="4"/>
      <c r="G119" s="4"/>
      <c r="H119" s="4"/>
      <c r="I119" s="35"/>
      <c r="J119" s="4"/>
      <c r="K119" s="4"/>
      <c r="L119" s="4"/>
      <c r="M119" s="4"/>
      <c r="N119" s="4"/>
      <c r="O119" s="4"/>
      <c r="P119" s="4"/>
      <c r="Q119" s="4"/>
    </row>
    <row r="120" spans="1:17" ht="12.95" customHeight="1" x14ac:dyDescent="0.2">
      <c r="A120" s="4" t="s">
        <v>52</v>
      </c>
      <c r="B120" s="4" t="s">
        <v>31</v>
      </c>
      <c r="C120" s="4"/>
      <c r="D120" s="4"/>
      <c r="E120" s="3"/>
      <c r="F120" s="4"/>
      <c r="G120" s="4"/>
      <c r="H120" s="4"/>
      <c r="I120" s="35"/>
      <c r="J120" s="4"/>
      <c r="K120" s="4"/>
      <c r="L120" s="4"/>
      <c r="M120" s="4"/>
      <c r="N120" s="4"/>
      <c r="O120" s="4"/>
      <c r="P120" s="4"/>
      <c r="Q120" s="4"/>
    </row>
    <row r="121" spans="1:17" x14ac:dyDescent="0.2">
      <c r="A121" s="4" t="s">
        <v>33</v>
      </c>
      <c r="B121" s="4" t="s">
        <v>34</v>
      </c>
      <c r="C121" s="4" t="s">
        <v>34</v>
      </c>
      <c r="D121" s="4" t="s">
        <v>34</v>
      </c>
      <c r="E121" s="4"/>
      <c r="F121" s="4"/>
      <c r="G121" s="4"/>
      <c r="H121" s="4" t="s">
        <v>46</v>
      </c>
      <c r="I121" s="35" t="s">
        <v>46</v>
      </c>
      <c r="J121" s="4"/>
      <c r="K121" s="4"/>
      <c r="L121" s="4"/>
      <c r="M121" s="4"/>
      <c r="N121" s="4"/>
      <c r="O121" s="4"/>
      <c r="P121" s="4"/>
      <c r="Q121" s="4"/>
    </row>
    <row r="122" spans="1:17" ht="12.95" customHeight="1" x14ac:dyDescent="0.2">
      <c r="A122" s="2" t="s">
        <v>54</v>
      </c>
      <c r="B122" s="2" t="s">
        <v>42</v>
      </c>
      <c r="C122" s="2"/>
      <c r="D122" s="2"/>
      <c r="E122" s="3"/>
      <c r="F122" s="2"/>
      <c r="G122" s="2"/>
      <c r="H122" s="2"/>
      <c r="I122" s="13"/>
      <c r="J122" s="2"/>
      <c r="K122" s="2"/>
      <c r="L122" s="2"/>
      <c r="M122" s="2"/>
      <c r="N122" s="2"/>
      <c r="O122" s="2" t="s">
        <v>214</v>
      </c>
      <c r="P122" s="2" t="s">
        <v>25</v>
      </c>
      <c r="Q122" s="2"/>
    </row>
    <row r="123" spans="1:17" ht="12.95" customHeight="1" x14ac:dyDescent="0.2">
      <c r="A123" s="2" t="s">
        <v>61</v>
      </c>
      <c r="B123" s="2" t="s">
        <v>42</v>
      </c>
      <c r="C123" s="2"/>
      <c r="D123" s="2"/>
      <c r="E123" s="3"/>
      <c r="F123" s="2"/>
      <c r="G123" s="2"/>
      <c r="H123" s="2"/>
      <c r="I123" s="13"/>
      <c r="J123" s="2"/>
      <c r="K123" s="2"/>
      <c r="L123" s="2"/>
      <c r="M123" s="2"/>
      <c r="N123" s="2"/>
      <c r="O123" s="2" t="s">
        <v>214</v>
      </c>
      <c r="P123" s="2" t="s">
        <v>25</v>
      </c>
      <c r="Q123" s="2"/>
    </row>
    <row r="124" spans="1:17" ht="12.95" customHeight="1" x14ac:dyDescent="0.2">
      <c r="A124" s="2" t="s">
        <v>68</v>
      </c>
      <c r="B124" s="2" t="s">
        <v>42</v>
      </c>
      <c r="C124" s="2"/>
      <c r="D124" s="2"/>
      <c r="E124" s="3"/>
      <c r="F124" s="2"/>
      <c r="G124" s="2"/>
      <c r="H124" s="2"/>
      <c r="I124" s="13"/>
      <c r="J124" s="2"/>
      <c r="K124" s="2"/>
      <c r="L124" s="2"/>
      <c r="M124" s="2"/>
      <c r="N124" s="2"/>
      <c r="O124" s="2" t="s">
        <v>214</v>
      </c>
      <c r="P124" s="2" t="s">
        <v>25</v>
      </c>
      <c r="Q124" s="2"/>
    </row>
    <row r="125" spans="1:17" ht="12.95" customHeight="1" x14ac:dyDescent="0.2">
      <c r="A125" s="2" t="s">
        <v>75</v>
      </c>
      <c r="B125" s="2" t="s">
        <v>42</v>
      </c>
      <c r="C125" s="2"/>
      <c r="D125" s="2"/>
      <c r="E125" s="3"/>
      <c r="F125" s="2"/>
      <c r="G125" s="2"/>
      <c r="H125" s="2"/>
      <c r="I125" s="13"/>
      <c r="J125" s="2"/>
      <c r="K125" s="2"/>
      <c r="L125" s="2"/>
      <c r="M125" s="2"/>
      <c r="N125" s="2"/>
      <c r="O125" s="2" t="s">
        <v>214</v>
      </c>
      <c r="P125" s="2" t="s">
        <v>25</v>
      </c>
      <c r="Q125" s="2"/>
    </row>
    <row r="126" spans="1:17" ht="12.95" customHeight="1" x14ac:dyDescent="0.2">
      <c r="A126" s="2" t="s">
        <v>81</v>
      </c>
      <c r="B126" s="2" t="s">
        <v>42</v>
      </c>
      <c r="C126" s="2"/>
      <c r="D126" s="2"/>
      <c r="E126" s="3"/>
      <c r="F126" s="2"/>
      <c r="G126" s="2"/>
      <c r="H126" s="2"/>
      <c r="I126" s="13"/>
      <c r="J126" s="2"/>
      <c r="K126" s="2"/>
      <c r="L126" s="2"/>
      <c r="M126" s="2"/>
      <c r="N126" s="2"/>
      <c r="O126" s="2" t="s">
        <v>214</v>
      </c>
      <c r="P126" s="2" t="s">
        <v>25</v>
      </c>
      <c r="Q126" s="2"/>
    </row>
    <row r="127" spans="1:17" ht="12.95" customHeight="1" x14ac:dyDescent="0.2">
      <c r="A127" s="4" t="s">
        <v>87</v>
      </c>
      <c r="B127" s="4" t="s">
        <v>31</v>
      </c>
      <c r="C127" s="4"/>
      <c r="D127" s="4"/>
      <c r="E127" s="3"/>
      <c r="F127" s="4"/>
      <c r="G127" s="4"/>
      <c r="H127" s="4"/>
      <c r="I127" s="35"/>
      <c r="J127" s="4"/>
      <c r="K127" s="4"/>
      <c r="L127" s="4"/>
      <c r="M127" s="4"/>
      <c r="N127" s="4"/>
      <c r="O127" s="4"/>
      <c r="P127" s="4"/>
      <c r="Q127" s="4"/>
    </row>
    <row r="128" spans="1:17" ht="12.95" customHeight="1" x14ac:dyDescent="0.2">
      <c r="A128" s="4" t="s">
        <v>88</v>
      </c>
      <c r="B128" s="4" t="s">
        <v>31</v>
      </c>
      <c r="C128" s="4"/>
      <c r="D128" s="4"/>
      <c r="E128" s="3"/>
      <c r="F128" s="4"/>
      <c r="G128" s="4"/>
      <c r="H128" s="4"/>
      <c r="I128" s="35"/>
      <c r="J128" s="4"/>
      <c r="K128" s="4"/>
      <c r="L128" s="4"/>
      <c r="M128" s="4"/>
      <c r="N128" s="4"/>
      <c r="O128" s="4"/>
      <c r="P128" s="4"/>
      <c r="Q128" s="4"/>
    </row>
    <row r="129" spans="1:17" x14ac:dyDescent="0.2">
      <c r="A129" s="4" t="s">
        <v>33</v>
      </c>
      <c r="B129" s="4" t="s">
        <v>34</v>
      </c>
      <c r="C129" s="4" t="s">
        <v>34</v>
      </c>
      <c r="D129" s="4" t="s">
        <v>34</v>
      </c>
      <c r="E129" s="4"/>
      <c r="F129" s="4"/>
      <c r="G129" s="4"/>
      <c r="H129" s="4"/>
      <c r="I129" s="35"/>
      <c r="J129" s="4"/>
      <c r="K129" s="4"/>
      <c r="L129" s="4"/>
      <c r="M129" s="4"/>
      <c r="N129" s="4"/>
      <c r="O129" s="4"/>
      <c r="P129" s="4"/>
      <c r="Q129" s="4"/>
    </row>
    <row r="130" spans="1:17" ht="12.95" customHeight="1" x14ac:dyDescent="0.2">
      <c r="A130" s="2" t="s">
        <v>97</v>
      </c>
      <c r="B130" s="2" t="s">
        <v>42</v>
      </c>
      <c r="C130" s="2"/>
      <c r="D130" s="2"/>
      <c r="E130" s="3"/>
      <c r="F130" s="2"/>
      <c r="G130" s="2"/>
      <c r="H130" s="2"/>
      <c r="I130" s="13"/>
      <c r="J130" s="2"/>
      <c r="K130" s="2"/>
      <c r="L130" s="2"/>
      <c r="M130" s="2"/>
      <c r="N130" s="2"/>
      <c r="O130" s="2" t="s">
        <v>214</v>
      </c>
      <c r="P130" s="2"/>
      <c r="Q130" s="2"/>
    </row>
    <row r="131" spans="1:17" ht="12.95" customHeight="1" x14ac:dyDescent="0.2">
      <c r="A131" s="2" t="s">
        <v>104</v>
      </c>
      <c r="B131" s="2" t="s">
        <v>42</v>
      </c>
      <c r="C131" s="2"/>
      <c r="D131" s="2"/>
      <c r="E131" s="3"/>
      <c r="F131" s="2"/>
      <c r="G131" s="2"/>
      <c r="H131" s="2"/>
      <c r="I131" s="13"/>
      <c r="J131" s="2"/>
      <c r="K131" s="2"/>
      <c r="L131" s="2"/>
      <c r="M131" s="2"/>
      <c r="N131" s="2"/>
      <c r="O131" s="2" t="s">
        <v>214</v>
      </c>
      <c r="P131" s="2" t="s">
        <v>111</v>
      </c>
      <c r="Q131" s="2"/>
    </row>
    <row r="132" spans="1:17" ht="12.95" customHeight="1" x14ac:dyDescent="0.2">
      <c r="A132" s="2" t="s">
        <v>112</v>
      </c>
      <c r="B132" s="2" t="s">
        <v>22</v>
      </c>
      <c r="C132" s="2"/>
      <c r="D132" s="2"/>
      <c r="E132" s="3"/>
      <c r="F132" s="2"/>
      <c r="G132" s="2"/>
      <c r="H132" s="2" t="s">
        <v>227</v>
      </c>
      <c r="I132" s="13" t="s">
        <v>227</v>
      </c>
      <c r="J132" s="2"/>
      <c r="K132" s="2"/>
      <c r="L132" s="2"/>
      <c r="M132" s="2"/>
      <c r="N132" s="2"/>
      <c r="O132" s="2" t="s">
        <v>24</v>
      </c>
      <c r="P132" s="2"/>
      <c r="Q132" s="2"/>
    </row>
    <row r="133" spans="1:17" ht="12.95" customHeight="1" x14ac:dyDescent="0.2">
      <c r="A133" s="2" t="s">
        <v>114</v>
      </c>
      <c r="B133" s="2" t="s">
        <v>27</v>
      </c>
      <c r="C133" s="2"/>
      <c r="D133" s="2"/>
      <c r="E133" s="3"/>
      <c r="F133" s="2"/>
      <c r="G133" s="2"/>
      <c r="H133" s="2"/>
      <c r="I133" s="13"/>
      <c r="J133" s="2"/>
      <c r="K133" s="2"/>
      <c r="L133" s="2"/>
      <c r="M133" s="2"/>
      <c r="N133" s="2"/>
      <c r="O133" s="2" t="s">
        <v>28</v>
      </c>
      <c r="P133" s="2" t="s">
        <v>111</v>
      </c>
      <c r="Q133" s="2"/>
    </row>
    <row r="134" spans="1:17" ht="12.95" customHeight="1" x14ac:dyDescent="0.2">
      <c r="A134" s="2" t="s">
        <v>115</v>
      </c>
      <c r="B134" s="2" t="s">
        <v>42</v>
      </c>
      <c r="C134" s="2"/>
      <c r="D134" s="2"/>
      <c r="E134" s="3"/>
      <c r="F134" s="2"/>
      <c r="G134" s="2"/>
      <c r="H134" s="2"/>
      <c r="I134" s="13"/>
      <c r="J134" s="2"/>
      <c r="K134" s="2"/>
      <c r="L134" s="2"/>
      <c r="M134" s="2"/>
      <c r="N134" s="2"/>
      <c r="O134" s="2" t="s">
        <v>214</v>
      </c>
      <c r="P134" s="2"/>
      <c r="Q134" s="2"/>
    </row>
    <row r="135" spans="1:17" ht="12.95" customHeight="1" x14ac:dyDescent="0.2">
      <c r="A135" s="4" t="s">
        <v>122</v>
      </c>
      <c r="B135" s="4" t="s">
        <v>31</v>
      </c>
      <c r="C135" s="4"/>
      <c r="D135" s="4"/>
      <c r="E135" s="3"/>
      <c r="F135" s="4"/>
      <c r="G135" s="4"/>
      <c r="H135" s="4"/>
      <c r="I135" s="35"/>
      <c r="J135" s="4"/>
      <c r="K135" s="4"/>
      <c r="L135" s="4"/>
      <c r="M135" s="4"/>
      <c r="N135" s="4"/>
      <c r="O135" s="4"/>
      <c r="P135" s="4"/>
      <c r="Q135" s="4"/>
    </row>
    <row r="136" spans="1:17" ht="12.95" customHeight="1" x14ac:dyDescent="0.2">
      <c r="A136" s="4" t="s">
        <v>123</v>
      </c>
      <c r="B136" s="4" t="s">
        <v>31</v>
      </c>
      <c r="C136" s="4"/>
      <c r="D136" s="4"/>
      <c r="E136" s="3"/>
      <c r="F136" s="4"/>
      <c r="G136" s="4"/>
      <c r="H136" s="4"/>
      <c r="I136" s="35"/>
      <c r="J136" s="4"/>
      <c r="K136" s="4"/>
      <c r="L136" s="4"/>
      <c r="M136" s="4"/>
      <c r="N136" s="4"/>
      <c r="O136" s="4"/>
      <c r="P136" s="4"/>
      <c r="Q136" s="4"/>
    </row>
    <row r="137" spans="1:17" x14ac:dyDescent="0.2">
      <c r="A137" s="4" t="s">
        <v>33</v>
      </c>
      <c r="B137" s="4" t="s">
        <v>34</v>
      </c>
      <c r="C137" s="4" t="s">
        <v>34</v>
      </c>
      <c r="D137" s="4" t="s">
        <v>34</v>
      </c>
      <c r="E137" s="4"/>
      <c r="F137" s="4"/>
      <c r="G137" s="4"/>
      <c r="H137" s="4" t="s">
        <v>227</v>
      </c>
      <c r="I137" s="35" t="s">
        <v>227</v>
      </c>
      <c r="J137" s="4"/>
      <c r="K137" s="4"/>
      <c r="L137" s="4"/>
      <c r="M137" s="4"/>
      <c r="N137" s="4"/>
      <c r="O137" s="4"/>
      <c r="P137" s="4"/>
      <c r="Q137" s="4"/>
    </row>
    <row r="138" spans="1:17" ht="12.95" customHeight="1" x14ac:dyDescent="0.2">
      <c r="A138" s="2" t="s">
        <v>131</v>
      </c>
      <c r="B138" s="2" t="s">
        <v>42</v>
      </c>
      <c r="C138" s="2" t="s">
        <v>268</v>
      </c>
      <c r="D138" s="2" t="s">
        <v>269</v>
      </c>
      <c r="E138" s="3" t="s">
        <v>270</v>
      </c>
      <c r="F138" s="2" t="s">
        <v>46</v>
      </c>
      <c r="G138" s="2" t="s">
        <v>271</v>
      </c>
      <c r="H138" s="2" t="s">
        <v>201</v>
      </c>
      <c r="I138" s="13"/>
      <c r="J138" s="2" t="s">
        <v>48</v>
      </c>
      <c r="K138" s="2" t="s">
        <v>272</v>
      </c>
      <c r="L138" s="2" t="s">
        <v>273</v>
      </c>
      <c r="M138" s="2" t="s">
        <v>272</v>
      </c>
      <c r="N138" s="2"/>
      <c r="O138" s="2"/>
      <c r="P138" s="2"/>
      <c r="Q138" s="2"/>
    </row>
    <row r="139" spans="1:17" ht="12.95" customHeight="1" x14ac:dyDescent="0.2">
      <c r="A139" s="2" t="s">
        <v>138</v>
      </c>
      <c r="B139" s="2" t="s">
        <v>42</v>
      </c>
      <c r="C139" s="2" t="s">
        <v>274</v>
      </c>
      <c r="D139" s="2" t="s">
        <v>275</v>
      </c>
      <c r="E139" s="3" t="s">
        <v>276</v>
      </c>
      <c r="F139" s="2" t="s">
        <v>46</v>
      </c>
      <c r="G139" s="2" t="s">
        <v>277</v>
      </c>
      <c r="H139" s="2" t="s">
        <v>201</v>
      </c>
      <c r="I139" s="13"/>
      <c r="J139" s="2" t="s">
        <v>48</v>
      </c>
      <c r="K139" s="2" t="s">
        <v>278</v>
      </c>
      <c r="L139" s="2"/>
      <c r="M139" s="2" t="s">
        <v>120</v>
      </c>
      <c r="N139" s="2"/>
      <c r="O139" s="2"/>
      <c r="P139" s="2"/>
      <c r="Q139" s="2"/>
    </row>
    <row r="140" spans="1:17" ht="12.95" customHeight="1" x14ac:dyDescent="0.2">
      <c r="A140" s="2" t="s">
        <v>143</v>
      </c>
      <c r="B140" s="2" t="s">
        <v>42</v>
      </c>
      <c r="C140" s="2" t="s">
        <v>279</v>
      </c>
      <c r="D140" s="2" t="s">
        <v>187</v>
      </c>
      <c r="E140" s="3" t="s">
        <v>280</v>
      </c>
      <c r="F140" s="2" t="s">
        <v>46</v>
      </c>
      <c r="G140" s="2" t="s">
        <v>157</v>
      </c>
      <c r="H140" s="2" t="s">
        <v>201</v>
      </c>
      <c r="I140" s="13"/>
      <c r="J140" s="2" t="s">
        <v>48</v>
      </c>
      <c r="K140" s="2" t="s">
        <v>281</v>
      </c>
      <c r="L140" s="2"/>
      <c r="M140" s="2" t="s">
        <v>282</v>
      </c>
      <c r="N140" s="2"/>
      <c r="O140" s="2"/>
      <c r="P140" s="2"/>
      <c r="Q140" s="2"/>
    </row>
    <row r="141" spans="1:17" ht="12.95" customHeight="1" x14ac:dyDescent="0.2">
      <c r="A141" s="2" t="s">
        <v>148</v>
      </c>
      <c r="B141" s="2" t="s">
        <v>42</v>
      </c>
      <c r="C141" s="2" t="s">
        <v>283</v>
      </c>
      <c r="D141" s="2" t="s">
        <v>284</v>
      </c>
      <c r="E141" s="3" t="s">
        <v>285</v>
      </c>
      <c r="F141" s="2" t="s">
        <v>46</v>
      </c>
      <c r="G141" s="2" t="s">
        <v>286</v>
      </c>
      <c r="H141" s="2" t="s">
        <v>201</v>
      </c>
      <c r="I141" s="13"/>
      <c r="J141" s="2" t="s">
        <v>48</v>
      </c>
      <c r="K141" s="2" t="s">
        <v>287</v>
      </c>
      <c r="L141" s="2"/>
      <c r="M141" s="2" t="s">
        <v>142</v>
      </c>
      <c r="N141" s="2"/>
      <c r="O141" s="2"/>
      <c r="P141" s="2"/>
      <c r="Q141" s="2"/>
    </row>
    <row r="142" spans="1:17" ht="12.95" customHeight="1" x14ac:dyDescent="0.2">
      <c r="A142" s="2" t="s">
        <v>155</v>
      </c>
      <c r="B142" s="2" t="s">
        <v>42</v>
      </c>
      <c r="C142" s="2" t="s">
        <v>288</v>
      </c>
      <c r="D142" s="2" t="s">
        <v>289</v>
      </c>
      <c r="E142" s="3" t="s">
        <v>151</v>
      </c>
      <c r="F142" s="2" t="s">
        <v>46</v>
      </c>
      <c r="G142" s="2" t="s">
        <v>152</v>
      </c>
      <c r="H142" s="2" t="s">
        <v>201</v>
      </c>
      <c r="I142" s="13"/>
      <c r="J142" s="2" t="s">
        <v>48</v>
      </c>
      <c r="K142" s="2" t="s">
        <v>153</v>
      </c>
      <c r="L142" s="2"/>
      <c r="M142" s="2" t="s">
        <v>290</v>
      </c>
      <c r="N142" s="2"/>
      <c r="O142" s="2"/>
      <c r="P142" s="2"/>
      <c r="Q142" s="2"/>
    </row>
    <row r="143" spans="1:17" ht="12.95" customHeight="1" x14ac:dyDescent="0.2">
      <c r="A143" s="8" t="s">
        <v>161</v>
      </c>
      <c r="B143" s="8"/>
      <c r="C143" s="8"/>
      <c r="D143" s="8"/>
      <c r="E143" s="5" t="s">
        <v>291</v>
      </c>
      <c r="F143" s="5" t="s">
        <v>90</v>
      </c>
      <c r="G143" s="5" t="s">
        <v>292</v>
      </c>
      <c r="H143" s="5" t="s">
        <v>293</v>
      </c>
      <c r="I143" s="36" t="s">
        <v>201</v>
      </c>
      <c r="J143" s="5" t="s">
        <v>92</v>
      </c>
      <c r="K143" s="5" t="s">
        <v>294</v>
      </c>
      <c r="L143" s="5" t="s">
        <v>273</v>
      </c>
      <c r="M143" s="5" t="s">
        <v>295</v>
      </c>
      <c r="N143" s="5" t="s">
        <v>296</v>
      </c>
      <c r="O143" s="5"/>
      <c r="P143" s="5"/>
      <c r="Q143" s="5"/>
    </row>
    <row r="144" spans="1:17" ht="12.95" customHeight="1" x14ac:dyDescent="0.2">
      <c r="A144" s="8" t="s">
        <v>171</v>
      </c>
      <c r="B144" s="8"/>
      <c r="C144" s="8"/>
      <c r="D144" s="8"/>
      <c r="E144" s="5" t="s">
        <v>291</v>
      </c>
      <c r="F144" s="5" t="s">
        <v>90</v>
      </c>
      <c r="G144" s="5" t="s">
        <v>292</v>
      </c>
      <c r="H144" s="5" t="s">
        <v>293</v>
      </c>
      <c r="I144" s="36" t="s">
        <v>297</v>
      </c>
      <c r="J144" s="5" t="s">
        <v>92</v>
      </c>
      <c r="K144" s="5" t="s">
        <v>294</v>
      </c>
      <c r="L144" s="5" t="s">
        <v>273</v>
      </c>
      <c r="M144" s="5" t="s">
        <v>295</v>
      </c>
      <c r="N144" s="5" t="s">
        <v>296</v>
      </c>
      <c r="O144" s="5"/>
      <c r="P144" s="5"/>
      <c r="Q144" s="5"/>
    </row>
    <row r="145" spans="1:17" ht="12.95" customHeight="1" x14ac:dyDescent="0.2">
      <c r="A145" s="8" t="s">
        <v>173</v>
      </c>
      <c r="B145" s="8"/>
      <c r="C145" s="8"/>
      <c r="D145" s="8"/>
      <c r="E145" s="5">
        <v>48.46</v>
      </c>
      <c r="F145" s="5">
        <v>2.5</v>
      </c>
      <c r="G145" s="5">
        <v>45.96</v>
      </c>
      <c r="H145" s="5">
        <v>51</v>
      </c>
      <c r="I145" s="36">
        <v>5.03</v>
      </c>
      <c r="J145" s="5">
        <v>42</v>
      </c>
      <c r="K145" s="5">
        <v>3.86</v>
      </c>
      <c r="L145" s="5">
        <v>0.1</v>
      </c>
      <c r="M145" s="5">
        <v>3.46</v>
      </c>
      <c r="N145" s="5">
        <v>0</v>
      </c>
      <c r="O145" s="5"/>
      <c r="P145" s="5"/>
      <c r="Q145" s="5"/>
    </row>
    <row r="146" spans="1:17" x14ac:dyDescent="0.2">
      <c r="I146" s="37"/>
    </row>
    <row r="147" spans="1:17" ht="12.95" customHeight="1" x14ac:dyDescent="0.2">
      <c r="A147" s="9" t="s">
        <v>174</v>
      </c>
      <c r="B147" s="9"/>
      <c r="C147" s="9"/>
      <c r="E147" s="9" t="s">
        <v>180</v>
      </c>
      <c r="F147" s="9"/>
      <c r="G147" s="9"/>
      <c r="I147" s="9" t="s">
        <v>181</v>
      </c>
      <c r="J147" s="9"/>
      <c r="K147" s="9"/>
    </row>
    <row r="148" spans="1:17" ht="12.95" customHeight="1" x14ac:dyDescent="0.2">
      <c r="A148" s="10" t="s">
        <v>175</v>
      </c>
      <c r="B148" s="10"/>
      <c r="C148" s="6">
        <v>5</v>
      </c>
      <c r="E148" s="10" t="s">
        <v>14</v>
      </c>
      <c r="F148" s="10"/>
      <c r="G148" s="6">
        <v>42</v>
      </c>
      <c r="I148" s="10" t="s">
        <v>265</v>
      </c>
      <c r="J148" s="10"/>
      <c r="K148" s="6">
        <v>9</v>
      </c>
    </row>
    <row r="149" spans="1:17" ht="12.95" customHeight="1" x14ac:dyDescent="0.2">
      <c r="A149" s="10" t="s">
        <v>1531</v>
      </c>
      <c r="B149" s="10"/>
      <c r="C149" s="6">
        <v>22</v>
      </c>
      <c r="E149" s="10" t="s">
        <v>15</v>
      </c>
      <c r="F149" s="10"/>
      <c r="G149" s="6">
        <v>3.86</v>
      </c>
      <c r="I149" s="10" t="s">
        <v>27</v>
      </c>
      <c r="J149" s="10"/>
      <c r="K149" s="26">
        <v>3</v>
      </c>
    </row>
    <row r="150" spans="1:17" ht="12.95" customHeight="1" x14ac:dyDescent="0.2">
      <c r="A150" s="10" t="s">
        <v>176</v>
      </c>
      <c r="B150" s="10"/>
      <c r="C150" s="6">
        <v>48.46</v>
      </c>
      <c r="E150" s="10" t="s">
        <v>267</v>
      </c>
      <c r="F150" s="10"/>
      <c r="G150" s="6">
        <v>0.1</v>
      </c>
      <c r="I150" s="10" t="s">
        <v>22</v>
      </c>
      <c r="J150" s="10"/>
      <c r="K150" s="26">
        <v>3</v>
      </c>
    </row>
    <row r="151" spans="1:17" ht="12.95" customHeight="1" x14ac:dyDescent="0.2">
      <c r="A151" s="10" t="s">
        <v>177</v>
      </c>
      <c r="B151" s="10"/>
      <c r="C151" s="6">
        <v>51</v>
      </c>
      <c r="I151" s="10" t="s">
        <v>36</v>
      </c>
      <c r="J151" s="10"/>
      <c r="K151" s="26">
        <v>2</v>
      </c>
    </row>
    <row r="152" spans="1:17" ht="12.95" customHeight="1" x14ac:dyDescent="0.2">
      <c r="A152" s="10" t="s">
        <v>11</v>
      </c>
      <c r="B152" s="10"/>
      <c r="C152" s="6">
        <v>45.96</v>
      </c>
      <c r="I152" s="39" t="s">
        <v>1591</v>
      </c>
      <c r="J152" s="19"/>
      <c r="K152" s="20">
        <v>1.5</v>
      </c>
    </row>
    <row r="153" spans="1:17" ht="12.95" customHeight="1" x14ac:dyDescent="0.2">
      <c r="A153" s="10" t="s">
        <v>178</v>
      </c>
      <c r="B153" s="10"/>
      <c r="C153" s="30">
        <v>8.5</v>
      </c>
      <c r="I153" s="39" t="s">
        <v>1592</v>
      </c>
      <c r="J153" s="19"/>
      <c r="K153" s="38">
        <v>2</v>
      </c>
    </row>
    <row r="154" spans="1:17" ht="12.95" customHeight="1" x14ac:dyDescent="0.25">
      <c r="A154" s="28" t="s">
        <v>1571</v>
      </c>
      <c r="B154" s="27"/>
      <c r="C154" s="31">
        <v>-1</v>
      </c>
      <c r="I154" s="41" t="s">
        <v>1593</v>
      </c>
      <c r="J154" s="40"/>
      <c r="K154" s="42">
        <f>K152+K153</f>
        <v>3.5</v>
      </c>
    </row>
    <row r="155" spans="1:17" ht="12.95" customHeight="1" x14ac:dyDescent="0.2">
      <c r="A155" s="29" t="s">
        <v>1572</v>
      </c>
      <c r="B155" s="29"/>
      <c r="C155" s="32">
        <f>C153+C154</f>
        <v>7.5</v>
      </c>
    </row>
    <row r="156" spans="1:17" x14ac:dyDescent="0.2">
      <c r="A156" s="10" t="s">
        <v>10</v>
      </c>
      <c r="B156" s="10"/>
      <c r="C156" s="6">
        <v>2.5</v>
      </c>
    </row>
    <row r="157" spans="1:17" x14ac:dyDescent="0.2">
      <c r="A157" t="s">
        <v>1615</v>
      </c>
      <c r="C157" cm="1">
        <f t="array" ref="C157">IFERROR(SUMPRODUCT(ISNUMBER(SEARCH("מילואים",O109:O146))*(C109:C146&lt;&gt;"")*(J109:J146+0))*24,0)</f>
        <v>0</v>
      </c>
    </row>
    <row r="158" spans="1:17" ht="12.95" customHeight="1" x14ac:dyDescent="0.2">
      <c r="A158" s="7" t="s">
        <v>298</v>
      </c>
      <c r="B158" s="7"/>
      <c r="C158" s="7"/>
      <c r="D158" s="7" t="s">
        <v>1</v>
      </c>
      <c r="E158" s="7"/>
      <c r="F158" s="7"/>
      <c r="G158" s="7"/>
      <c r="H158" s="7" t="s">
        <v>2</v>
      </c>
      <c r="I158" s="7"/>
      <c r="J158" s="7"/>
      <c r="K158" s="7"/>
      <c r="L158" s="7"/>
      <c r="M158" s="7"/>
      <c r="N158" s="7"/>
      <c r="O158" s="7"/>
      <c r="P158" s="7"/>
      <c r="Q158" s="7"/>
    </row>
    <row r="159" spans="1:17" ht="12.95" customHeight="1" x14ac:dyDescent="0.2">
      <c r="A159" s="7" t="s">
        <v>3</v>
      </c>
      <c r="B159" s="7"/>
      <c r="C159" s="7"/>
      <c r="D159" s="7"/>
      <c r="E159" s="7"/>
      <c r="F159" s="7">
        <v>22</v>
      </c>
      <c r="G159" s="7"/>
      <c r="H159" s="7" t="s">
        <v>183</v>
      </c>
      <c r="I159" s="7"/>
      <c r="J159" s="7"/>
      <c r="K159" s="7"/>
      <c r="L159" s="7"/>
      <c r="M159" s="7"/>
      <c r="N159" s="7"/>
      <c r="O159" s="7"/>
      <c r="P159" s="7"/>
      <c r="Q159" s="7"/>
    </row>
    <row r="160" spans="1:17" ht="22.5" customHeight="1" x14ac:dyDescent="0.2">
      <c r="A160" s="1" t="s">
        <v>5</v>
      </c>
      <c r="B160" s="1" t="s">
        <v>6</v>
      </c>
      <c r="C160" s="1" t="s">
        <v>7</v>
      </c>
      <c r="D160" s="1" t="s">
        <v>8</v>
      </c>
      <c r="E160" s="1" t="s">
        <v>9</v>
      </c>
      <c r="F160" s="1" t="s">
        <v>10</v>
      </c>
      <c r="G160" s="1" t="s">
        <v>11</v>
      </c>
      <c r="H160" s="1" t="s">
        <v>12</v>
      </c>
      <c r="I160" s="1" t="s">
        <v>13</v>
      </c>
      <c r="J160" s="1" t="s">
        <v>14</v>
      </c>
      <c r="K160" s="1" t="s">
        <v>15</v>
      </c>
      <c r="L160" s="1" t="s">
        <v>267</v>
      </c>
      <c r="M160" s="1" t="s">
        <v>16</v>
      </c>
      <c r="N160" s="1" t="s">
        <v>17</v>
      </c>
      <c r="O160" s="1" t="s">
        <v>18</v>
      </c>
      <c r="P160" s="1" t="s">
        <v>19</v>
      </c>
      <c r="Q160" s="1" t="s">
        <v>20</v>
      </c>
    </row>
    <row r="161" spans="1:17" ht="12.95" customHeight="1" x14ac:dyDescent="0.2">
      <c r="A161" s="2" t="s">
        <v>21</v>
      </c>
      <c r="B161" s="2" t="s">
        <v>22</v>
      </c>
      <c r="C161" s="2"/>
      <c r="D161" s="2"/>
      <c r="E161" s="3"/>
      <c r="F161" s="2"/>
      <c r="G161" s="2"/>
      <c r="H161" s="2" t="s">
        <v>46</v>
      </c>
      <c r="I161" s="12" t="s">
        <v>46</v>
      </c>
      <c r="J161" s="2"/>
      <c r="K161" s="2"/>
      <c r="L161" s="2"/>
      <c r="M161" s="2"/>
      <c r="N161" s="2"/>
      <c r="O161" s="2" t="s">
        <v>24</v>
      </c>
      <c r="P161" s="2" t="s">
        <v>25</v>
      </c>
      <c r="Q161" s="2"/>
    </row>
    <row r="162" spans="1:17" ht="12.95" customHeight="1" x14ac:dyDescent="0.2">
      <c r="A162" s="2" t="s">
        <v>26</v>
      </c>
      <c r="B162" s="2" t="s">
        <v>27</v>
      </c>
      <c r="C162" s="2"/>
      <c r="D162" s="2"/>
      <c r="E162" s="3"/>
      <c r="F162" s="2"/>
      <c r="G162" s="2"/>
      <c r="H162" s="2"/>
      <c r="I162" s="11"/>
      <c r="J162" s="2"/>
      <c r="K162" s="2"/>
      <c r="L162" s="2"/>
      <c r="M162" s="2"/>
      <c r="N162" s="2"/>
      <c r="O162" s="2" t="s">
        <v>28</v>
      </c>
      <c r="P162" s="2" t="s">
        <v>29</v>
      </c>
      <c r="Q162" s="2"/>
    </row>
    <row r="163" spans="1:17" ht="12.95" customHeight="1" x14ac:dyDescent="0.2">
      <c r="A163" s="4" t="s">
        <v>30</v>
      </c>
      <c r="B163" s="4" t="s">
        <v>31</v>
      </c>
      <c r="C163" s="4"/>
      <c r="D163" s="4"/>
      <c r="E163" s="3"/>
      <c r="F163" s="4"/>
      <c r="G163" s="4"/>
      <c r="H163" s="4"/>
      <c r="I163" s="35"/>
      <c r="J163" s="4"/>
      <c r="K163" s="4"/>
      <c r="L163" s="4"/>
      <c r="M163" s="4"/>
      <c r="N163" s="4"/>
      <c r="O163" s="4"/>
      <c r="P163" s="4"/>
      <c r="Q163" s="4"/>
    </row>
    <row r="164" spans="1:17" ht="12.95" customHeight="1" x14ac:dyDescent="0.2">
      <c r="A164" s="4" t="s">
        <v>32</v>
      </c>
      <c r="B164" s="4" t="s">
        <v>31</v>
      </c>
      <c r="C164" s="4"/>
      <c r="D164" s="4"/>
      <c r="E164" s="3"/>
      <c r="F164" s="4"/>
      <c r="G164" s="4"/>
      <c r="H164" s="4"/>
      <c r="I164" s="35"/>
      <c r="J164" s="4"/>
      <c r="K164" s="4"/>
      <c r="L164" s="4"/>
      <c r="M164" s="4"/>
      <c r="N164" s="4"/>
      <c r="O164" s="4"/>
      <c r="P164" s="4"/>
      <c r="Q164" s="4"/>
    </row>
    <row r="165" spans="1:17" x14ac:dyDescent="0.2">
      <c r="A165" s="4" t="s">
        <v>33</v>
      </c>
      <c r="B165" s="4" t="s">
        <v>34</v>
      </c>
      <c r="C165" s="4" t="s">
        <v>34</v>
      </c>
      <c r="D165" s="4" t="s">
        <v>34</v>
      </c>
      <c r="E165" s="4"/>
      <c r="F165" s="4"/>
      <c r="G165" s="4"/>
      <c r="H165" s="4" t="s">
        <v>46</v>
      </c>
      <c r="I165" s="35" t="s">
        <v>46</v>
      </c>
      <c r="J165" s="4"/>
      <c r="K165" s="4"/>
      <c r="L165" s="4"/>
      <c r="M165" s="4"/>
      <c r="N165" s="4"/>
      <c r="O165" s="4"/>
      <c r="P165" s="4"/>
      <c r="Q165" s="4"/>
    </row>
    <row r="166" spans="1:17" ht="12.95" customHeight="1" x14ac:dyDescent="0.2">
      <c r="A166" s="2" t="s">
        <v>35</v>
      </c>
      <c r="B166" s="2" t="s">
        <v>36</v>
      </c>
      <c r="C166" s="2"/>
      <c r="D166" s="2"/>
      <c r="E166" s="3"/>
      <c r="F166" s="2"/>
      <c r="G166" s="2"/>
      <c r="H166" s="2"/>
      <c r="I166" s="13"/>
      <c r="J166" s="2"/>
      <c r="K166" s="2"/>
      <c r="L166" s="2"/>
      <c r="M166" s="2"/>
      <c r="N166" s="2"/>
      <c r="O166" s="2" t="s">
        <v>194</v>
      </c>
      <c r="P166" s="2"/>
      <c r="Q166" s="2"/>
    </row>
    <row r="167" spans="1:17" ht="12.95" customHeight="1" x14ac:dyDescent="0.2">
      <c r="A167" s="2" t="s">
        <v>38</v>
      </c>
      <c r="B167" s="2" t="s">
        <v>36</v>
      </c>
      <c r="C167" s="2"/>
      <c r="D167" s="2"/>
      <c r="E167" s="3"/>
      <c r="F167" s="2"/>
      <c r="G167" s="2"/>
      <c r="H167" s="2"/>
      <c r="I167" s="13"/>
      <c r="J167" s="2"/>
      <c r="K167" s="2"/>
      <c r="L167" s="2"/>
      <c r="M167" s="2"/>
      <c r="N167" s="2"/>
      <c r="O167" s="2" t="s">
        <v>194</v>
      </c>
      <c r="P167" s="2"/>
      <c r="Q167" s="2"/>
    </row>
    <row r="168" spans="1:17" ht="12.95" customHeight="1" x14ac:dyDescent="0.2">
      <c r="A168" s="2" t="s">
        <v>39</v>
      </c>
      <c r="B168" s="2" t="s">
        <v>22</v>
      </c>
      <c r="C168" s="2"/>
      <c r="D168" s="2"/>
      <c r="E168" s="3"/>
      <c r="F168" s="2"/>
      <c r="G168" s="2"/>
      <c r="H168" s="2" t="s">
        <v>46</v>
      </c>
      <c r="I168" s="12" t="s">
        <v>46</v>
      </c>
      <c r="J168" s="2"/>
      <c r="K168" s="2"/>
      <c r="L168" s="2"/>
      <c r="M168" s="2"/>
      <c r="N168" s="2"/>
      <c r="O168" s="2" t="s">
        <v>24</v>
      </c>
      <c r="P168" s="2" t="s">
        <v>25</v>
      </c>
      <c r="Q168" s="2"/>
    </row>
    <row r="169" spans="1:17" ht="12.95" customHeight="1" x14ac:dyDescent="0.2">
      <c r="A169" s="2" t="s">
        <v>40</v>
      </c>
      <c r="B169" s="2" t="s">
        <v>27</v>
      </c>
      <c r="C169" s="2"/>
      <c r="D169" s="2"/>
      <c r="E169" s="3"/>
      <c r="F169" s="2"/>
      <c r="G169" s="2"/>
      <c r="H169" s="2"/>
      <c r="I169" s="13"/>
      <c r="J169" s="2"/>
      <c r="K169" s="2"/>
      <c r="L169" s="2"/>
      <c r="M169" s="2"/>
      <c r="N169" s="2"/>
      <c r="O169" s="2" t="s">
        <v>28</v>
      </c>
      <c r="P169" s="2" t="s">
        <v>25</v>
      </c>
      <c r="Q169" s="2"/>
    </row>
    <row r="170" spans="1:17" ht="12.95" customHeight="1" x14ac:dyDescent="0.2">
      <c r="A170" s="2" t="s">
        <v>41</v>
      </c>
      <c r="B170" s="2" t="s">
        <v>42</v>
      </c>
      <c r="C170" s="2" t="s">
        <v>299</v>
      </c>
      <c r="D170" s="2" t="s">
        <v>243</v>
      </c>
      <c r="E170" s="3" t="s">
        <v>300</v>
      </c>
      <c r="F170" s="2" t="s">
        <v>46</v>
      </c>
      <c r="G170" s="2" t="s">
        <v>301</v>
      </c>
      <c r="H170" s="2" t="s">
        <v>201</v>
      </c>
      <c r="I170" s="13"/>
      <c r="J170" s="2" t="s">
        <v>48</v>
      </c>
      <c r="K170" s="2" t="s">
        <v>302</v>
      </c>
      <c r="L170" s="2"/>
      <c r="M170" s="2" t="s">
        <v>160</v>
      </c>
      <c r="N170" s="2" t="s">
        <v>282</v>
      </c>
      <c r="O170" s="2"/>
      <c r="P170" s="2"/>
      <c r="Q170" s="2"/>
    </row>
    <row r="171" spans="1:17" ht="12.95" customHeight="1" x14ac:dyDescent="0.2">
      <c r="A171" s="4" t="s">
        <v>51</v>
      </c>
      <c r="B171" s="4" t="s">
        <v>31</v>
      </c>
      <c r="C171" s="4"/>
      <c r="D171" s="4"/>
      <c r="E171" s="3"/>
      <c r="F171" s="4"/>
      <c r="G171" s="4"/>
      <c r="H171" s="4"/>
      <c r="I171" s="35"/>
      <c r="J171" s="4"/>
      <c r="K171" s="4"/>
      <c r="L171" s="4"/>
      <c r="M171" s="4"/>
      <c r="N171" s="4"/>
      <c r="O171" s="4"/>
      <c r="P171" s="4"/>
      <c r="Q171" s="4"/>
    </row>
    <row r="172" spans="1:17" ht="12.95" customHeight="1" x14ac:dyDescent="0.2">
      <c r="A172" s="4" t="s">
        <v>52</v>
      </c>
      <c r="B172" s="4" t="s">
        <v>31</v>
      </c>
      <c r="C172" s="4"/>
      <c r="D172" s="4"/>
      <c r="E172" s="3"/>
      <c r="F172" s="4"/>
      <c r="G172" s="4"/>
      <c r="H172" s="4"/>
      <c r="I172" s="35"/>
      <c r="J172" s="4"/>
      <c r="K172" s="4"/>
      <c r="L172" s="4"/>
      <c r="M172" s="4"/>
      <c r="N172" s="4"/>
      <c r="O172" s="4"/>
      <c r="P172" s="4"/>
      <c r="Q172" s="4"/>
    </row>
    <row r="173" spans="1:17" x14ac:dyDescent="0.2">
      <c r="A173" s="4" t="s">
        <v>33</v>
      </c>
      <c r="B173" s="4" t="s">
        <v>34</v>
      </c>
      <c r="C173" s="4" t="s">
        <v>34</v>
      </c>
      <c r="D173" s="4" t="s">
        <v>34</v>
      </c>
      <c r="E173" s="4" t="s">
        <v>300</v>
      </c>
      <c r="F173" s="4" t="s">
        <v>46</v>
      </c>
      <c r="G173" s="4" t="s">
        <v>301</v>
      </c>
      <c r="H173" s="4" t="s">
        <v>303</v>
      </c>
      <c r="I173" s="35" t="s">
        <v>46</v>
      </c>
      <c r="J173" s="4" t="s">
        <v>48</v>
      </c>
      <c r="K173" s="4" t="s">
        <v>302</v>
      </c>
      <c r="L173" s="4"/>
      <c r="M173" s="4" t="s">
        <v>160</v>
      </c>
      <c r="N173" s="4" t="s">
        <v>282</v>
      </c>
      <c r="O173" s="4"/>
      <c r="P173" s="4"/>
      <c r="Q173" s="4"/>
    </row>
    <row r="174" spans="1:17" ht="12.95" customHeight="1" x14ac:dyDescent="0.2">
      <c r="A174" s="2" t="s">
        <v>54</v>
      </c>
      <c r="B174" s="2" t="s">
        <v>42</v>
      </c>
      <c r="C174" s="2" t="s">
        <v>304</v>
      </c>
      <c r="D174" s="2" t="s">
        <v>305</v>
      </c>
      <c r="E174" s="3" t="s">
        <v>306</v>
      </c>
      <c r="F174" s="2" t="s">
        <v>46</v>
      </c>
      <c r="G174" s="2" t="s">
        <v>307</v>
      </c>
      <c r="H174" s="2" t="s">
        <v>201</v>
      </c>
      <c r="I174" s="13"/>
      <c r="J174" s="2" t="s">
        <v>48</v>
      </c>
      <c r="K174" s="2" t="s">
        <v>232</v>
      </c>
      <c r="L174" s="2"/>
      <c r="M174" s="2" t="s">
        <v>308</v>
      </c>
      <c r="N174" s="2" t="s">
        <v>212</v>
      </c>
      <c r="O174" s="2"/>
      <c r="P174" s="2"/>
      <c r="Q174" s="2"/>
    </row>
    <row r="175" spans="1:17" ht="12.95" customHeight="1" x14ac:dyDescent="0.2">
      <c r="A175" s="2" t="s">
        <v>61</v>
      </c>
      <c r="B175" s="2" t="s">
        <v>42</v>
      </c>
      <c r="C175" s="2" t="s">
        <v>304</v>
      </c>
      <c r="D175" s="2" t="s">
        <v>309</v>
      </c>
      <c r="E175" s="3" t="s">
        <v>310</v>
      </c>
      <c r="F175" s="2"/>
      <c r="G175" s="2" t="s">
        <v>310</v>
      </c>
      <c r="H175" s="2" t="s">
        <v>201</v>
      </c>
      <c r="I175" s="13"/>
      <c r="J175" s="2" t="s">
        <v>48</v>
      </c>
      <c r="K175" s="2" t="s">
        <v>272</v>
      </c>
      <c r="L175" s="2" t="s">
        <v>66</v>
      </c>
      <c r="M175" s="2" t="s">
        <v>311</v>
      </c>
      <c r="N175" s="2" t="s">
        <v>212</v>
      </c>
      <c r="O175" s="2"/>
      <c r="P175" s="2"/>
      <c r="Q175" s="2"/>
    </row>
    <row r="176" spans="1:17" ht="12.95" customHeight="1" x14ac:dyDescent="0.2">
      <c r="A176" s="2" t="s">
        <v>61</v>
      </c>
      <c r="B176" s="2" t="s">
        <v>42</v>
      </c>
      <c r="C176" s="2" t="s">
        <v>312</v>
      </c>
      <c r="D176" s="2" t="s">
        <v>313</v>
      </c>
      <c r="E176" s="3" t="s">
        <v>314</v>
      </c>
      <c r="F176" s="2" t="s">
        <v>46</v>
      </c>
      <c r="G176" s="2" t="s">
        <v>315</v>
      </c>
      <c r="H176" s="2"/>
      <c r="I176" s="13"/>
      <c r="J176" s="2"/>
      <c r="K176" s="2"/>
      <c r="L176" s="2" t="s">
        <v>315</v>
      </c>
      <c r="M176" s="2" t="s">
        <v>315</v>
      </c>
      <c r="N176" s="2"/>
      <c r="O176" s="2"/>
      <c r="P176" s="2"/>
      <c r="Q176" s="2"/>
    </row>
    <row r="177" spans="1:17" ht="12.95" customHeight="1" x14ac:dyDescent="0.2">
      <c r="A177" s="2" t="s">
        <v>68</v>
      </c>
      <c r="B177" s="2" t="s">
        <v>42</v>
      </c>
      <c r="C177" s="2" t="s">
        <v>316</v>
      </c>
      <c r="D177" s="2" t="s">
        <v>195</v>
      </c>
      <c r="E177" s="3" t="s">
        <v>317</v>
      </c>
      <c r="F177" s="2" t="s">
        <v>46</v>
      </c>
      <c r="G177" s="2" t="s">
        <v>184</v>
      </c>
      <c r="H177" s="2" t="s">
        <v>201</v>
      </c>
      <c r="I177" s="13"/>
      <c r="J177" s="2" t="s">
        <v>48</v>
      </c>
      <c r="K177" s="2" t="s">
        <v>318</v>
      </c>
      <c r="L177" s="2"/>
      <c r="M177" s="2" t="s">
        <v>319</v>
      </c>
      <c r="N177" s="2" t="s">
        <v>320</v>
      </c>
      <c r="O177" s="2"/>
      <c r="P177" s="2"/>
      <c r="Q177" s="2"/>
    </row>
    <row r="178" spans="1:17" ht="12.95" customHeight="1" x14ac:dyDescent="0.2">
      <c r="A178" s="2" t="s">
        <v>75</v>
      </c>
      <c r="B178" s="2" t="s">
        <v>42</v>
      </c>
      <c r="C178" s="2" t="s">
        <v>304</v>
      </c>
      <c r="D178" s="2" t="s">
        <v>321</v>
      </c>
      <c r="E178" s="3" t="s">
        <v>322</v>
      </c>
      <c r="F178" s="2" t="s">
        <v>46</v>
      </c>
      <c r="G178" s="2" t="s">
        <v>197</v>
      </c>
      <c r="H178" s="2" t="s">
        <v>201</v>
      </c>
      <c r="I178" s="13"/>
      <c r="J178" s="2" t="s">
        <v>48</v>
      </c>
      <c r="K178" s="2" t="s">
        <v>323</v>
      </c>
      <c r="L178" s="2"/>
      <c r="M178" s="2" t="s">
        <v>324</v>
      </c>
      <c r="N178" s="2" t="s">
        <v>212</v>
      </c>
      <c r="O178" s="2"/>
      <c r="P178" s="2"/>
      <c r="Q178" s="2"/>
    </row>
    <row r="179" spans="1:17" ht="12.95" customHeight="1" x14ac:dyDescent="0.2">
      <c r="A179" s="2" t="s">
        <v>81</v>
      </c>
      <c r="B179" s="2" t="s">
        <v>42</v>
      </c>
      <c r="C179" s="2" t="s">
        <v>325</v>
      </c>
      <c r="D179" s="2" t="s">
        <v>326</v>
      </c>
      <c r="E179" s="3" t="s">
        <v>208</v>
      </c>
      <c r="F179" s="2" t="s">
        <v>46</v>
      </c>
      <c r="G179" s="2" t="s">
        <v>327</v>
      </c>
      <c r="H179" s="2" t="s">
        <v>201</v>
      </c>
      <c r="I179" s="13"/>
      <c r="J179" s="2" t="s">
        <v>48</v>
      </c>
      <c r="K179" s="2" t="s">
        <v>328</v>
      </c>
      <c r="L179" s="2"/>
      <c r="M179" s="2" t="s">
        <v>287</v>
      </c>
      <c r="N179" s="2" t="s">
        <v>121</v>
      </c>
      <c r="O179" s="2"/>
      <c r="P179" s="2"/>
      <c r="Q179" s="2"/>
    </row>
    <row r="180" spans="1:17" ht="12.95" customHeight="1" x14ac:dyDescent="0.2">
      <c r="A180" s="4" t="s">
        <v>87</v>
      </c>
      <c r="B180" s="4" t="s">
        <v>31</v>
      </c>
      <c r="C180" s="4"/>
      <c r="D180" s="4"/>
      <c r="E180" s="3"/>
      <c r="F180" s="4"/>
      <c r="G180" s="4"/>
      <c r="H180" s="4"/>
      <c r="I180" s="35"/>
      <c r="J180" s="4"/>
      <c r="K180" s="4"/>
      <c r="L180" s="4"/>
      <c r="M180" s="4"/>
      <c r="N180" s="4"/>
      <c r="O180" s="4"/>
      <c r="P180" s="4"/>
      <c r="Q180" s="4"/>
    </row>
    <row r="181" spans="1:17" ht="12.95" customHeight="1" x14ac:dyDescent="0.2">
      <c r="A181" s="4" t="s">
        <v>88</v>
      </c>
      <c r="B181" s="4" t="s">
        <v>31</v>
      </c>
      <c r="C181" s="4"/>
      <c r="D181" s="4"/>
      <c r="E181" s="3"/>
      <c r="F181" s="4"/>
      <c r="G181" s="4"/>
      <c r="H181" s="4"/>
      <c r="I181" s="35"/>
      <c r="J181" s="4"/>
      <c r="K181" s="4"/>
      <c r="L181" s="4"/>
      <c r="M181" s="4"/>
      <c r="N181" s="4"/>
      <c r="O181" s="4"/>
      <c r="P181" s="4"/>
      <c r="Q181" s="4"/>
    </row>
    <row r="182" spans="1:17" x14ac:dyDescent="0.2">
      <c r="A182" s="4" t="s">
        <v>33</v>
      </c>
      <c r="B182" s="4" t="s">
        <v>34</v>
      </c>
      <c r="C182" s="4" t="s">
        <v>34</v>
      </c>
      <c r="D182" s="4" t="s">
        <v>34</v>
      </c>
      <c r="E182" s="4" t="s">
        <v>329</v>
      </c>
      <c r="F182" s="4" t="s">
        <v>90</v>
      </c>
      <c r="G182" s="4" t="s">
        <v>330</v>
      </c>
      <c r="H182" s="4" t="s">
        <v>331</v>
      </c>
      <c r="I182" s="35"/>
      <c r="J182" s="4" t="s">
        <v>92</v>
      </c>
      <c r="K182" s="4" t="s">
        <v>332</v>
      </c>
      <c r="L182" s="4" t="s">
        <v>250</v>
      </c>
      <c r="M182" s="4" t="s">
        <v>200</v>
      </c>
      <c r="N182" s="4" t="s">
        <v>333</v>
      </c>
      <c r="O182" s="4"/>
      <c r="P182" s="4"/>
      <c r="Q182" s="4"/>
    </row>
    <row r="183" spans="1:17" ht="12.95" customHeight="1" x14ac:dyDescent="0.2">
      <c r="A183" s="2" t="s">
        <v>97</v>
      </c>
      <c r="B183" s="2" t="s">
        <v>42</v>
      </c>
      <c r="C183" s="2" t="s">
        <v>334</v>
      </c>
      <c r="D183" s="2" t="s">
        <v>335</v>
      </c>
      <c r="E183" s="3" t="s">
        <v>307</v>
      </c>
      <c r="F183" s="2" t="s">
        <v>46</v>
      </c>
      <c r="G183" s="2" t="s">
        <v>336</v>
      </c>
      <c r="H183" s="2" t="s">
        <v>201</v>
      </c>
      <c r="I183" s="13"/>
      <c r="J183" s="2" t="s">
        <v>48</v>
      </c>
      <c r="K183" s="2" t="s">
        <v>337</v>
      </c>
      <c r="L183" s="2"/>
      <c r="M183" s="2" t="s">
        <v>273</v>
      </c>
      <c r="N183" s="2" t="s">
        <v>318</v>
      </c>
      <c r="O183" s="2"/>
      <c r="P183" s="2"/>
      <c r="Q183" s="2"/>
    </row>
    <row r="184" spans="1:17" ht="12.95" customHeight="1" x14ac:dyDescent="0.2">
      <c r="A184" s="2" t="s">
        <v>104</v>
      </c>
      <c r="B184" s="2" t="s">
        <v>42</v>
      </c>
      <c r="C184" s="2" t="s">
        <v>338</v>
      </c>
      <c r="D184" s="2" t="s">
        <v>269</v>
      </c>
      <c r="E184" s="3" t="s">
        <v>339</v>
      </c>
      <c r="F184" s="2" t="s">
        <v>46</v>
      </c>
      <c r="G184" s="2" t="s">
        <v>71</v>
      </c>
      <c r="H184" s="2" t="s">
        <v>125</v>
      </c>
      <c r="I184" s="13"/>
      <c r="J184" s="2" t="s">
        <v>48</v>
      </c>
      <c r="K184" s="2" t="s">
        <v>340</v>
      </c>
      <c r="L184" s="2"/>
      <c r="M184" s="2" t="s">
        <v>341</v>
      </c>
      <c r="N184" s="2" t="s">
        <v>342</v>
      </c>
      <c r="O184" s="2"/>
      <c r="P184" s="2" t="s">
        <v>111</v>
      </c>
      <c r="Q184" s="2"/>
    </row>
    <row r="185" spans="1:17" ht="12.95" customHeight="1" x14ac:dyDescent="0.2">
      <c r="A185" s="2" t="s">
        <v>112</v>
      </c>
      <c r="B185" s="2" t="s">
        <v>22</v>
      </c>
      <c r="C185" s="2"/>
      <c r="D185" s="2"/>
      <c r="E185" s="3"/>
      <c r="F185" s="2"/>
      <c r="G185" s="2"/>
      <c r="H185" s="2" t="s">
        <v>46</v>
      </c>
      <c r="I185" s="12" t="s">
        <v>46</v>
      </c>
      <c r="J185" s="2"/>
      <c r="K185" s="2"/>
      <c r="L185" s="2"/>
      <c r="M185" s="2"/>
      <c r="N185" s="2"/>
      <c r="O185" s="2" t="s">
        <v>24</v>
      </c>
      <c r="P185" s="2"/>
      <c r="Q185" s="2"/>
    </row>
    <row r="186" spans="1:17" ht="12.95" customHeight="1" x14ac:dyDescent="0.2">
      <c r="A186" s="2" t="s">
        <v>114</v>
      </c>
      <c r="B186" s="2" t="s">
        <v>27</v>
      </c>
      <c r="C186" s="2"/>
      <c r="D186" s="2"/>
      <c r="E186" s="3"/>
      <c r="F186" s="2"/>
      <c r="G186" s="2"/>
      <c r="H186" s="2"/>
      <c r="I186" s="13"/>
      <c r="J186" s="2"/>
      <c r="K186" s="2"/>
      <c r="L186" s="2"/>
      <c r="M186" s="2"/>
      <c r="N186" s="2"/>
      <c r="O186" s="2" t="s">
        <v>28</v>
      </c>
      <c r="P186" s="2" t="s">
        <v>111</v>
      </c>
      <c r="Q186" s="2"/>
    </row>
    <row r="187" spans="1:17" ht="12.95" customHeight="1" x14ac:dyDescent="0.2">
      <c r="A187" s="2" t="s">
        <v>115</v>
      </c>
      <c r="B187" s="2" t="s">
        <v>42</v>
      </c>
      <c r="C187" s="2" t="s">
        <v>343</v>
      </c>
      <c r="D187" s="2" t="s">
        <v>344</v>
      </c>
      <c r="E187" s="3" t="s">
        <v>345</v>
      </c>
      <c r="F187" s="2" t="s">
        <v>46</v>
      </c>
      <c r="G187" s="2" t="s">
        <v>346</v>
      </c>
      <c r="H187" s="2" t="s">
        <v>201</v>
      </c>
      <c r="I187" s="13"/>
      <c r="J187" s="2" t="s">
        <v>48</v>
      </c>
      <c r="K187" s="2" t="s">
        <v>103</v>
      </c>
      <c r="L187" s="2"/>
      <c r="M187" s="2" t="s">
        <v>347</v>
      </c>
      <c r="N187" s="2" t="s">
        <v>348</v>
      </c>
      <c r="O187" s="2"/>
      <c r="P187" s="2"/>
      <c r="Q187" s="2"/>
    </row>
    <row r="188" spans="1:17" ht="12.95" customHeight="1" x14ac:dyDescent="0.2">
      <c r="A188" s="4" t="s">
        <v>122</v>
      </c>
      <c r="B188" s="4" t="s">
        <v>31</v>
      </c>
      <c r="C188" s="4"/>
      <c r="D188" s="4"/>
      <c r="E188" s="3"/>
      <c r="F188" s="4"/>
      <c r="G188" s="4"/>
      <c r="H188" s="4"/>
      <c r="I188" s="35"/>
      <c r="J188" s="4"/>
      <c r="K188" s="4"/>
      <c r="L188" s="4"/>
      <c r="M188" s="4"/>
      <c r="N188" s="4"/>
      <c r="O188" s="4"/>
      <c r="P188" s="4"/>
      <c r="Q188" s="4"/>
    </row>
    <row r="189" spans="1:17" ht="12.95" customHeight="1" x14ac:dyDescent="0.2">
      <c r="A189" s="4" t="s">
        <v>123</v>
      </c>
      <c r="B189" s="4" t="s">
        <v>31</v>
      </c>
      <c r="C189" s="4"/>
      <c r="D189" s="4"/>
      <c r="E189" s="3"/>
      <c r="F189" s="4"/>
      <c r="G189" s="4"/>
      <c r="H189" s="4"/>
      <c r="I189" s="35"/>
      <c r="J189" s="4"/>
      <c r="K189" s="4"/>
      <c r="L189" s="4"/>
      <c r="M189" s="4"/>
      <c r="N189" s="4"/>
      <c r="O189" s="4"/>
      <c r="P189" s="4"/>
      <c r="Q189" s="4"/>
    </row>
    <row r="190" spans="1:17" x14ac:dyDescent="0.2">
      <c r="A190" s="4" t="s">
        <v>33</v>
      </c>
      <c r="B190" s="4" t="s">
        <v>34</v>
      </c>
      <c r="C190" s="4" t="s">
        <v>34</v>
      </c>
      <c r="D190" s="4" t="s">
        <v>34</v>
      </c>
      <c r="E190" s="4" t="s">
        <v>349</v>
      </c>
      <c r="F190" s="4" t="s">
        <v>125</v>
      </c>
      <c r="G190" s="4" t="s">
        <v>350</v>
      </c>
      <c r="H190" s="4" t="s">
        <v>351</v>
      </c>
      <c r="I190" s="35" t="s">
        <v>46</v>
      </c>
      <c r="J190" s="4" t="s">
        <v>352</v>
      </c>
      <c r="K190" s="4" t="s">
        <v>207</v>
      </c>
      <c r="L190" s="4"/>
      <c r="M190" s="4" t="s">
        <v>201</v>
      </c>
      <c r="N190" s="4" t="s">
        <v>353</v>
      </c>
      <c r="O190" s="4"/>
      <c r="P190" s="4"/>
      <c r="Q190" s="4"/>
    </row>
    <row r="191" spans="1:17" ht="12.95" customHeight="1" x14ac:dyDescent="0.2">
      <c r="A191" s="2" t="s">
        <v>131</v>
      </c>
      <c r="B191" s="2" t="s">
        <v>42</v>
      </c>
      <c r="C191" s="2" t="s">
        <v>354</v>
      </c>
      <c r="D191" s="2" t="s">
        <v>229</v>
      </c>
      <c r="E191" s="3" t="s">
        <v>163</v>
      </c>
      <c r="F191" s="2" t="s">
        <v>46</v>
      </c>
      <c r="G191" s="2" t="s">
        <v>355</v>
      </c>
      <c r="H191" s="2" t="s">
        <v>201</v>
      </c>
      <c r="I191" s="13" t="s">
        <v>272</v>
      </c>
      <c r="J191" s="2" t="s">
        <v>355</v>
      </c>
      <c r="K191" s="2"/>
      <c r="L191" s="2"/>
      <c r="M191" s="2"/>
      <c r="N191" s="2" t="s">
        <v>356</v>
      </c>
      <c r="O191" s="2"/>
      <c r="P191" s="2"/>
      <c r="Q191" s="2"/>
    </row>
    <row r="192" spans="1:17" ht="12.95" customHeight="1" x14ac:dyDescent="0.2">
      <c r="A192" s="2" t="s">
        <v>138</v>
      </c>
      <c r="B192" s="2" t="s">
        <v>42</v>
      </c>
      <c r="C192" s="2" t="s">
        <v>343</v>
      </c>
      <c r="D192" s="2" t="s">
        <v>357</v>
      </c>
      <c r="E192" s="3" t="s">
        <v>358</v>
      </c>
      <c r="F192" s="2" t="s">
        <v>46</v>
      </c>
      <c r="G192" s="2" t="s">
        <v>359</v>
      </c>
      <c r="H192" s="2" t="s">
        <v>201</v>
      </c>
      <c r="I192" s="13"/>
      <c r="J192" s="2" t="s">
        <v>48</v>
      </c>
      <c r="K192" s="2" t="s">
        <v>360</v>
      </c>
      <c r="L192" s="2"/>
      <c r="M192" s="2" t="s">
        <v>212</v>
      </c>
      <c r="N192" s="2" t="s">
        <v>348</v>
      </c>
      <c r="O192" s="2"/>
      <c r="P192" s="2"/>
      <c r="Q192" s="2"/>
    </row>
    <row r="193" spans="1:17" ht="12.95" customHeight="1" x14ac:dyDescent="0.2">
      <c r="A193" s="2" t="s">
        <v>143</v>
      </c>
      <c r="B193" s="2" t="s">
        <v>42</v>
      </c>
      <c r="C193" s="2" t="s">
        <v>361</v>
      </c>
      <c r="D193" s="2" t="s">
        <v>362</v>
      </c>
      <c r="E193" s="3" t="s">
        <v>322</v>
      </c>
      <c r="F193" s="2" t="s">
        <v>46</v>
      </c>
      <c r="G193" s="2" t="s">
        <v>197</v>
      </c>
      <c r="H193" s="2" t="s">
        <v>201</v>
      </c>
      <c r="I193" s="13"/>
      <c r="J193" s="2" t="s">
        <v>48</v>
      </c>
      <c r="K193" s="2" t="s">
        <v>323</v>
      </c>
      <c r="L193" s="2"/>
      <c r="M193" s="2" t="s">
        <v>324</v>
      </c>
      <c r="N193" s="2" t="s">
        <v>314</v>
      </c>
      <c r="O193" s="2"/>
      <c r="P193" s="2"/>
      <c r="Q193" s="2"/>
    </row>
    <row r="194" spans="1:17" ht="12.95" customHeight="1" x14ac:dyDescent="0.2">
      <c r="A194" s="2" t="s">
        <v>148</v>
      </c>
      <c r="B194" s="2" t="s">
        <v>42</v>
      </c>
      <c r="C194" s="2" t="s">
        <v>316</v>
      </c>
      <c r="D194" s="2" t="s">
        <v>363</v>
      </c>
      <c r="E194" s="3" t="s">
        <v>364</v>
      </c>
      <c r="F194" s="2" t="s">
        <v>46</v>
      </c>
      <c r="G194" s="2" t="s">
        <v>365</v>
      </c>
      <c r="H194" s="2" t="s">
        <v>201</v>
      </c>
      <c r="I194" s="13"/>
      <c r="J194" s="2" t="s">
        <v>48</v>
      </c>
      <c r="K194" s="2" t="s">
        <v>319</v>
      </c>
      <c r="L194" s="2"/>
      <c r="M194" s="2" t="s">
        <v>232</v>
      </c>
      <c r="N194" s="2" t="s">
        <v>320</v>
      </c>
      <c r="O194" s="2"/>
      <c r="P194" s="2"/>
      <c r="Q194" s="2"/>
    </row>
    <row r="195" spans="1:17" ht="12.95" customHeight="1" x14ac:dyDescent="0.2">
      <c r="A195" s="2" t="s">
        <v>155</v>
      </c>
      <c r="B195" s="2" t="s">
        <v>42</v>
      </c>
      <c r="C195" s="2" t="s">
        <v>366</v>
      </c>
      <c r="D195" s="2" t="s">
        <v>367</v>
      </c>
      <c r="E195" s="3" t="s">
        <v>339</v>
      </c>
      <c r="F195" s="2" t="s">
        <v>46</v>
      </c>
      <c r="G195" s="2" t="s">
        <v>71</v>
      </c>
      <c r="H195" s="2" t="s">
        <v>201</v>
      </c>
      <c r="I195" s="13"/>
      <c r="J195" s="2" t="s">
        <v>48</v>
      </c>
      <c r="K195" s="2" t="s">
        <v>340</v>
      </c>
      <c r="L195" s="2"/>
      <c r="M195" s="2" t="s">
        <v>368</v>
      </c>
      <c r="N195" s="2" t="s">
        <v>369</v>
      </c>
      <c r="O195" s="2"/>
      <c r="P195" s="2"/>
      <c r="Q195" s="2"/>
    </row>
    <row r="196" spans="1:17" ht="12.95" customHeight="1" x14ac:dyDescent="0.2">
      <c r="A196" s="8" t="s">
        <v>161</v>
      </c>
      <c r="B196" s="8"/>
      <c r="C196" s="8"/>
      <c r="D196" s="8"/>
      <c r="E196" s="5" t="s">
        <v>370</v>
      </c>
      <c r="F196" s="5" t="s">
        <v>163</v>
      </c>
      <c r="G196" s="5" t="s">
        <v>371</v>
      </c>
      <c r="H196" s="5" t="s">
        <v>372</v>
      </c>
      <c r="I196" s="36" t="s">
        <v>356</v>
      </c>
      <c r="J196" s="5" t="s">
        <v>373</v>
      </c>
      <c r="K196" s="5" t="s">
        <v>374</v>
      </c>
      <c r="L196" s="5" t="s">
        <v>250</v>
      </c>
      <c r="M196" s="5" t="s">
        <v>375</v>
      </c>
      <c r="N196" s="5" t="s">
        <v>376</v>
      </c>
      <c r="O196" s="5"/>
      <c r="P196" s="5"/>
      <c r="Q196" s="5"/>
    </row>
    <row r="197" spans="1:17" ht="12.95" customHeight="1" x14ac:dyDescent="0.2">
      <c r="A197" s="8" t="s">
        <v>171</v>
      </c>
      <c r="B197" s="8"/>
      <c r="C197" s="8"/>
      <c r="D197" s="8"/>
      <c r="E197" s="5" t="s">
        <v>370</v>
      </c>
      <c r="F197" s="5" t="s">
        <v>163</v>
      </c>
      <c r="G197" s="5" t="s">
        <v>371</v>
      </c>
      <c r="H197" s="5" t="s">
        <v>372</v>
      </c>
      <c r="I197" s="36" t="s">
        <v>296</v>
      </c>
      <c r="J197" s="5" t="s">
        <v>373</v>
      </c>
      <c r="K197" s="5" t="s">
        <v>374</v>
      </c>
      <c r="L197" s="5" t="s">
        <v>250</v>
      </c>
      <c r="M197" s="5" t="s">
        <v>375</v>
      </c>
      <c r="N197" s="5" t="s">
        <v>376</v>
      </c>
      <c r="O197" s="5"/>
      <c r="P197" s="5"/>
      <c r="Q197" s="5"/>
    </row>
    <row r="198" spans="1:17" ht="12.95" customHeight="1" x14ac:dyDescent="0.2">
      <c r="A198" s="8" t="s">
        <v>173</v>
      </c>
      <c r="B198" s="8"/>
      <c r="C198" s="8"/>
      <c r="D198" s="8"/>
      <c r="E198" s="5">
        <v>136.65</v>
      </c>
      <c r="F198" s="5">
        <v>7</v>
      </c>
      <c r="G198" s="5">
        <v>129.65</v>
      </c>
      <c r="H198" s="5">
        <v>113.5</v>
      </c>
      <c r="I198" s="36">
        <v>0</v>
      </c>
      <c r="J198" s="5">
        <v>115.7</v>
      </c>
      <c r="K198" s="5">
        <v>13.5</v>
      </c>
      <c r="L198" s="5">
        <v>0.45</v>
      </c>
      <c r="M198" s="5">
        <v>19.649999999999999</v>
      </c>
      <c r="N198" s="5">
        <v>14.85</v>
      </c>
      <c r="O198" s="5"/>
      <c r="P198" s="5"/>
      <c r="Q198" s="5"/>
    </row>
    <row r="199" spans="1:17" x14ac:dyDescent="0.2">
      <c r="I199" s="37"/>
    </row>
    <row r="200" spans="1:17" ht="12.95" customHeight="1" x14ac:dyDescent="0.2">
      <c r="A200" s="9" t="s">
        <v>174</v>
      </c>
      <c r="B200" s="9"/>
      <c r="C200" s="9"/>
      <c r="E200" s="9" t="s">
        <v>180</v>
      </c>
      <c r="F200" s="9"/>
      <c r="G200" s="9"/>
      <c r="I200" s="9" t="s">
        <v>181</v>
      </c>
      <c r="J200" s="9"/>
      <c r="K200" s="9"/>
    </row>
    <row r="201" spans="1:17" ht="12.95" customHeight="1" x14ac:dyDescent="0.2">
      <c r="A201" s="10" t="s">
        <v>175</v>
      </c>
      <c r="B201" s="10"/>
      <c r="C201" s="6">
        <v>14</v>
      </c>
      <c r="E201" s="10" t="s">
        <v>14</v>
      </c>
      <c r="F201" s="10"/>
      <c r="G201" s="6">
        <v>115.7</v>
      </c>
      <c r="I201" s="10" t="s">
        <v>264</v>
      </c>
      <c r="J201" s="10"/>
      <c r="K201" s="43">
        <v>2</v>
      </c>
    </row>
    <row r="202" spans="1:17" ht="12.95" customHeight="1" x14ac:dyDescent="0.2">
      <c r="A202" s="10" t="s">
        <v>1531</v>
      </c>
      <c r="B202" s="10"/>
      <c r="C202" s="6">
        <v>22</v>
      </c>
      <c r="E202" s="10" t="s">
        <v>15</v>
      </c>
      <c r="F202" s="10"/>
      <c r="G202" s="6">
        <v>13.5</v>
      </c>
      <c r="I202" s="10" t="s">
        <v>27</v>
      </c>
      <c r="J202" s="10"/>
      <c r="K202" s="26">
        <v>3</v>
      </c>
    </row>
    <row r="203" spans="1:17" ht="12.95" customHeight="1" x14ac:dyDescent="0.2">
      <c r="A203" s="10" t="s">
        <v>176</v>
      </c>
      <c r="B203" s="10"/>
      <c r="C203" s="6">
        <v>136.65</v>
      </c>
      <c r="E203" s="10" t="s">
        <v>267</v>
      </c>
      <c r="F203" s="10"/>
      <c r="G203" s="6">
        <v>0.45</v>
      </c>
      <c r="I203" s="10" t="s">
        <v>22</v>
      </c>
      <c r="J203" s="10"/>
      <c r="K203" s="26">
        <v>3</v>
      </c>
    </row>
    <row r="204" spans="1:17" ht="12.95" customHeight="1" x14ac:dyDescent="0.2">
      <c r="A204" s="10" t="s">
        <v>177</v>
      </c>
      <c r="B204" s="10"/>
      <c r="C204" s="6">
        <v>113.5</v>
      </c>
      <c r="I204" s="39" t="s">
        <v>1591</v>
      </c>
      <c r="J204" s="19"/>
      <c r="K204" s="20">
        <v>1.5</v>
      </c>
    </row>
    <row r="205" spans="1:17" ht="12.95" customHeight="1" x14ac:dyDescent="0.2">
      <c r="A205" s="10" t="s">
        <v>11</v>
      </c>
      <c r="B205" s="10"/>
      <c r="C205" s="6">
        <v>129.65</v>
      </c>
      <c r="I205" s="39" t="s">
        <v>1592</v>
      </c>
      <c r="J205" s="19"/>
      <c r="K205" s="20">
        <v>0</v>
      </c>
    </row>
    <row r="206" spans="1:17" ht="12.95" customHeight="1" x14ac:dyDescent="0.25">
      <c r="A206" s="10" t="s">
        <v>178</v>
      </c>
      <c r="B206" s="10"/>
      <c r="C206" s="30">
        <v>3.5</v>
      </c>
      <c r="I206" s="41" t="s">
        <v>1593</v>
      </c>
      <c r="J206" s="40"/>
      <c r="K206" s="42">
        <f>K201+K204+K205</f>
        <v>3.5</v>
      </c>
    </row>
    <row r="207" spans="1:17" ht="12.95" customHeight="1" x14ac:dyDescent="0.2">
      <c r="A207" s="28" t="s">
        <v>1571</v>
      </c>
      <c r="B207" s="27"/>
      <c r="C207" s="31">
        <v>-1.5</v>
      </c>
    </row>
    <row r="208" spans="1:17" ht="12.95" customHeight="1" x14ac:dyDescent="0.2">
      <c r="A208" s="29" t="s">
        <v>1572</v>
      </c>
      <c r="B208" s="29"/>
      <c r="C208" s="32">
        <f>C206+C207</f>
        <v>2</v>
      </c>
    </row>
    <row r="209" spans="1:15" x14ac:dyDescent="0.2">
      <c r="A209" s="10" t="s">
        <v>10</v>
      </c>
      <c r="B209" s="10"/>
      <c r="C209" s="6">
        <v>7</v>
      </c>
    </row>
    <row r="210" spans="1:15" x14ac:dyDescent="0.2">
      <c r="A210" t="s">
        <v>1615</v>
      </c>
      <c r="C210" cm="1">
        <f t="array" ref="C210">IFERROR(SUMPRODUCT(ISNUMBER(SEARCH("מילואים",O161:O199))*(C161:C199&lt;&gt;"")*(J161:J199+0))*24,0)</f>
        <v>0</v>
      </c>
    </row>
    <row r="211" spans="1:15" ht="12.95" customHeight="1" x14ac:dyDescent="0.2">
      <c r="A211" s="7" t="s">
        <v>377</v>
      </c>
      <c r="B211" s="7"/>
      <c r="C211" s="7"/>
      <c r="D211" s="7" t="s">
        <v>1</v>
      </c>
      <c r="E211" s="7"/>
      <c r="F211" s="7"/>
      <c r="G211" s="7"/>
      <c r="H211" s="7" t="s">
        <v>2</v>
      </c>
      <c r="I211" s="7"/>
      <c r="J211" s="7"/>
      <c r="K211" s="7"/>
      <c r="L211" s="7"/>
      <c r="M211" s="7" t="s">
        <v>378</v>
      </c>
      <c r="N211" s="7"/>
    </row>
    <row r="212" spans="1:15" ht="12.95" customHeight="1" x14ac:dyDescent="0.2">
      <c r="A212" s="7" t="s">
        <v>3</v>
      </c>
      <c r="B212" s="7"/>
      <c r="C212" s="7"/>
      <c r="D212" s="7"/>
      <c r="E212" s="7"/>
      <c r="F212" s="7">
        <v>95</v>
      </c>
      <c r="G212" s="7"/>
      <c r="H212" s="7" t="s">
        <v>183</v>
      </c>
      <c r="I212" s="7"/>
      <c r="J212" s="7"/>
      <c r="K212" s="7"/>
      <c r="L212" s="7"/>
      <c r="M212" s="7"/>
      <c r="N212" s="7"/>
    </row>
    <row r="213" spans="1:15" ht="22.5" customHeight="1" x14ac:dyDescent="0.2">
      <c r="A213" s="1" t="s">
        <v>5</v>
      </c>
      <c r="B213" s="1" t="s">
        <v>6</v>
      </c>
      <c r="C213" s="1" t="s">
        <v>7</v>
      </c>
      <c r="D213" s="1" t="s">
        <v>8</v>
      </c>
      <c r="E213" s="1" t="s">
        <v>9</v>
      </c>
      <c r="F213" s="1" t="s">
        <v>10</v>
      </c>
      <c r="G213" s="1" t="s">
        <v>11</v>
      </c>
      <c r="H213" s="1" t="s">
        <v>12</v>
      </c>
      <c r="I213" s="1" t="s">
        <v>13</v>
      </c>
      <c r="J213" s="1" t="s">
        <v>16</v>
      </c>
      <c r="K213" s="1" t="s">
        <v>17</v>
      </c>
      <c r="L213" s="1" t="s">
        <v>18</v>
      </c>
      <c r="M213" s="1" t="s">
        <v>19</v>
      </c>
      <c r="N213" s="1" t="s">
        <v>20</v>
      </c>
      <c r="O213" s="106" t="s">
        <v>1767</v>
      </c>
    </row>
    <row r="214" spans="1:15" ht="12.95" customHeight="1" x14ac:dyDescent="0.2">
      <c r="A214" s="2" t="s">
        <v>21</v>
      </c>
      <c r="B214" s="2" t="s">
        <v>22</v>
      </c>
      <c r="C214" s="2"/>
      <c r="D214" s="2"/>
      <c r="E214" s="3"/>
      <c r="F214" s="2"/>
      <c r="G214" s="2"/>
      <c r="H214" s="2" t="s">
        <v>46</v>
      </c>
      <c r="I214" s="13">
        <v>0</v>
      </c>
      <c r="J214" s="2"/>
      <c r="K214" s="2"/>
      <c r="L214" s="151" t="s">
        <v>1539</v>
      </c>
      <c r="M214" s="2" t="s">
        <v>25</v>
      </c>
      <c r="N214" s="2"/>
    </row>
    <row r="215" spans="1:15" ht="12.95" customHeight="1" x14ac:dyDescent="0.2">
      <c r="A215" s="2" t="s">
        <v>26</v>
      </c>
      <c r="B215" s="2" t="s">
        <v>27</v>
      </c>
      <c r="C215" s="2"/>
      <c r="D215" s="2"/>
      <c r="E215" s="3"/>
      <c r="F215" s="2"/>
      <c r="G215" s="2"/>
      <c r="H215" s="2"/>
      <c r="I215" s="13">
        <v>0</v>
      </c>
      <c r="J215" s="2"/>
      <c r="K215" s="2"/>
      <c r="L215" s="151" t="s">
        <v>1539</v>
      </c>
      <c r="M215" s="2" t="s">
        <v>29</v>
      </c>
      <c r="N215" s="2"/>
    </row>
    <row r="216" spans="1:15" ht="12.95" customHeight="1" x14ac:dyDescent="0.2">
      <c r="A216" s="4" t="s">
        <v>30</v>
      </c>
      <c r="B216" s="4" t="s">
        <v>31</v>
      </c>
      <c r="C216" s="4"/>
      <c r="D216" s="4"/>
      <c r="E216" s="3"/>
      <c r="F216" s="4"/>
      <c r="G216" s="4"/>
      <c r="H216" s="4"/>
      <c r="I216" s="35"/>
      <c r="J216" s="4"/>
      <c r="K216" s="4"/>
      <c r="L216" s="4"/>
      <c r="M216" s="4"/>
      <c r="N216" s="4"/>
    </row>
    <row r="217" spans="1:15" ht="12.95" customHeight="1" x14ac:dyDescent="0.2">
      <c r="A217" s="4" t="s">
        <v>32</v>
      </c>
      <c r="B217" s="4" t="s">
        <v>31</v>
      </c>
      <c r="C217" s="4"/>
      <c r="D217" s="4"/>
      <c r="E217" s="3"/>
      <c r="F217" s="4"/>
      <c r="G217" s="4"/>
      <c r="H217" s="4"/>
      <c r="I217" s="35"/>
      <c r="J217" s="4"/>
      <c r="K217" s="4"/>
      <c r="L217" s="4"/>
      <c r="M217" s="4"/>
      <c r="N217" s="4"/>
    </row>
    <row r="218" spans="1:15" x14ac:dyDescent="0.2">
      <c r="A218" s="4" t="s">
        <v>33</v>
      </c>
      <c r="B218" s="4" t="s">
        <v>34</v>
      </c>
      <c r="C218" s="4" t="s">
        <v>34</v>
      </c>
      <c r="D218" s="4" t="s">
        <v>34</v>
      </c>
      <c r="E218" s="4"/>
      <c r="F218" s="4"/>
      <c r="G218" s="4"/>
      <c r="H218" s="4" t="s">
        <v>46</v>
      </c>
      <c r="I218" s="35" t="s">
        <v>46</v>
      </c>
      <c r="J218" s="4"/>
      <c r="K218" s="4"/>
      <c r="L218" s="4"/>
      <c r="M218" s="4"/>
      <c r="N218" s="4"/>
    </row>
    <row r="219" spans="1:15" ht="12.95" customHeight="1" x14ac:dyDescent="0.2">
      <c r="A219" s="2" t="s">
        <v>35</v>
      </c>
      <c r="B219" s="2" t="s">
        <v>36</v>
      </c>
      <c r="C219" s="2"/>
      <c r="D219" s="2"/>
      <c r="E219" s="3"/>
      <c r="F219" s="2"/>
      <c r="G219" s="2"/>
      <c r="H219" s="2"/>
      <c r="I219" s="13">
        <v>0</v>
      </c>
      <c r="J219" s="2"/>
      <c r="K219" s="2"/>
      <c r="L219" s="151" t="s">
        <v>1539</v>
      </c>
      <c r="M219" s="2"/>
      <c r="N219" s="2"/>
    </row>
    <row r="220" spans="1:15" ht="12.95" customHeight="1" x14ac:dyDescent="0.2">
      <c r="A220" s="2" t="s">
        <v>38</v>
      </c>
      <c r="B220" s="2" t="s">
        <v>36</v>
      </c>
      <c r="C220" s="2"/>
      <c r="D220" s="2"/>
      <c r="E220" s="3"/>
      <c r="F220" s="2"/>
      <c r="G220" s="2"/>
      <c r="H220" s="2"/>
      <c r="I220" s="13">
        <v>0</v>
      </c>
      <c r="J220" s="2"/>
      <c r="K220" s="2"/>
      <c r="L220" s="151" t="s">
        <v>1539</v>
      </c>
      <c r="M220" s="2"/>
      <c r="N220" s="2"/>
    </row>
    <row r="221" spans="1:15" ht="12.95" customHeight="1" x14ac:dyDescent="0.2">
      <c r="A221" s="2" t="s">
        <v>39</v>
      </c>
      <c r="B221" s="2" t="s">
        <v>22</v>
      </c>
      <c r="C221" s="2"/>
      <c r="D221" s="2"/>
      <c r="E221" s="3"/>
      <c r="F221" s="2"/>
      <c r="G221" s="2"/>
      <c r="H221" s="2" t="s">
        <v>46</v>
      </c>
      <c r="I221" s="13">
        <v>0</v>
      </c>
      <c r="J221" s="2"/>
      <c r="K221" s="2"/>
      <c r="L221" s="151" t="s">
        <v>1539</v>
      </c>
      <c r="M221" s="2" t="s">
        <v>25</v>
      </c>
      <c r="N221" s="2"/>
    </row>
    <row r="222" spans="1:15" ht="12.95" customHeight="1" x14ac:dyDescent="0.2">
      <c r="A222" s="2" t="s">
        <v>40</v>
      </c>
      <c r="B222" s="2" t="s">
        <v>27</v>
      </c>
      <c r="C222" s="2"/>
      <c r="D222" s="2"/>
      <c r="E222" s="3"/>
      <c r="F222" s="2"/>
      <c r="G222" s="2"/>
      <c r="H222" s="2"/>
      <c r="I222" s="13">
        <v>0</v>
      </c>
      <c r="J222" s="2"/>
      <c r="K222" s="2"/>
      <c r="L222" s="151" t="s">
        <v>1539</v>
      </c>
      <c r="M222" s="2" t="s">
        <v>25</v>
      </c>
      <c r="N222" s="2"/>
    </row>
    <row r="223" spans="1:15" ht="12.95" customHeight="1" x14ac:dyDescent="0.2">
      <c r="A223" s="2" t="s">
        <v>41</v>
      </c>
      <c r="B223" s="2" t="s">
        <v>42</v>
      </c>
      <c r="C223" s="2"/>
      <c r="D223" s="2"/>
      <c r="E223" s="3"/>
      <c r="F223" s="2"/>
      <c r="G223" s="2"/>
      <c r="H223" s="2" t="s">
        <v>201</v>
      </c>
      <c r="I223" s="13">
        <v>0</v>
      </c>
      <c r="J223" s="2"/>
      <c r="K223" s="2"/>
      <c r="L223" s="151" t="s">
        <v>1539</v>
      </c>
      <c r="M223" s="2"/>
      <c r="N223" s="2"/>
    </row>
    <row r="224" spans="1:15" ht="12.95" customHeight="1" x14ac:dyDescent="0.2">
      <c r="A224" s="4" t="s">
        <v>51</v>
      </c>
      <c r="B224" s="4" t="s">
        <v>31</v>
      </c>
      <c r="C224" s="4"/>
      <c r="D224" s="4"/>
      <c r="E224" s="3"/>
      <c r="F224" s="4"/>
      <c r="G224" s="4"/>
      <c r="H224" s="4"/>
      <c r="I224" s="35"/>
      <c r="J224" s="4"/>
      <c r="K224" s="4"/>
      <c r="L224" s="4"/>
      <c r="M224" s="4"/>
      <c r="N224" s="4"/>
    </row>
    <row r="225" spans="1:14" ht="12.95" customHeight="1" x14ac:dyDescent="0.2">
      <c r="A225" s="4" t="s">
        <v>52</v>
      </c>
      <c r="B225" s="4" t="s">
        <v>31</v>
      </c>
      <c r="C225" s="4"/>
      <c r="D225" s="4"/>
      <c r="E225" s="3"/>
      <c r="F225" s="4"/>
      <c r="G225" s="4"/>
      <c r="H225" s="4"/>
      <c r="I225" s="35"/>
      <c r="J225" s="4"/>
      <c r="K225" s="4"/>
      <c r="L225" s="4"/>
      <c r="M225" s="4"/>
      <c r="N225" s="4"/>
    </row>
    <row r="226" spans="1:14" x14ac:dyDescent="0.2">
      <c r="A226" s="4" t="s">
        <v>33</v>
      </c>
      <c r="B226" s="4" t="s">
        <v>34</v>
      </c>
      <c r="C226" s="4" t="s">
        <v>34</v>
      </c>
      <c r="D226" s="4" t="s">
        <v>34</v>
      </c>
      <c r="E226" s="4"/>
      <c r="F226" s="4"/>
      <c r="G226" s="4"/>
      <c r="H226" s="4" t="s">
        <v>303</v>
      </c>
      <c r="I226" s="35" t="s">
        <v>303</v>
      </c>
      <c r="J226" s="4"/>
      <c r="K226" s="4"/>
      <c r="L226" s="4"/>
      <c r="M226" s="4"/>
      <c r="N226" s="4"/>
    </row>
    <row r="227" spans="1:14" ht="12.95" customHeight="1" x14ac:dyDescent="0.2">
      <c r="A227" s="2" t="s">
        <v>54</v>
      </c>
      <c r="B227" s="2" t="s">
        <v>42</v>
      </c>
      <c r="C227" s="2"/>
      <c r="D227" s="2"/>
      <c r="E227" s="3"/>
      <c r="F227" s="2"/>
      <c r="G227" s="2"/>
      <c r="H227" s="2" t="s">
        <v>201</v>
      </c>
      <c r="I227" s="13">
        <v>0</v>
      </c>
      <c r="J227" s="2"/>
      <c r="K227" s="2"/>
      <c r="L227" s="151" t="s">
        <v>1539</v>
      </c>
      <c r="M227" s="2"/>
      <c r="N227" s="2"/>
    </row>
    <row r="228" spans="1:14" ht="12.95" customHeight="1" x14ac:dyDescent="0.2">
      <c r="A228" s="2" t="s">
        <v>61</v>
      </c>
      <c r="B228" s="2" t="s">
        <v>42</v>
      </c>
      <c r="C228" s="2"/>
      <c r="D228" s="2"/>
      <c r="E228" s="3"/>
      <c r="F228" s="2"/>
      <c r="G228" s="2"/>
      <c r="H228" s="2" t="s">
        <v>201</v>
      </c>
      <c r="I228" s="13">
        <v>0</v>
      </c>
      <c r="J228" s="2"/>
      <c r="K228" s="2"/>
      <c r="L228" s="151" t="s">
        <v>1539</v>
      </c>
      <c r="M228" s="2"/>
      <c r="N228" s="2"/>
    </row>
    <row r="229" spans="1:14" ht="12.95" customHeight="1" x14ac:dyDescent="0.2">
      <c r="A229" s="2" t="s">
        <v>68</v>
      </c>
      <c r="B229" s="2" t="s">
        <v>42</v>
      </c>
      <c r="C229" s="2"/>
      <c r="D229" s="2"/>
      <c r="E229" s="3"/>
      <c r="F229" s="2"/>
      <c r="G229" s="2"/>
      <c r="H229" s="2" t="s">
        <v>201</v>
      </c>
      <c r="I229" s="13">
        <v>0</v>
      </c>
      <c r="J229" s="2"/>
      <c r="K229" s="2"/>
      <c r="L229" s="151" t="s">
        <v>1539</v>
      </c>
      <c r="M229" s="2"/>
      <c r="N229" s="2"/>
    </row>
    <row r="230" spans="1:14" ht="12.95" customHeight="1" x14ac:dyDescent="0.2">
      <c r="A230" s="2" t="s">
        <v>75</v>
      </c>
      <c r="B230" s="2" t="s">
        <v>42</v>
      </c>
      <c r="C230" s="2"/>
      <c r="D230" s="2"/>
      <c r="E230" s="3"/>
      <c r="F230" s="2"/>
      <c r="G230" s="2"/>
      <c r="H230" s="2" t="s">
        <v>201</v>
      </c>
      <c r="I230" s="13">
        <v>0</v>
      </c>
      <c r="J230" s="2"/>
      <c r="K230" s="2"/>
      <c r="L230" s="151" t="s">
        <v>1539</v>
      </c>
      <c r="M230" s="2"/>
      <c r="N230" s="2"/>
    </row>
    <row r="231" spans="1:14" ht="12.95" customHeight="1" x14ac:dyDescent="0.2">
      <c r="A231" s="2" t="s">
        <v>81</v>
      </c>
      <c r="B231" s="2" t="s">
        <v>42</v>
      </c>
      <c r="C231" s="2"/>
      <c r="D231" s="2"/>
      <c r="E231" s="3"/>
      <c r="F231" s="2"/>
      <c r="G231" s="2"/>
      <c r="H231" s="2" t="s">
        <v>201</v>
      </c>
      <c r="I231" s="13">
        <v>0</v>
      </c>
      <c r="J231" s="2"/>
      <c r="K231" s="2"/>
      <c r="L231" s="151" t="s">
        <v>1539</v>
      </c>
      <c r="M231" s="2"/>
      <c r="N231" s="2"/>
    </row>
    <row r="232" spans="1:14" ht="12.95" customHeight="1" x14ac:dyDescent="0.2">
      <c r="A232" s="4" t="s">
        <v>87</v>
      </c>
      <c r="B232" s="4" t="s">
        <v>31</v>
      </c>
      <c r="C232" s="4"/>
      <c r="D232" s="4"/>
      <c r="E232" s="3"/>
      <c r="F232" s="4"/>
      <c r="G232" s="4"/>
      <c r="H232" s="4"/>
      <c r="I232" s="35"/>
      <c r="J232" s="4"/>
      <c r="K232" s="4"/>
      <c r="L232" s="4"/>
      <c r="M232" s="4"/>
      <c r="N232" s="4"/>
    </row>
    <row r="233" spans="1:14" ht="12.95" customHeight="1" x14ac:dyDescent="0.2">
      <c r="A233" s="4" t="s">
        <v>88</v>
      </c>
      <c r="B233" s="4" t="s">
        <v>31</v>
      </c>
      <c r="C233" s="4"/>
      <c r="D233" s="4"/>
      <c r="E233" s="3"/>
      <c r="F233" s="4"/>
      <c r="G233" s="4"/>
      <c r="H233" s="4"/>
      <c r="I233" s="35"/>
      <c r="J233" s="4"/>
      <c r="K233" s="4"/>
      <c r="L233" s="4"/>
      <c r="M233" s="4"/>
      <c r="N233" s="4"/>
    </row>
    <row r="234" spans="1:14" x14ac:dyDescent="0.2">
      <c r="A234" s="4" t="s">
        <v>33</v>
      </c>
      <c r="B234" s="4" t="s">
        <v>34</v>
      </c>
      <c r="C234" s="4" t="s">
        <v>34</v>
      </c>
      <c r="D234" s="4" t="s">
        <v>34</v>
      </c>
      <c r="E234" s="4"/>
      <c r="F234" s="4"/>
      <c r="G234" s="4"/>
      <c r="H234" s="4" t="s">
        <v>331</v>
      </c>
      <c r="I234" s="35" t="s">
        <v>331</v>
      </c>
      <c r="J234" s="4"/>
      <c r="K234" s="4"/>
      <c r="L234" s="4"/>
      <c r="M234" s="4"/>
      <c r="N234" s="4"/>
    </row>
    <row r="235" spans="1:14" ht="12.95" customHeight="1" x14ac:dyDescent="0.2">
      <c r="A235" s="2" t="s">
        <v>97</v>
      </c>
      <c r="B235" s="2" t="s">
        <v>42</v>
      </c>
      <c r="C235" s="2"/>
      <c r="D235" s="2"/>
      <c r="E235" s="3"/>
      <c r="F235" s="2"/>
      <c r="G235" s="2"/>
      <c r="H235" s="2" t="s">
        <v>201</v>
      </c>
      <c r="I235" s="13">
        <v>0</v>
      </c>
      <c r="J235" s="2"/>
      <c r="K235" s="2"/>
      <c r="L235" s="151" t="s">
        <v>1539</v>
      </c>
      <c r="M235" s="2"/>
      <c r="N235" s="2"/>
    </row>
    <row r="236" spans="1:14" ht="12.95" customHeight="1" x14ac:dyDescent="0.2">
      <c r="A236" s="2" t="s">
        <v>104</v>
      </c>
      <c r="B236" s="2" t="s">
        <v>42</v>
      </c>
      <c r="C236" s="2"/>
      <c r="D236" s="2"/>
      <c r="E236" s="3"/>
      <c r="F236" s="2"/>
      <c r="G236" s="2"/>
      <c r="H236" s="2" t="s">
        <v>125</v>
      </c>
      <c r="I236" s="13">
        <v>0</v>
      </c>
      <c r="J236" s="2"/>
      <c r="K236" s="2"/>
      <c r="L236" s="151" t="s">
        <v>1539</v>
      </c>
      <c r="M236" s="2"/>
      <c r="N236" s="2"/>
    </row>
    <row r="237" spans="1:14" ht="12.95" customHeight="1" x14ac:dyDescent="0.2">
      <c r="A237" s="2" t="s">
        <v>112</v>
      </c>
      <c r="B237" s="2" t="s">
        <v>22</v>
      </c>
      <c r="C237" s="2"/>
      <c r="D237" s="2"/>
      <c r="E237" s="3"/>
      <c r="F237" s="2"/>
      <c r="G237" s="2"/>
      <c r="H237" s="2" t="s">
        <v>227</v>
      </c>
      <c r="I237" s="13">
        <v>0</v>
      </c>
      <c r="J237" s="2"/>
      <c r="K237" s="2"/>
      <c r="L237" s="151" t="s">
        <v>1539</v>
      </c>
      <c r="M237" s="2" t="s">
        <v>111</v>
      </c>
      <c r="N237" s="2"/>
    </row>
    <row r="238" spans="1:14" ht="12.95" customHeight="1" x14ac:dyDescent="0.2">
      <c r="A238" s="2" t="s">
        <v>114</v>
      </c>
      <c r="B238" s="2" t="s">
        <v>27</v>
      </c>
      <c r="C238" s="2"/>
      <c r="D238" s="2"/>
      <c r="E238" s="3"/>
      <c r="F238" s="2"/>
      <c r="G238" s="2"/>
      <c r="H238" s="2"/>
      <c r="I238" s="13">
        <v>0</v>
      </c>
      <c r="J238" s="2"/>
      <c r="K238" s="2"/>
      <c r="L238" s="151" t="s">
        <v>1539</v>
      </c>
      <c r="M238" s="2" t="s">
        <v>111</v>
      </c>
      <c r="N238" s="2"/>
    </row>
    <row r="239" spans="1:14" ht="12.95" customHeight="1" x14ac:dyDescent="0.2">
      <c r="A239" s="2" t="s">
        <v>115</v>
      </c>
      <c r="B239" s="2" t="s">
        <v>42</v>
      </c>
      <c r="C239" s="2"/>
      <c r="D239" s="2"/>
      <c r="E239" s="3"/>
      <c r="F239" s="2"/>
      <c r="G239" s="2"/>
      <c r="H239" s="2" t="s">
        <v>201</v>
      </c>
      <c r="I239" s="13">
        <v>0</v>
      </c>
      <c r="J239" s="2"/>
      <c r="K239" s="2"/>
      <c r="L239" s="151" t="s">
        <v>1539</v>
      </c>
      <c r="M239" s="2"/>
      <c r="N239" s="2"/>
    </row>
    <row r="240" spans="1:14" ht="12.95" customHeight="1" x14ac:dyDescent="0.2">
      <c r="A240" s="4" t="s">
        <v>122</v>
      </c>
      <c r="B240" s="4" t="s">
        <v>31</v>
      </c>
      <c r="C240" s="4"/>
      <c r="D240" s="4"/>
      <c r="E240" s="3"/>
      <c r="F240" s="4"/>
      <c r="G240" s="4"/>
      <c r="H240" s="4"/>
      <c r="I240" s="35"/>
      <c r="J240" s="4"/>
      <c r="K240" s="4"/>
      <c r="L240" s="4"/>
      <c r="M240" s="4"/>
      <c r="N240" s="4"/>
    </row>
    <row r="241" spans="1:14" ht="12.95" customHeight="1" x14ac:dyDescent="0.2">
      <c r="A241" s="4" t="s">
        <v>123</v>
      </c>
      <c r="B241" s="4" t="s">
        <v>31</v>
      </c>
      <c r="C241" s="4"/>
      <c r="D241" s="4"/>
      <c r="E241" s="3"/>
      <c r="F241" s="4"/>
      <c r="G241" s="4"/>
      <c r="H241" s="4"/>
      <c r="I241" s="35"/>
      <c r="J241" s="4"/>
      <c r="K241" s="4"/>
      <c r="L241" s="4"/>
      <c r="M241" s="4"/>
      <c r="N241" s="4"/>
    </row>
    <row r="242" spans="1:14" x14ac:dyDescent="0.2">
      <c r="A242" s="4" t="s">
        <v>33</v>
      </c>
      <c r="B242" s="4" t="s">
        <v>34</v>
      </c>
      <c r="C242" s="4" t="s">
        <v>34</v>
      </c>
      <c r="D242" s="4" t="s">
        <v>34</v>
      </c>
      <c r="E242" s="4"/>
      <c r="F242" s="4"/>
      <c r="G242" s="4"/>
      <c r="H242" s="4" t="s">
        <v>230</v>
      </c>
      <c r="I242" s="35" t="s">
        <v>230</v>
      </c>
      <c r="J242" s="4"/>
      <c r="K242" s="4"/>
      <c r="L242" s="4"/>
      <c r="M242" s="4"/>
      <c r="N242" s="4"/>
    </row>
    <row r="243" spans="1:14" ht="12.95" customHeight="1" x14ac:dyDescent="0.2">
      <c r="A243" s="2" t="s">
        <v>131</v>
      </c>
      <c r="B243" s="2" t="s">
        <v>42</v>
      </c>
      <c r="C243" s="2"/>
      <c r="D243" s="2"/>
      <c r="E243" s="3"/>
      <c r="F243" s="2"/>
      <c r="G243" s="2"/>
      <c r="H243" s="2" t="s">
        <v>201</v>
      </c>
      <c r="I243" s="13">
        <v>0</v>
      </c>
      <c r="J243" s="2"/>
      <c r="K243" s="2"/>
      <c r="L243" s="151" t="s">
        <v>1539</v>
      </c>
      <c r="M243" s="2"/>
      <c r="N243" s="2"/>
    </row>
    <row r="244" spans="1:14" ht="12.95" customHeight="1" x14ac:dyDescent="0.2">
      <c r="A244" s="2" t="s">
        <v>138</v>
      </c>
      <c r="B244" s="2" t="s">
        <v>42</v>
      </c>
      <c r="C244" s="2"/>
      <c r="D244" s="2"/>
      <c r="E244" s="3"/>
      <c r="F244" s="2"/>
      <c r="G244" s="2"/>
      <c r="H244" s="2" t="s">
        <v>201</v>
      </c>
      <c r="I244" s="13">
        <v>0</v>
      </c>
      <c r="J244" s="2"/>
      <c r="K244" s="2"/>
      <c r="L244" s="151" t="s">
        <v>1539</v>
      </c>
      <c r="M244" s="2"/>
      <c r="N244" s="2"/>
    </row>
    <row r="245" spans="1:14" ht="12.95" customHeight="1" x14ac:dyDescent="0.2">
      <c r="A245" s="2" t="s">
        <v>143</v>
      </c>
      <c r="B245" s="2" t="s">
        <v>42</v>
      </c>
      <c r="C245" s="2"/>
      <c r="D245" s="2"/>
      <c r="E245" s="3"/>
      <c r="F245" s="2"/>
      <c r="G245" s="2"/>
      <c r="H245" s="2" t="s">
        <v>201</v>
      </c>
      <c r="I245" s="13">
        <v>0</v>
      </c>
      <c r="J245" s="2"/>
      <c r="K245" s="2"/>
      <c r="L245" s="151" t="s">
        <v>1539</v>
      </c>
      <c r="M245" s="2"/>
      <c r="N245" s="2"/>
    </row>
    <row r="246" spans="1:14" ht="12.95" customHeight="1" x14ac:dyDescent="0.2">
      <c r="A246" s="2" t="s">
        <v>148</v>
      </c>
      <c r="B246" s="2" t="s">
        <v>42</v>
      </c>
      <c r="C246" s="2"/>
      <c r="D246" s="2"/>
      <c r="E246" s="3"/>
      <c r="F246" s="2"/>
      <c r="G246" s="2"/>
      <c r="H246" s="2" t="s">
        <v>201</v>
      </c>
      <c r="I246" s="13">
        <v>0</v>
      </c>
      <c r="J246" s="2"/>
      <c r="K246" s="2"/>
      <c r="L246" s="151" t="s">
        <v>1539</v>
      </c>
      <c r="M246" s="2"/>
      <c r="N246" s="2"/>
    </row>
    <row r="247" spans="1:14" ht="12.95" customHeight="1" x14ac:dyDescent="0.2">
      <c r="A247" s="2" t="s">
        <v>155</v>
      </c>
      <c r="B247" s="2" t="s">
        <v>42</v>
      </c>
      <c r="C247" s="2"/>
      <c r="D247" s="2"/>
      <c r="E247" s="3"/>
      <c r="F247" s="2"/>
      <c r="G247" s="2"/>
      <c r="H247" s="2" t="s">
        <v>201</v>
      </c>
      <c r="I247" s="13">
        <v>0</v>
      </c>
      <c r="J247" s="2"/>
      <c r="K247" s="2"/>
      <c r="L247" s="151" t="s">
        <v>1539</v>
      </c>
      <c r="M247" s="2"/>
      <c r="N247" s="2"/>
    </row>
    <row r="248" spans="1:14" ht="12.95" customHeight="1" x14ac:dyDescent="0.2">
      <c r="A248" s="8" t="s">
        <v>161</v>
      </c>
      <c r="B248" s="8"/>
      <c r="C248" s="8"/>
      <c r="D248" s="8"/>
      <c r="E248" s="5" t="s">
        <v>296</v>
      </c>
      <c r="F248" s="5" t="s">
        <v>296</v>
      </c>
      <c r="G248" s="5" t="s">
        <v>296</v>
      </c>
      <c r="H248" s="5" t="s">
        <v>379</v>
      </c>
      <c r="I248" s="36" t="s">
        <v>379</v>
      </c>
      <c r="J248" s="5" t="s">
        <v>296</v>
      </c>
      <c r="K248" s="5" t="s">
        <v>296</v>
      </c>
      <c r="L248" s="5"/>
      <c r="M248" s="5"/>
      <c r="N248" s="5"/>
    </row>
    <row r="249" spans="1:14" ht="12.95" customHeight="1" x14ac:dyDescent="0.2">
      <c r="A249" s="8" t="s">
        <v>171</v>
      </c>
      <c r="B249" s="8"/>
      <c r="C249" s="8"/>
      <c r="D249" s="8"/>
      <c r="E249" s="5" t="s">
        <v>296</v>
      </c>
      <c r="F249" s="5" t="s">
        <v>296</v>
      </c>
      <c r="G249" s="5" t="s">
        <v>296</v>
      </c>
      <c r="H249" s="5" t="s">
        <v>379</v>
      </c>
      <c r="I249" s="36" t="s">
        <v>379</v>
      </c>
      <c r="J249" s="5" t="s">
        <v>296</v>
      </c>
      <c r="K249" s="5" t="s">
        <v>296</v>
      </c>
      <c r="L249" s="5"/>
      <c r="M249" s="5"/>
      <c r="N249" s="5"/>
    </row>
    <row r="250" spans="1:14" ht="12.95" customHeight="1" x14ac:dyDescent="0.2">
      <c r="A250" s="8" t="s">
        <v>173</v>
      </c>
      <c r="B250" s="8"/>
      <c r="C250" s="8"/>
      <c r="D250" s="8"/>
      <c r="E250" s="5">
        <v>0</v>
      </c>
      <c r="F250" s="5">
        <v>0</v>
      </c>
      <c r="G250" s="5">
        <v>0</v>
      </c>
      <c r="H250" s="5">
        <v>120.5</v>
      </c>
      <c r="I250" s="36">
        <v>120.5</v>
      </c>
      <c r="J250" s="5">
        <v>0</v>
      </c>
      <c r="K250" s="5">
        <v>0</v>
      </c>
      <c r="L250" s="5"/>
      <c r="M250" s="5"/>
      <c r="N250" s="5"/>
    </row>
    <row r="251" spans="1:14" x14ac:dyDescent="0.2">
      <c r="I251" s="37"/>
    </row>
    <row r="252" spans="1:14" ht="12.95" customHeight="1" x14ac:dyDescent="0.2">
      <c r="A252" s="9" t="s">
        <v>174</v>
      </c>
      <c r="B252" s="9"/>
      <c r="C252" s="9"/>
      <c r="E252" s="9" t="s">
        <v>180</v>
      </c>
      <c r="F252" s="9"/>
      <c r="G252" s="9"/>
      <c r="I252" s="9" t="s">
        <v>181</v>
      </c>
      <c r="J252" s="9"/>
      <c r="K252" s="9"/>
    </row>
    <row r="253" spans="1:14" ht="12.95" customHeight="1" x14ac:dyDescent="0.2">
      <c r="A253" s="10" t="s">
        <v>175</v>
      </c>
      <c r="B253" s="10"/>
      <c r="C253" s="6">
        <v>0</v>
      </c>
      <c r="I253" s="10" t="s">
        <v>1598</v>
      </c>
      <c r="J253" s="10"/>
      <c r="K253" s="6">
        <v>22</v>
      </c>
    </row>
    <row r="254" spans="1:14" ht="12.95" customHeight="1" x14ac:dyDescent="0.2">
      <c r="A254" s="10" t="s">
        <v>1531</v>
      </c>
      <c r="B254" s="10"/>
      <c r="C254" s="6">
        <v>22</v>
      </c>
      <c r="I254" s="10" t="s">
        <v>22</v>
      </c>
      <c r="J254" s="10"/>
      <c r="K254" s="6">
        <v>0</v>
      </c>
    </row>
    <row r="255" spans="1:14" ht="12.95" customHeight="1" x14ac:dyDescent="0.2">
      <c r="A255" s="10" t="s">
        <v>176</v>
      </c>
      <c r="B255" s="10"/>
      <c r="C255" s="6">
        <v>0</v>
      </c>
      <c r="I255" s="10" t="s">
        <v>36</v>
      </c>
      <c r="J255" s="10"/>
      <c r="K255" s="6">
        <v>0</v>
      </c>
    </row>
    <row r="256" spans="1:14" ht="12.95" customHeight="1" x14ac:dyDescent="0.2">
      <c r="A256" s="10" t="s">
        <v>177</v>
      </c>
      <c r="B256" s="10"/>
      <c r="C256" s="6">
        <v>120.5</v>
      </c>
      <c r="I256" s="39" t="s">
        <v>1591</v>
      </c>
      <c r="J256" s="19"/>
      <c r="K256" s="20">
        <v>0</v>
      </c>
    </row>
    <row r="257" spans="1:17" ht="12.95" customHeight="1" x14ac:dyDescent="0.2">
      <c r="A257" s="10" t="s">
        <v>11</v>
      </c>
      <c r="B257" s="10"/>
      <c r="C257" s="6">
        <v>0</v>
      </c>
      <c r="I257" s="39" t="s">
        <v>1592</v>
      </c>
      <c r="J257" s="19"/>
      <c r="K257" s="20">
        <v>0</v>
      </c>
    </row>
    <row r="258" spans="1:17" ht="12.95" customHeight="1" x14ac:dyDescent="0.25">
      <c r="A258" s="10" t="s">
        <v>178</v>
      </c>
      <c r="B258" s="10"/>
      <c r="C258" s="30">
        <v>0</v>
      </c>
      <c r="I258" s="41" t="s">
        <v>1593</v>
      </c>
      <c r="J258" s="40"/>
      <c r="K258" s="42">
        <f>K256+K257</f>
        <v>0</v>
      </c>
    </row>
    <row r="259" spans="1:17" ht="12.95" customHeight="1" x14ac:dyDescent="0.2">
      <c r="A259" s="28" t="s">
        <v>1571</v>
      </c>
      <c r="B259" s="27"/>
      <c r="C259" s="31">
        <v>0</v>
      </c>
    </row>
    <row r="260" spans="1:17" ht="12.95" customHeight="1" x14ac:dyDescent="0.2">
      <c r="A260" s="29" t="s">
        <v>1572</v>
      </c>
      <c r="B260" s="29"/>
      <c r="C260" s="32">
        <f>C258+C259</f>
        <v>0</v>
      </c>
    </row>
    <row r="261" spans="1:17" x14ac:dyDescent="0.2">
      <c r="A261" s="10" t="s">
        <v>10</v>
      </c>
      <c r="B261" s="10"/>
      <c r="C261" s="6">
        <v>0</v>
      </c>
    </row>
    <row r="263" spans="1:17" ht="12.95" customHeight="1" x14ac:dyDescent="0.2">
      <c r="A263" s="7" t="s">
        <v>380</v>
      </c>
      <c r="B263" s="7"/>
      <c r="C263" s="7"/>
      <c r="D263" s="7" t="s">
        <v>1</v>
      </c>
      <c r="E263" s="7"/>
      <c r="F263" s="7"/>
      <c r="G263" s="7"/>
      <c r="H263" s="7" t="s">
        <v>2</v>
      </c>
      <c r="I263" s="7"/>
      <c r="J263" s="7"/>
      <c r="K263" s="7"/>
      <c r="L263" s="7"/>
      <c r="M263" s="7"/>
      <c r="N263" s="7"/>
      <c r="O263" s="7"/>
      <c r="P263" s="7"/>
      <c r="Q263" s="7"/>
    </row>
    <row r="264" spans="1:17" ht="12.95" customHeight="1" x14ac:dyDescent="0.2">
      <c r="A264" s="7" t="s">
        <v>3</v>
      </c>
      <c r="B264" s="7"/>
      <c r="C264" s="7"/>
      <c r="D264" s="7"/>
      <c r="E264" s="7"/>
      <c r="F264" s="7">
        <v>110</v>
      </c>
      <c r="G264" s="7"/>
      <c r="H264" s="7" t="s">
        <v>183</v>
      </c>
      <c r="I264" s="7"/>
      <c r="J264" s="7"/>
      <c r="K264" s="7"/>
      <c r="L264" s="7"/>
      <c r="M264" s="7"/>
      <c r="N264" s="7"/>
      <c r="O264" s="7"/>
      <c r="P264" s="7"/>
      <c r="Q264" s="7"/>
    </row>
    <row r="265" spans="1:17" ht="22.5" customHeight="1" x14ac:dyDescent="0.2">
      <c r="A265" s="1" t="s">
        <v>5</v>
      </c>
      <c r="B265" s="1" t="s">
        <v>6</v>
      </c>
      <c r="C265" s="1" t="s">
        <v>7</v>
      </c>
      <c r="D265" s="1" t="s">
        <v>8</v>
      </c>
      <c r="E265" s="1" t="s">
        <v>9</v>
      </c>
      <c r="F265" s="1" t="s">
        <v>10</v>
      </c>
      <c r="G265" s="1" t="s">
        <v>11</v>
      </c>
      <c r="H265" s="1" t="s">
        <v>12</v>
      </c>
      <c r="I265" s="1" t="s">
        <v>13</v>
      </c>
      <c r="J265" s="1" t="s">
        <v>14</v>
      </c>
      <c r="K265" s="1" t="s">
        <v>15</v>
      </c>
      <c r="L265" s="1" t="s">
        <v>267</v>
      </c>
      <c r="M265" s="1" t="s">
        <v>16</v>
      </c>
      <c r="N265" s="1" t="s">
        <v>17</v>
      </c>
      <c r="O265" s="1" t="s">
        <v>18</v>
      </c>
      <c r="P265" s="1" t="s">
        <v>19</v>
      </c>
      <c r="Q265" s="1" t="s">
        <v>20</v>
      </c>
    </row>
    <row r="266" spans="1:17" ht="12.95" customHeight="1" x14ac:dyDescent="0.2">
      <c r="A266" s="2" t="s">
        <v>21</v>
      </c>
      <c r="B266" s="2" t="s">
        <v>22</v>
      </c>
      <c r="C266" s="2"/>
      <c r="D266" s="2"/>
      <c r="E266" s="3"/>
      <c r="F266" s="2"/>
      <c r="G266" s="2"/>
      <c r="H266" s="2" t="s">
        <v>46</v>
      </c>
      <c r="I266" s="12" t="s">
        <v>46</v>
      </c>
      <c r="J266" s="2"/>
      <c r="K266" s="2"/>
      <c r="L266" s="2"/>
      <c r="M266" s="2"/>
      <c r="N266" s="2"/>
      <c r="O266" s="2" t="s">
        <v>24</v>
      </c>
      <c r="P266" s="2" t="s">
        <v>25</v>
      </c>
      <c r="Q266" s="2"/>
    </row>
    <row r="267" spans="1:17" ht="12.95" customHeight="1" x14ac:dyDescent="0.2">
      <c r="A267" s="2" t="s">
        <v>26</v>
      </c>
      <c r="B267" s="2" t="s">
        <v>27</v>
      </c>
      <c r="C267" s="2"/>
      <c r="D267" s="2"/>
      <c r="E267" s="3"/>
      <c r="F267" s="2"/>
      <c r="G267" s="2"/>
      <c r="H267" s="2"/>
      <c r="I267" s="13"/>
      <c r="J267" s="2"/>
      <c r="K267" s="2"/>
      <c r="L267" s="2"/>
      <c r="M267" s="2"/>
      <c r="N267" s="2"/>
      <c r="O267" s="2" t="s">
        <v>28</v>
      </c>
      <c r="P267" s="2" t="s">
        <v>29</v>
      </c>
      <c r="Q267" s="2"/>
    </row>
    <row r="268" spans="1:17" ht="12.95" customHeight="1" x14ac:dyDescent="0.2">
      <c r="A268" s="4" t="s">
        <v>30</v>
      </c>
      <c r="B268" s="4" t="s">
        <v>31</v>
      </c>
      <c r="C268" s="4"/>
      <c r="D268" s="4"/>
      <c r="E268" s="3"/>
      <c r="F268" s="4"/>
      <c r="G268" s="4"/>
      <c r="H268" s="4"/>
      <c r="I268" s="35"/>
      <c r="J268" s="4"/>
      <c r="K268" s="4"/>
      <c r="L268" s="4"/>
      <c r="M268" s="4"/>
      <c r="N268" s="4"/>
      <c r="O268" s="4"/>
      <c r="P268" s="4"/>
      <c r="Q268" s="4"/>
    </row>
    <row r="269" spans="1:17" ht="12.95" customHeight="1" x14ac:dyDescent="0.2">
      <c r="A269" s="4" t="s">
        <v>32</v>
      </c>
      <c r="B269" s="4" t="s">
        <v>31</v>
      </c>
      <c r="C269" s="4"/>
      <c r="D269" s="4"/>
      <c r="E269" s="3"/>
      <c r="F269" s="4"/>
      <c r="G269" s="4"/>
      <c r="H269" s="4"/>
      <c r="I269" s="35"/>
      <c r="J269" s="4"/>
      <c r="K269" s="4"/>
      <c r="L269" s="4"/>
      <c r="M269" s="4"/>
      <c r="N269" s="4"/>
      <c r="O269" s="4"/>
      <c r="P269" s="4"/>
      <c r="Q269" s="4"/>
    </row>
    <row r="270" spans="1:17" x14ac:dyDescent="0.2">
      <c r="A270" s="4" t="s">
        <v>33</v>
      </c>
      <c r="B270" s="4" t="s">
        <v>34</v>
      </c>
      <c r="C270" s="4" t="s">
        <v>34</v>
      </c>
      <c r="D270" s="4" t="s">
        <v>34</v>
      </c>
      <c r="E270" s="4"/>
      <c r="F270" s="4"/>
      <c r="G270" s="4"/>
      <c r="H270" s="4" t="s">
        <v>46</v>
      </c>
      <c r="I270" s="35" t="s">
        <v>46</v>
      </c>
      <c r="J270" s="4"/>
      <c r="K270" s="4"/>
      <c r="L270" s="4"/>
      <c r="M270" s="4"/>
      <c r="N270" s="4"/>
      <c r="O270" s="4"/>
      <c r="P270" s="4"/>
      <c r="Q270" s="4"/>
    </row>
    <row r="271" spans="1:17" ht="12.95" customHeight="1" x14ac:dyDescent="0.2">
      <c r="A271" s="2" t="s">
        <v>35</v>
      </c>
      <c r="B271" s="2" t="s">
        <v>36</v>
      </c>
      <c r="C271" s="2" t="s">
        <v>82</v>
      </c>
      <c r="D271" s="2" t="s">
        <v>381</v>
      </c>
      <c r="E271" s="3" t="s">
        <v>211</v>
      </c>
      <c r="F271" s="2"/>
      <c r="G271" s="2" t="s">
        <v>211</v>
      </c>
      <c r="H271" s="2"/>
      <c r="I271" s="13"/>
      <c r="J271" s="2" t="s">
        <v>211</v>
      </c>
      <c r="K271" s="2"/>
      <c r="L271" s="2"/>
      <c r="M271" s="2"/>
      <c r="N271" s="2"/>
      <c r="O271" s="2"/>
      <c r="P271" s="2"/>
      <c r="Q271" s="2"/>
    </row>
    <row r="272" spans="1:17" ht="12.95" customHeight="1" x14ac:dyDescent="0.2">
      <c r="A272" s="2" t="s">
        <v>38</v>
      </c>
      <c r="B272" s="2" t="s">
        <v>36</v>
      </c>
      <c r="C272" s="2" t="s">
        <v>382</v>
      </c>
      <c r="D272" s="2" t="s">
        <v>229</v>
      </c>
      <c r="E272" s="3" t="s">
        <v>383</v>
      </c>
      <c r="F272" s="2"/>
      <c r="G272" s="2" t="s">
        <v>383</v>
      </c>
      <c r="H272" s="2"/>
      <c r="I272" s="13"/>
      <c r="J272" s="2" t="s">
        <v>48</v>
      </c>
      <c r="K272" s="2" t="s">
        <v>384</v>
      </c>
      <c r="L272" s="2"/>
      <c r="M272" s="2"/>
      <c r="N272" s="2"/>
      <c r="O272" s="2"/>
      <c r="P272" s="2"/>
      <c r="Q272" s="2"/>
    </row>
    <row r="273" spans="1:17" ht="12.95" customHeight="1" x14ac:dyDescent="0.2">
      <c r="A273" s="2" t="s">
        <v>39</v>
      </c>
      <c r="B273" s="2" t="s">
        <v>22</v>
      </c>
      <c r="C273" s="2"/>
      <c r="D273" s="2"/>
      <c r="E273" s="3"/>
      <c r="F273" s="2"/>
      <c r="G273" s="2"/>
      <c r="H273" s="2" t="s">
        <v>46</v>
      </c>
      <c r="I273" s="12" t="s">
        <v>46</v>
      </c>
      <c r="J273" s="2"/>
      <c r="K273" s="2"/>
      <c r="L273" s="2"/>
      <c r="M273" s="2"/>
      <c r="N273" s="2"/>
      <c r="O273" s="2" t="s">
        <v>24</v>
      </c>
      <c r="P273" s="2" t="s">
        <v>25</v>
      </c>
      <c r="Q273" s="2"/>
    </row>
    <row r="274" spans="1:17" ht="12.95" customHeight="1" x14ac:dyDescent="0.2">
      <c r="A274" s="2" t="s">
        <v>40</v>
      </c>
      <c r="B274" s="2" t="s">
        <v>27</v>
      </c>
      <c r="C274" s="2"/>
      <c r="D274" s="2"/>
      <c r="E274" s="3"/>
      <c r="F274" s="2"/>
      <c r="G274" s="2"/>
      <c r="H274" s="2"/>
      <c r="I274" s="13"/>
      <c r="J274" s="2"/>
      <c r="K274" s="2"/>
      <c r="L274" s="2"/>
      <c r="M274" s="2"/>
      <c r="N274" s="2"/>
      <c r="O274" s="2" t="s">
        <v>28</v>
      </c>
      <c r="P274" s="2" t="s">
        <v>25</v>
      </c>
      <c r="Q274" s="2"/>
    </row>
    <row r="275" spans="1:17" ht="12.95" customHeight="1" x14ac:dyDescent="0.2">
      <c r="A275" s="2" t="s">
        <v>41</v>
      </c>
      <c r="B275" s="2" t="s">
        <v>42</v>
      </c>
      <c r="C275" s="2" t="s">
        <v>385</v>
      </c>
      <c r="D275" s="2" t="s">
        <v>386</v>
      </c>
      <c r="E275" s="3" t="s">
        <v>303</v>
      </c>
      <c r="F275" s="2" t="s">
        <v>46</v>
      </c>
      <c r="G275" s="2" t="s">
        <v>201</v>
      </c>
      <c r="H275" s="2" t="s">
        <v>201</v>
      </c>
      <c r="I275" s="13"/>
      <c r="J275" s="2" t="s">
        <v>48</v>
      </c>
      <c r="K275" s="2" t="s">
        <v>273</v>
      </c>
      <c r="L275" s="2"/>
      <c r="M275" s="2"/>
      <c r="N275" s="2" t="s">
        <v>146</v>
      </c>
      <c r="O275" s="2"/>
      <c r="P275" s="2"/>
      <c r="Q275" s="2"/>
    </row>
    <row r="276" spans="1:17" ht="12.95" customHeight="1" x14ac:dyDescent="0.2">
      <c r="A276" s="4" t="s">
        <v>51</v>
      </c>
      <c r="B276" s="4" t="s">
        <v>31</v>
      </c>
      <c r="C276" s="4"/>
      <c r="D276" s="4"/>
      <c r="E276" s="3"/>
      <c r="F276" s="4"/>
      <c r="G276" s="4"/>
      <c r="H276" s="4"/>
      <c r="I276" s="35"/>
      <c r="J276" s="4"/>
      <c r="K276" s="4"/>
      <c r="L276" s="4"/>
      <c r="M276" s="4"/>
      <c r="N276" s="4"/>
      <c r="O276" s="4"/>
      <c r="P276" s="4"/>
      <c r="Q276" s="4"/>
    </row>
    <row r="277" spans="1:17" ht="12.95" customHeight="1" x14ac:dyDescent="0.2">
      <c r="A277" s="4" t="s">
        <v>52</v>
      </c>
      <c r="B277" s="4" t="s">
        <v>31</v>
      </c>
      <c r="C277" s="4"/>
      <c r="D277" s="4"/>
      <c r="E277" s="3"/>
      <c r="F277" s="4"/>
      <c r="G277" s="4"/>
      <c r="H277" s="4"/>
      <c r="I277" s="35"/>
      <c r="J277" s="4"/>
      <c r="K277" s="4"/>
      <c r="L277" s="4"/>
      <c r="M277" s="4"/>
      <c r="N277" s="4"/>
      <c r="O277" s="4"/>
      <c r="P277" s="4"/>
      <c r="Q277" s="4"/>
    </row>
    <row r="278" spans="1:17" x14ac:dyDescent="0.2">
      <c r="A278" s="4" t="s">
        <v>33</v>
      </c>
      <c r="B278" s="4" t="s">
        <v>34</v>
      </c>
      <c r="C278" s="4" t="s">
        <v>34</v>
      </c>
      <c r="D278" s="4" t="s">
        <v>34</v>
      </c>
      <c r="E278" s="4" t="s">
        <v>387</v>
      </c>
      <c r="F278" s="4" t="s">
        <v>46</v>
      </c>
      <c r="G278" s="4" t="s">
        <v>388</v>
      </c>
      <c r="H278" s="4" t="s">
        <v>303</v>
      </c>
      <c r="I278" s="35" t="s">
        <v>46</v>
      </c>
      <c r="J278" s="4" t="s">
        <v>389</v>
      </c>
      <c r="K278" s="4" t="s">
        <v>86</v>
      </c>
      <c r="L278" s="4"/>
      <c r="M278" s="4"/>
      <c r="N278" s="4" t="s">
        <v>146</v>
      </c>
      <c r="O278" s="4"/>
      <c r="P278" s="4"/>
      <c r="Q278" s="4"/>
    </row>
    <row r="279" spans="1:17" ht="12.95" customHeight="1" x14ac:dyDescent="0.2">
      <c r="A279" s="2" t="s">
        <v>54</v>
      </c>
      <c r="B279" s="2" t="s">
        <v>42</v>
      </c>
      <c r="C279" s="2" t="s">
        <v>285</v>
      </c>
      <c r="D279" s="2" t="s">
        <v>139</v>
      </c>
      <c r="E279" s="3" t="s">
        <v>390</v>
      </c>
      <c r="F279" s="2" t="s">
        <v>46</v>
      </c>
      <c r="G279" s="2" t="s">
        <v>391</v>
      </c>
      <c r="H279" s="2" t="s">
        <v>201</v>
      </c>
      <c r="I279" s="13" t="s">
        <v>261</v>
      </c>
      <c r="J279" s="2" t="s">
        <v>391</v>
      </c>
      <c r="K279" s="2"/>
      <c r="L279" s="2"/>
      <c r="M279" s="2"/>
      <c r="N279" s="2" t="s">
        <v>392</v>
      </c>
      <c r="O279" s="2"/>
      <c r="P279" s="2"/>
      <c r="Q279" s="2"/>
    </row>
    <row r="280" spans="1:17" ht="12.95" customHeight="1" x14ac:dyDescent="0.2">
      <c r="A280" s="2" t="s">
        <v>61</v>
      </c>
      <c r="B280" s="2" t="s">
        <v>42</v>
      </c>
      <c r="C280" s="2" t="s">
        <v>98</v>
      </c>
      <c r="D280" s="2" t="s">
        <v>393</v>
      </c>
      <c r="E280" s="3" t="s">
        <v>310</v>
      </c>
      <c r="F280" s="2" t="s">
        <v>46</v>
      </c>
      <c r="G280" s="2" t="s">
        <v>394</v>
      </c>
      <c r="H280" s="2" t="s">
        <v>201</v>
      </c>
      <c r="I280" s="13"/>
      <c r="J280" s="2" t="s">
        <v>48</v>
      </c>
      <c r="K280" s="2" t="s">
        <v>395</v>
      </c>
      <c r="L280" s="2"/>
      <c r="M280" s="2" t="s">
        <v>396</v>
      </c>
      <c r="N280" s="2" t="s">
        <v>103</v>
      </c>
      <c r="O280" s="2"/>
      <c r="P280" s="2"/>
      <c r="Q280" s="2"/>
    </row>
    <row r="281" spans="1:17" ht="12.95" customHeight="1" x14ac:dyDescent="0.2">
      <c r="A281" s="2" t="s">
        <v>68</v>
      </c>
      <c r="B281" s="2" t="s">
        <v>42</v>
      </c>
      <c r="C281" s="2" t="s">
        <v>245</v>
      </c>
      <c r="D281" s="2" t="s">
        <v>150</v>
      </c>
      <c r="E281" s="3" t="s">
        <v>84</v>
      </c>
      <c r="F281" s="2" t="s">
        <v>46</v>
      </c>
      <c r="G281" s="2" t="s">
        <v>64</v>
      </c>
      <c r="H281" s="2" t="s">
        <v>201</v>
      </c>
      <c r="I281" s="13"/>
      <c r="J281" s="2" t="s">
        <v>48</v>
      </c>
      <c r="K281" s="2" t="s">
        <v>85</v>
      </c>
      <c r="L281" s="2"/>
      <c r="M281" s="2" t="s">
        <v>397</v>
      </c>
      <c r="N281" s="2" t="s">
        <v>348</v>
      </c>
      <c r="O281" s="2"/>
      <c r="P281" s="2"/>
      <c r="Q281" s="2"/>
    </row>
    <row r="282" spans="1:17" ht="12.95" customHeight="1" x14ac:dyDescent="0.2">
      <c r="A282" s="2" t="s">
        <v>75</v>
      </c>
      <c r="B282" s="2" t="s">
        <v>42</v>
      </c>
      <c r="C282" s="2" t="s">
        <v>398</v>
      </c>
      <c r="D282" s="2" t="s">
        <v>399</v>
      </c>
      <c r="E282" s="3" t="s">
        <v>113</v>
      </c>
      <c r="F282" s="2" t="s">
        <v>46</v>
      </c>
      <c r="G282" s="2" t="s">
        <v>400</v>
      </c>
      <c r="H282" s="2" t="s">
        <v>201</v>
      </c>
      <c r="I282" s="13" t="s">
        <v>401</v>
      </c>
      <c r="J282" s="2" t="s">
        <v>400</v>
      </c>
      <c r="K282" s="2"/>
      <c r="L282" s="2"/>
      <c r="M282" s="2"/>
      <c r="N282" s="2" t="s">
        <v>282</v>
      </c>
      <c r="O282" s="2"/>
      <c r="P282" s="2"/>
      <c r="Q282" s="2"/>
    </row>
    <row r="283" spans="1:17" ht="12.95" customHeight="1" x14ac:dyDescent="0.2">
      <c r="A283" s="2" t="s">
        <v>81</v>
      </c>
      <c r="B283" s="2" t="s">
        <v>42</v>
      </c>
      <c r="C283" s="2" t="s">
        <v>402</v>
      </c>
      <c r="D283" s="2" t="s">
        <v>269</v>
      </c>
      <c r="E283" s="3" t="s">
        <v>403</v>
      </c>
      <c r="F283" s="2" t="s">
        <v>46</v>
      </c>
      <c r="G283" s="2" t="s">
        <v>404</v>
      </c>
      <c r="H283" s="2" t="s">
        <v>201</v>
      </c>
      <c r="I283" s="13"/>
      <c r="J283" s="2" t="s">
        <v>48</v>
      </c>
      <c r="K283" s="2" t="s">
        <v>60</v>
      </c>
      <c r="L283" s="2"/>
      <c r="M283" s="2" t="s">
        <v>328</v>
      </c>
      <c r="N283" s="2" t="s">
        <v>281</v>
      </c>
      <c r="O283" s="2"/>
      <c r="P283" s="2"/>
      <c r="Q283" s="2"/>
    </row>
    <row r="284" spans="1:17" ht="12.95" customHeight="1" x14ac:dyDescent="0.2">
      <c r="A284" s="4" t="s">
        <v>87</v>
      </c>
      <c r="B284" s="4" t="s">
        <v>31</v>
      </c>
      <c r="C284" s="4"/>
      <c r="D284" s="4"/>
      <c r="E284" s="3"/>
      <c r="F284" s="4"/>
      <c r="G284" s="4"/>
      <c r="H284" s="4"/>
      <c r="I284" s="35"/>
      <c r="J284" s="4"/>
      <c r="K284" s="4"/>
      <c r="L284" s="4"/>
      <c r="M284" s="4"/>
      <c r="N284" s="4"/>
      <c r="O284" s="4"/>
      <c r="P284" s="4"/>
      <c r="Q284" s="4"/>
    </row>
    <row r="285" spans="1:17" ht="12.95" customHeight="1" x14ac:dyDescent="0.2">
      <c r="A285" s="4" t="s">
        <v>88</v>
      </c>
      <c r="B285" s="4" t="s">
        <v>31</v>
      </c>
      <c r="C285" s="4"/>
      <c r="D285" s="4"/>
      <c r="E285" s="3"/>
      <c r="F285" s="4"/>
      <c r="G285" s="4"/>
      <c r="H285" s="4"/>
      <c r="I285" s="35"/>
      <c r="J285" s="4"/>
      <c r="K285" s="4"/>
      <c r="L285" s="4"/>
      <c r="M285" s="4"/>
      <c r="N285" s="4"/>
      <c r="O285" s="4"/>
      <c r="P285" s="4"/>
      <c r="Q285" s="4"/>
    </row>
    <row r="286" spans="1:17" x14ac:dyDescent="0.2">
      <c r="A286" s="4" t="s">
        <v>33</v>
      </c>
      <c r="B286" s="4" t="s">
        <v>34</v>
      </c>
      <c r="C286" s="4" t="s">
        <v>34</v>
      </c>
      <c r="D286" s="4" t="s">
        <v>34</v>
      </c>
      <c r="E286" s="4" t="s">
        <v>405</v>
      </c>
      <c r="F286" s="4" t="s">
        <v>90</v>
      </c>
      <c r="G286" s="4" t="s">
        <v>406</v>
      </c>
      <c r="H286" s="4" t="s">
        <v>331</v>
      </c>
      <c r="I286" s="35" t="s">
        <v>407</v>
      </c>
      <c r="J286" s="4" t="s">
        <v>408</v>
      </c>
      <c r="K286" s="4" t="s">
        <v>409</v>
      </c>
      <c r="L286" s="4"/>
      <c r="M286" s="4" t="s">
        <v>392</v>
      </c>
      <c r="N286" s="4" t="s">
        <v>410</v>
      </c>
      <c r="O286" s="4"/>
      <c r="P286" s="4"/>
      <c r="Q286" s="4"/>
    </row>
    <row r="287" spans="1:17" ht="12.95" customHeight="1" x14ac:dyDescent="0.2">
      <c r="A287" s="2" t="s">
        <v>97</v>
      </c>
      <c r="B287" s="2" t="s">
        <v>42</v>
      </c>
      <c r="C287" s="2" t="s">
        <v>245</v>
      </c>
      <c r="D287" s="2" t="s">
        <v>411</v>
      </c>
      <c r="E287" s="3" t="s">
        <v>412</v>
      </c>
      <c r="F287" s="2" t="s">
        <v>46</v>
      </c>
      <c r="G287" s="2" t="s">
        <v>413</v>
      </c>
      <c r="H287" s="2" t="s">
        <v>201</v>
      </c>
      <c r="I287" s="13"/>
      <c r="J287" s="2" t="s">
        <v>48</v>
      </c>
      <c r="K287" s="2" t="s">
        <v>172</v>
      </c>
      <c r="L287" s="2"/>
      <c r="M287" s="2" t="s">
        <v>414</v>
      </c>
      <c r="N287" s="2" t="s">
        <v>348</v>
      </c>
      <c r="O287" s="2"/>
      <c r="P287" s="2"/>
      <c r="Q287" s="2"/>
    </row>
    <row r="288" spans="1:17" ht="12.95" customHeight="1" x14ac:dyDescent="0.2">
      <c r="A288" s="2" t="s">
        <v>104</v>
      </c>
      <c r="B288" s="2" t="s">
        <v>42</v>
      </c>
      <c r="C288" s="2" t="s">
        <v>201</v>
      </c>
      <c r="D288" s="2" t="s">
        <v>415</v>
      </c>
      <c r="E288" s="3" t="s">
        <v>101</v>
      </c>
      <c r="F288" s="2" t="s">
        <v>46</v>
      </c>
      <c r="G288" s="2" t="s">
        <v>55</v>
      </c>
      <c r="H288" s="2" t="s">
        <v>125</v>
      </c>
      <c r="I288" s="13"/>
      <c r="J288" s="2" t="s">
        <v>55</v>
      </c>
      <c r="K288" s="2"/>
      <c r="L288" s="2"/>
      <c r="M288" s="2" t="s">
        <v>416</v>
      </c>
      <c r="N288" s="2" t="s">
        <v>125</v>
      </c>
      <c r="O288" s="2"/>
      <c r="P288" s="2" t="s">
        <v>417</v>
      </c>
      <c r="Q288" s="2"/>
    </row>
    <row r="289" spans="1:17" ht="12.95" customHeight="1" x14ac:dyDescent="0.2">
      <c r="A289" s="2" t="s">
        <v>112</v>
      </c>
      <c r="B289" s="2" t="s">
        <v>22</v>
      </c>
      <c r="C289" s="2"/>
      <c r="D289" s="2"/>
      <c r="E289" s="3"/>
      <c r="F289" s="2"/>
      <c r="G289" s="2"/>
      <c r="H289" s="2" t="s">
        <v>227</v>
      </c>
      <c r="I289" s="13" t="s">
        <v>227</v>
      </c>
      <c r="J289" s="2"/>
      <c r="K289" s="2"/>
      <c r="L289" s="2"/>
      <c r="M289" s="2"/>
      <c r="N289" s="2"/>
      <c r="O289" s="2" t="s">
        <v>24</v>
      </c>
      <c r="P289" s="2"/>
      <c r="Q289" s="2"/>
    </row>
    <row r="290" spans="1:17" ht="12.95" customHeight="1" x14ac:dyDescent="0.2">
      <c r="A290" s="2" t="s">
        <v>114</v>
      </c>
      <c r="B290" s="2" t="s">
        <v>27</v>
      </c>
      <c r="C290" s="2"/>
      <c r="D290" s="2"/>
      <c r="E290" s="3"/>
      <c r="F290" s="2"/>
      <c r="G290" s="2"/>
      <c r="H290" s="2"/>
      <c r="I290" s="13"/>
      <c r="J290" s="2"/>
      <c r="K290" s="2"/>
      <c r="L290" s="2"/>
      <c r="M290" s="2"/>
      <c r="N290" s="2"/>
      <c r="O290" s="2" t="s">
        <v>28</v>
      </c>
      <c r="P290" s="2" t="s">
        <v>111</v>
      </c>
      <c r="Q290" s="2"/>
    </row>
    <row r="291" spans="1:17" ht="12.95" customHeight="1" x14ac:dyDescent="0.2">
      <c r="A291" s="2" t="s">
        <v>115</v>
      </c>
      <c r="B291" s="2" t="s">
        <v>42</v>
      </c>
      <c r="C291" s="2" t="s">
        <v>418</v>
      </c>
      <c r="D291" s="2" t="s">
        <v>419</v>
      </c>
      <c r="E291" s="3" t="s">
        <v>420</v>
      </c>
      <c r="F291" s="2" t="s">
        <v>46</v>
      </c>
      <c r="G291" s="2" t="s">
        <v>421</v>
      </c>
      <c r="H291" s="2" t="s">
        <v>201</v>
      </c>
      <c r="I291" s="13"/>
      <c r="J291" s="2" t="s">
        <v>48</v>
      </c>
      <c r="K291" s="2" t="s">
        <v>347</v>
      </c>
      <c r="L291" s="2"/>
      <c r="M291" s="2" t="s">
        <v>320</v>
      </c>
      <c r="N291" s="2" t="s">
        <v>308</v>
      </c>
      <c r="O291" s="2"/>
      <c r="P291" s="2"/>
      <c r="Q291" s="2"/>
    </row>
    <row r="292" spans="1:17" ht="12.95" customHeight="1" x14ac:dyDescent="0.2">
      <c r="A292" s="4" t="s">
        <v>122</v>
      </c>
      <c r="B292" s="4" t="s">
        <v>31</v>
      </c>
      <c r="C292" s="4"/>
      <c r="D292" s="4"/>
      <c r="E292" s="3"/>
      <c r="F292" s="4"/>
      <c r="G292" s="4"/>
      <c r="H292" s="4"/>
      <c r="I292" s="35"/>
      <c r="J292" s="4"/>
      <c r="K292" s="4"/>
      <c r="L292" s="4"/>
      <c r="M292" s="4"/>
      <c r="N292" s="4"/>
      <c r="O292" s="4"/>
      <c r="P292" s="4"/>
      <c r="Q292" s="4"/>
    </row>
    <row r="293" spans="1:17" ht="12.95" customHeight="1" x14ac:dyDescent="0.2">
      <c r="A293" s="4" t="s">
        <v>123</v>
      </c>
      <c r="B293" s="4" t="s">
        <v>31</v>
      </c>
      <c r="C293" s="4"/>
      <c r="D293" s="4"/>
      <c r="E293" s="3"/>
      <c r="F293" s="4"/>
      <c r="G293" s="4"/>
      <c r="H293" s="4"/>
      <c r="I293" s="35"/>
      <c r="J293" s="4"/>
      <c r="K293" s="4"/>
      <c r="L293" s="4"/>
      <c r="M293" s="4"/>
      <c r="N293" s="4"/>
      <c r="O293" s="4"/>
      <c r="P293" s="4"/>
      <c r="Q293" s="4"/>
    </row>
    <row r="294" spans="1:17" x14ac:dyDescent="0.2">
      <c r="A294" s="4" t="s">
        <v>33</v>
      </c>
      <c r="B294" s="4" t="s">
        <v>34</v>
      </c>
      <c r="C294" s="4" t="s">
        <v>34</v>
      </c>
      <c r="D294" s="4" t="s">
        <v>34</v>
      </c>
      <c r="E294" s="4" t="s">
        <v>422</v>
      </c>
      <c r="F294" s="4" t="s">
        <v>125</v>
      </c>
      <c r="G294" s="4" t="s">
        <v>423</v>
      </c>
      <c r="H294" s="4" t="s">
        <v>230</v>
      </c>
      <c r="I294" s="35" t="s">
        <v>227</v>
      </c>
      <c r="J294" s="4" t="s">
        <v>424</v>
      </c>
      <c r="K294" s="4" t="s">
        <v>425</v>
      </c>
      <c r="L294" s="4"/>
      <c r="M294" s="4" t="s">
        <v>47</v>
      </c>
      <c r="N294" s="4" t="s">
        <v>244</v>
      </c>
      <c r="O294" s="4"/>
      <c r="P294" s="4"/>
      <c r="Q294" s="4"/>
    </row>
    <row r="295" spans="1:17" ht="12.95" customHeight="1" x14ac:dyDescent="0.2">
      <c r="A295" s="2" t="s">
        <v>131</v>
      </c>
      <c r="B295" s="2" t="s">
        <v>42</v>
      </c>
      <c r="C295" s="2" t="s">
        <v>426</v>
      </c>
      <c r="D295" s="2" t="s">
        <v>99</v>
      </c>
      <c r="E295" s="3" t="s">
        <v>427</v>
      </c>
      <c r="F295" s="2" t="s">
        <v>46</v>
      </c>
      <c r="G295" s="2" t="s">
        <v>185</v>
      </c>
      <c r="H295" s="2" t="s">
        <v>201</v>
      </c>
      <c r="I295" s="13" t="s">
        <v>73</v>
      </c>
      <c r="J295" s="2" t="s">
        <v>185</v>
      </c>
      <c r="K295" s="2"/>
      <c r="L295" s="2"/>
      <c r="M295" s="2"/>
      <c r="N295" s="2" t="s">
        <v>428</v>
      </c>
      <c r="O295" s="2"/>
      <c r="P295" s="2"/>
      <c r="Q295" s="2"/>
    </row>
    <row r="296" spans="1:17" ht="12.95" customHeight="1" x14ac:dyDescent="0.2">
      <c r="A296" s="2" t="s">
        <v>138</v>
      </c>
      <c r="B296" s="2" t="s">
        <v>42</v>
      </c>
      <c r="C296" s="2" t="s">
        <v>205</v>
      </c>
      <c r="D296" s="2" t="s">
        <v>429</v>
      </c>
      <c r="E296" s="3" t="s">
        <v>430</v>
      </c>
      <c r="F296" s="2" t="s">
        <v>46</v>
      </c>
      <c r="G296" s="2" t="s">
        <v>431</v>
      </c>
      <c r="H296" s="2" t="s">
        <v>201</v>
      </c>
      <c r="I296" s="13"/>
      <c r="J296" s="2" t="s">
        <v>48</v>
      </c>
      <c r="K296" s="2" t="s">
        <v>272</v>
      </c>
      <c r="L296" s="2" t="s">
        <v>102</v>
      </c>
      <c r="M296" s="2" t="s">
        <v>432</v>
      </c>
      <c r="N296" s="2" t="s">
        <v>360</v>
      </c>
      <c r="O296" s="2"/>
      <c r="P296" s="2"/>
      <c r="Q296" s="2"/>
    </row>
    <row r="297" spans="1:17" ht="12.95" customHeight="1" x14ac:dyDescent="0.2">
      <c r="A297" s="2" t="s">
        <v>143</v>
      </c>
      <c r="B297" s="2" t="s">
        <v>42</v>
      </c>
      <c r="C297" s="2" t="s">
        <v>433</v>
      </c>
      <c r="D297" s="2" t="s">
        <v>434</v>
      </c>
      <c r="E297" s="3" t="s">
        <v>435</v>
      </c>
      <c r="F297" s="2" t="s">
        <v>46</v>
      </c>
      <c r="G297" s="2" t="s">
        <v>270</v>
      </c>
      <c r="H297" s="2" t="s">
        <v>201</v>
      </c>
      <c r="I297" s="13"/>
      <c r="J297" s="2" t="s">
        <v>48</v>
      </c>
      <c r="K297" s="2" t="s">
        <v>272</v>
      </c>
      <c r="L297" s="2" t="s">
        <v>308</v>
      </c>
      <c r="M297" s="2" t="s">
        <v>90</v>
      </c>
      <c r="N297" s="2" t="s">
        <v>436</v>
      </c>
      <c r="O297" s="2"/>
      <c r="P297" s="2"/>
      <c r="Q297" s="2"/>
    </row>
    <row r="298" spans="1:17" ht="12.95" customHeight="1" x14ac:dyDescent="0.2">
      <c r="A298" s="2" t="s">
        <v>148</v>
      </c>
      <c r="B298" s="2" t="s">
        <v>42</v>
      </c>
      <c r="C298" s="2"/>
      <c r="D298" s="2"/>
      <c r="E298" s="3"/>
      <c r="F298" s="2"/>
      <c r="G298" s="2"/>
      <c r="H298" s="2"/>
      <c r="I298" s="13"/>
      <c r="J298" s="2"/>
      <c r="K298" s="2"/>
      <c r="L298" s="2"/>
      <c r="M298" s="2"/>
      <c r="N298" s="2"/>
      <c r="O298" s="2" t="s">
        <v>194</v>
      </c>
      <c r="P298" s="2"/>
      <c r="Q298" s="2"/>
    </row>
    <row r="299" spans="1:17" ht="12.95" customHeight="1" x14ac:dyDescent="0.2">
      <c r="A299" s="2" t="s">
        <v>155</v>
      </c>
      <c r="B299" s="2" t="s">
        <v>42</v>
      </c>
      <c r="C299" s="2" t="s">
        <v>437</v>
      </c>
      <c r="D299" s="2" t="s">
        <v>438</v>
      </c>
      <c r="E299" s="3" t="s">
        <v>208</v>
      </c>
      <c r="F299" s="2" t="s">
        <v>46</v>
      </c>
      <c r="G299" s="2" t="s">
        <v>327</v>
      </c>
      <c r="H299" s="2" t="s">
        <v>201</v>
      </c>
      <c r="I299" s="13"/>
      <c r="J299" s="2" t="s">
        <v>48</v>
      </c>
      <c r="K299" s="2" t="s">
        <v>328</v>
      </c>
      <c r="L299" s="2"/>
      <c r="M299" s="2" t="s">
        <v>287</v>
      </c>
      <c r="N299" s="2" t="s">
        <v>340</v>
      </c>
      <c r="O299" s="2"/>
      <c r="P299" s="2"/>
      <c r="Q299" s="2"/>
    </row>
    <row r="300" spans="1:17" ht="12.95" customHeight="1" x14ac:dyDescent="0.2">
      <c r="A300" s="8" t="s">
        <v>161</v>
      </c>
      <c r="B300" s="8"/>
      <c r="C300" s="8"/>
      <c r="D300" s="8"/>
      <c r="E300" s="5" t="s">
        <v>439</v>
      </c>
      <c r="F300" s="5" t="s">
        <v>355</v>
      </c>
      <c r="G300" s="5" t="s">
        <v>440</v>
      </c>
      <c r="H300" s="5" t="s">
        <v>441</v>
      </c>
      <c r="I300" s="36" t="s">
        <v>442</v>
      </c>
      <c r="J300" s="5" t="s">
        <v>443</v>
      </c>
      <c r="K300" s="5" t="s">
        <v>444</v>
      </c>
      <c r="L300" s="5" t="s">
        <v>445</v>
      </c>
      <c r="M300" s="5" t="s">
        <v>231</v>
      </c>
      <c r="N300" s="5" t="s">
        <v>446</v>
      </c>
      <c r="O300" s="5"/>
      <c r="P300" s="5"/>
      <c r="Q300" s="5"/>
    </row>
    <row r="301" spans="1:17" ht="12.95" customHeight="1" x14ac:dyDescent="0.2">
      <c r="A301" s="8" t="s">
        <v>171</v>
      </c>
      <c r="B301" s="8"/>
      <c r="C301" s="8"/>
      <c r="D301" s="8"/>
      <c r="E301" s="5" t="s">
        <v>439</v>
      </c>
      <c r="F301" s="5" t="s">
        <v>355</v>
      </c>
      <c r="G301" s="5" t="s">
        <v>440</v>
      </c>
      <c r="H301" s="5" t="s">
        <v>441</v>
      </c>
      <c r="I301" s="36" t="s">
        <v>296</v>
      </c>
      <c r="J301" s="5" t="s">
        <v>443</v>
      </c>
      <c r="K301" s="5" t="s">
        <v>444</v>
      </c>
      <c r="L301" s="5" t="s">
        <v>445</v>
      </c>
      <c r="M301" s="5" t="s">
        <v>231</v>
      </c>
      <c r="N301" s="5" t="s">
        <v>446</v>
      </c>
      <c r="O301" s="5"/>
      <c r="P301" s="5"/>
      <c r="Q301" s="5"/>
    </row>
    <row r="302" spans="1:17" ht="12.95" customHeight="1" x14ac:dyDescent="0.2">
      <c r="A302" s="8" t="s">
        <v>173</v>
      </c>
      <c r="B302" s="8"/>
      <c r="C302" s="8"/>
      <c r="D302" s="8"/>
      <c r="E302" s="5">
        <v>140.22999999999999</v>
      </c>
      <c r="F302" s="5">
        <v>6.5</v>
      </c>
      <c r="G302" s="5">
        <v>133.72999999999999</v>
      </c>
      <c r="H302" s="5">
        <v>112</v>
      </c>
      <c r="I302" s="36">
        <v>0</v>
      </c>
      <c r="J302" s="5">
        <v>122.05</v>
      </c>
      <c r="K302" s="5">
        <v>10.95</v>
      </c>
      <c r="L302" s="5">
        <v>0.73</v>
      </c>
      <c r="M302" s="5">
        <v>16</v>
      </c>
      <c r="N302" s="5">
        <v>13.1</v>
      </c>
      <c r="O302" s="5"/>
      <c r="P302" s="5"/>
      <c r="Q302" s="5"/>
    </row>
    <row r="303" spans="1:17" x14ac:dyDescent="0.2">
      <c r="I303" s="37"/>
    </row>
    <row r="304" spans="1:17" ht="12.95" customHeight="1" x14ac:dyDescent="0.2">
      <c r="A304" s="9" t="s">
        <v>174</v>
      </c>
      <c r="B304" s="9"/>
      <c r="C304" s="9"/>
      <c r="E304" s="9" t="s">
        <v>180</v>
      </c>
      <c r="F304" s="9"/>
      <c r="G304" s="9"/>
      <c r="I304" s="9" t="s">
        <v>181</v>
      </c>
      <c r="J304" s="9"/>
      <c r="K304" s="9"/>
    </row>
    <row r="305" spans="1:17" ht="12.95" customHeight="1" x14ac:dyDescent="0.2">
      <c r="A305" s="10" t="s">
        <v>175</v>
      </c>
      <c r="B305" s="10"/>
      <c r="C305" s="6">
        <v>15</v>
      </c>
      <c r="E305" s="10" t="s">
        <v>14</v>
      </c>
      <c r="F305" s="10"/>
      <c r="G305" s="6">
        <v>122.05</v>
      </c>
      <c r="I305" s="10" t="s">
        <v>264</v>
      </c>
      <c r="J305" s="10"/>
      <c r="K305" s="43">
        <v>1</v>
      </c>
    </row>
    <row r="306" spans="1:17" ht="12.95" customHeight="1" x14ac:dyDescent="0.2">
      <c r="A306" s="10" t="s">
        <v>1531</v>
      </c>
      <c r="B306" s="10"/>
      <c r="C306" s="6">
        <v>22</v>
      </c>
      <c r="E306" s="10" t="s">
        <v>15</v>
      </c>
      <c r="F306" s="10"/>
      <c r="G306" s="6">
        <v>10.95</v>
      </c>
      <c r="I306" s="10" t="s">
        <v>27</v>
      </c>
      <c r="J306" s="10"/>
      <c r="K306" s="26">
        <v>3</v>
      </c>
    </row>
    <row r="307" spans="1:17" ht="12.95" customHeight="1" x14ac:dyDescent="0.2">
      <c r="A307" s="10" t="s">
        <v>176</v>
      </c>
      <c r="B307" s="10"/>
      <c r="C307" s="6">
        <v>140.22999999999999</v>
      </c>
      <c r="E307" s="10" t="s">
        <v>267</v>
      </c>
      <c r="F307" s="10"/>
      <c r="G307" s="6">
        <v>0.73</v>
      </c>
      <c r="I307" s="10" t="s">
        <v>22</v>
      </c>
      <c r="J307" s="10"/>
      <c r="K307" s="26">
        <v>3</v>
      </c>
    </row>
    <row r="308" spans="1:17" ht="12.95" customHeight="1" x14ac:dyDescent="0.2">
      <c r="A308" s="10" t="s">
        <v>177</v>
      </c>
      <c r="B308" s="10"/>
      <c r="C308" s="6">
        <v>112</v>
      </c>
      <c r="I308" s="10" t="s">
        <v>36</v>
      </c>
      <c r="J308" s="10"/>
      <c r="K308" s="26">
        <v>2</v>
      </c>
    </row>
    <row r="309" spans="1:17" ht="12.95" customHeight="1" x14ac:dyDescent="0.2">
      <c r="A309" s="10" t="s">
        <v>11</v>
      </c>
      <c r="B309" s="10"/>
      <c r="C309" s="6">
        <v>133.72999999999999</v>
      </c>
      <c r="I309" s="39" t="s">
        <v>1591</v>
      </c>
      <c r="J309" s="19"/>
      <c r="K309" s="20">
        <v>1.5</v>
      </c>
    </row>
    <row r="310" spans="1:17" ht="12.95" customHeight="1" x14ac:dyDescent="0.2">
      <c r="A310" s="10" t="s">
        <v>178</v>
      </c>
      <c r="B310" s="10"/>
      <c r="C310" s="30">
        <v>11.46</v>
      </c>
      <c r="I310" s="39" t="s">
        <v>1592</v>
      </c>
      <c r="J310" s="19"/>
      <c r="K310" s="38">
        <v>0</v>
      </c>
    </row>
    <row r="311" spans="1:17" ht="12.95" customHeight="1" x14ac:dyDescent="0.25">
      <c r="A311" s="28" t="s">
        <v>1571</v>
      </c>
      <c r="B311" s="27"/>
      <c r="C311" s="31">
        <v>-1</v>
      </c>
      <c r="I311" s="41" t="s">
        <v>1593</v>
      </c>
      <c r="J311" s="40"/>
      <c r="K311" s="42">
        <f>K305+K309+K310</f>
        <v>2.5</v>
      </c>
    </row>
    <row r="312" spans="1:17" ht="12.95" customHeight="1" x14ac:dyDescent="0.2">
      <c r="A312" s="29" t="s">
        <v>1572</v>
      </c>
      <c r="B312" s="29"/>
      <c r="C312" s="32">
        <f>C310+C311</f>
        <v>10.46</v>
      </c>
    </row>
    <row r="313" spans="1:17" x14ac:dyDescent="0.2">
      <c r="A313" s="10" t="s">
        <v>10</v>
      </c>
      <c r="B313" s="10"/>
      <c r="C313" s="6">
        <v>6.5</v>
      </c>
    </row>
    <row r="314" spans="1:17" x14ac:dyDescent="0.2">
      <c r="A314" t="s">
        <v>1615</v>
      </c>
      <c r="C314" cm="1">
        <f t="array" ref="C314">IFERROR(SUMPRODUCT(ISNUMBER(SEARCH("מילואים",O266:O303))*(C266:C303&lt;&gt;"")*(J266:J303+0))*24,0)</f>
        <v>0</v>
      </c>
    </row>
    <row r="315" spans="1:17" ht="12.95" customHeight="1" x14ac:dyDescent="0.2">
      <c r="A315" s="7" t="s">
        <v>447</v>
      </c>
      <c r="B315" s="7"/>
      <c r="C315" s="7"/>
      <c r="D315" s="7" t="s">
        <v>1</v>
      </c>
      <c r="E315" s="7"/>
      <c r="F315" s="7"/>
      <c r="G315" s="7"/>
      <c r="H315" s="7" t="s">
        <v>2</v>
      </c>
      <c r="I315" s="7"/>
      <c r="J315" s="7"/>
      <c r="K315" s="7"/>
      <c r="L315" s="7"/>
      <c r="M315" s="7"/>
      <c r="N315" s="7"/>
      <c r="O315" s="7"/>
      <c r="P315" s="7"/>
      <c r="Q315" s="7"/>
    </row>
    <row r="316" spans="1:17" ht="12.95" customHeight="1" x14ac:dyDescent="0.2">
      <c r="A316" s="7" t="s">
        <v>3</v>
      </c>
      <c r="B316" s="7"/>
      <c r="C316" s="7"/>
      <c r="D316" s="7"/>
      <c r="E316" s="7"/>
      <c r="F316" s="7">
        <v>8</v>
      </c>
      <c r="G316" s="7"/>
      <c r="H316" s="7" t="s">
        <v>183</v>
      </c>
      <c r="I316" s="7"/>
      <c r="J316" s="7"/>
      <c r="K316" s="7"/>
      <c r="L316" s="7"/>
      <c r="M316" s="7"/>
      <c r="N316" s="7"/>
      <c r="O316" s="7"/>
      <c r="P316" s="7"/>
      <c r="Q316" s="7"/>
    </row>
    <row r="317" spans="1:17" ht="22.5" customHeight="1" x14ac:dyDescent="0.2">
      <c r="A317" s="1" t="s">
        <v>5</v>
      </c>
      <c r="B317" s="1" t="s">
        <v>6</v>
      </c>
      <c r="C317" s="1" t="s">
        <v>7</v>
      </c>
      <c r="D317" s="1" t="s">
        <v>8</v>
      </c>
      <c r="E317" s="1" t="s">
        <v>9</v>
      </c>
      <c r="F317" s="1" t="s">
        <v>10</v>
      </c>
      <c r="G317" s="1" t="s">
        <v>11</v>
      </c>
      <c r="H317" s="1" t="s">
        <v>12</v>
      </c>
      <c r="I317" s="1" t="s">
        <v>13</v>
      </c>
      <c r="J317" s="1" t="s">
        <v>14</v>
      </c>
      <c r="K317" s="1" t="s">
        <v>15</v>
      </c>
      <c r="L317" s="1" t="s">
        <v>267</v>
      </c>
      <c r="M317" s="1" t="s">
        <v>16</v>
      </c>
      <c r="N317" s="1" t="s">
        <v>17</v>
      </c>
      <c r="O317" s="1" t="s">
        <v>18</v>
      </c>
      <c r="P317" s="1" t="s">
        <v>19</v>
      </c>
      <c r="Q317" s="1" t="s">
        <v>20</v>
      </c>
    </row>
    <row r="318" spans="1:17" ht="12.95" customHeight="1" x14ac:dyDescent="0.2">
      <c r="A318" s="2" t="s">
        <v>21</v>
      </c>
      <c r="B318" s="2" t="s">
        <v>22</v>
      </c>
      <c r="C318" s="2"/>
      <c r="D318" s="2"/>
      <c r="E318" s="3"/>
      <c r="F318" s="2"/>
      <c r="G318" s="2"/>
      <c r="H318" s="2" t="s">
        <v>46</v>
      </c>
      <c r="I318" s="12" t="s">
        <v>46</v>
      </c>
      <c r="J318" s="2"/>
      <c r="K318" s="2"/>
      <c r="L318" s="2"/>
      <c r="M318" s="2"/>
      <c r="N318" s="2"/>
      <c r="O318" s="2" t="s">
        <v>24</v>
      </c>
      <c r="P318" s="2" t="s">
        <v>25</v>
      </c>
      <c r="Q318" s="2"/>
    </row>
    <row r="319" spans="1:17" ht="12.95" customHeight="1" x14ac:dyDescent="0.2">
      <c r="A319" s="2" t="s">
        <v>26</v>
      </c>
      <c r="B319" s="2" t="s">
        <v>27</v>
      </c>
      <c r="C319" s="2"/>
      <c r="D319" s="2"/>
      <c r="E319" s="3"/>
      <c r="F319" s="2"/>
      <c r="G319" s="2"/>
      <c r="H319" s="2"/>
      <c r="I319" s="13"/>
      <c r="J319" s="2"/>
      <c r="K319" s="2"/>
      <c r="L319" s="2"/>
      <c r="M319" s="2"/>
      <c r="N319" s="2"/>
      <c r="O319" s="2" t="s">
        <v>28</v>
      </c>
      <c r="P319" s="2" t="s">
        <v>29</v>
      </c>
      <c r="Q319" s="2"/>
    </row>
    <row r="320" spans="1:17" ht="12.95" customHeight="1" x14ac:dyDescent="0.2">
      <c r="A320" s="4" t="s">
        <v>30</v>
      </c>
      <c r="B320" s="4" t="s">
        <v>31</v>
      </c>
      <c r="C320" s="4"/>
      <c r="D320" s="4"/>
      <c r="E320" s="3"/>
      <c r="F320" s="4"/>
      <c r="G320" s="4"/>
      <c r="H320" s="4"/>
      <c r="I320" s="35"/>
      <c r="J320" s="4"/>
      <c r="K320" s="4"/>
      <c r="L320" s="4"/>
      <c r="M320" s="4"/>
      <c r="N320" s="4"/>
      <c r="O320" s="4"/>
      <c r="P320" s="4"/>
      <c r="Q320" s="4"/>
    </row>
    <row r="321" spans="1:17" ht="12.95" customHeight="1" x14ac:dyDescent="0.2">
      <c r="A321" s="4" t="s">
        <v>32</v>
      </c>
      <c r="B321" s="4" t="s">
        <v>31</v>
      </c>
      <c r="C321" s="4"/>
      <c r="D321" s="4"/>
      <c r="E321" s="3"/>
      <c r="F321" s="4"/>
      <c r="G321" s="4"/>
      <c r="H321" s="4"/>
      <c r="I321" s="35"/>
      <c r="J321" s="4"/>
      <c r="K321" s="4"/>
      <c r="L321" s="4"/>
      <c r="M321" s="4"/>
      <c r="N321" s="4"/>
      <c r="O321" s="4"/>
      <c r="P321" s="4"/>
      <c r="Q321" s="4"/>
    </row>
    <row r="322" spans="1:17" x14ac:dyDescent="0.2">
      <c r="A322" s="4" t="s">
        <v>33</v>
      </c>
      <c r="B322" s="4" t="s">
        <v>34</v>
      </c>
      <c r="C322" s="4" t="s">
        <v>34</v>
      </c>
      <c r="D322" s="4" t="s">
        <v>34</v>
      </c>
      <c r="E322" s="4"/>
      <c r="F322" s="4"/>
      <c r="G322" s="4"/>
      <c r="H322" s="4" t="s">
        <v>46</v>
      </c>
      <c r="I322" s="35" t="s">
        <v>46</v>
      </c>
      <c r="J322" s="4"/>
      <c r="K322" s="4"/>
      <c r="L322" s="4"/>
      <c r="M322" s="4"/>
      <c r="N322" s="4"/>
      <c r="O322" s="4"/>
      <c r="P322" s="4"/>
      <c r="Q322" s="4"/>
    </row>
    <row r="323" spans="1:17" ht="12.95" customHeight="1" x14ac:dyDescent="0.2">
      <c r="A323" s="2" t="s">
        <v>35</v>
      </c>
      <c r="B323" s="2" t="s">
        <v>36</v>
      </c>
      <c r="C323" s="2"/>
      <c r="D323" s="2"/>
      <c r="E323" s="3"/>
      <c r="F323" s="2"/>
      <c r="G323" s="2"/>
      <c r="H323" s="2"/>
      <c r="I323" s="13"/>
      <c r="J323" s="2"/>
      <c r="K323" s="2"/>
      <c r="L323" s="2"/>
      <c r="M323" s="2"/>
      <c r="N323" s="2"/>
      <c r="O323" s="2" t="s">
        <v>37</v>
      </c>
      <c r="P323" s="2"/>
      <c r="Q323" s="2"/>
    </row>
    <row r="324" spans="1:17" ht="12.95" customHeight="1" x14ac:dyDescent="0.2">
      <c r="A324" s="2" t="s">
        <v>38</v>
      </c>
      <c r="B324" s="2" t="s">
        <v>36</v>
      </c>
      <c r="C324" s="2"/>
      <c r="D324" s="2"/>
      <c r="E324" s="3"/>
      <c r="F324" s="2"/>
      <c r="G324" s="2"/>
      <c r="H324" s="2"/>
      <c r="I324" s="13"/>
      <c r="J324" s="2"/>
      <c r="K324" s="2"/>
      <c r="L324" s="2"/>
      <c r="M324" s="2"/>
      <c r="N324" s="2"/>
      <c r="O324" s="2" t="s">
        <v>37</v>
      </c>
      <c r="P324" s="2"/>
      <c r="Q324" s="2"/>
    </row>
    <row r="325" spans="1:17" ht="12.95" customHeight="1" x14ac:dyDescent="0.2">
      <c r="A325" s="2" t="s">
        <v>39</v>
      </c>
      <c r="B325" s="2" t="s">
        <v>22</v>
      </c>
      <c r="C325" s="2"/>
      <c r="D325" s="2"/>
      <c r="E325" s="3"/>
      <c r="F325" s="2"/>
      <c r="G325" s="2"/>
      <c r="H325" s="2" t="s">
        <v>46</v>
      </c>
      <c r="I325" s="12" t="s">
        <v>46</v>
      </c>
      <c r="J325" s="2"/>
      <c r="K325" s="2"/>
      <c r="L325" s="2"/>
      <c r="M325" s="2"/>
      <c r="N325" s="2"/>
      <c r="O325" s="2" t="s">
        <v>24</v>
      </c>
      <c r="P325" s="2" t="s">
        <v>25</v>
      </c>
      <c r="Q325" s="2"/>
    </row>
    <row r="326" spans="1:17" ht="12.95" customHeight="1" x14ac:dyDescent="0.2">
      <c r="A326" s="2" t="s">
        <v>40</v>
      </c>
      <c r="B326" s="2" t="s">
        <v>27</v>
      </c>
      <c r="C326" s="2"/>
      <c r="D326" s="2"/>
      <c r="E326" s="3"/>
      <c r="F326" s="2"/>
      <c r="G326" s="2"/>
      <c r="H326" s="2"/>
      <c r="I326" s="13"/>
      <c r="J326" s="2"/>
      <c r="K326" s="2"/>
      <c r="L326" s="2"/>
      <c r="M326" s="2"/>
      <c r="N326" s="2"/>
      <c r="O326" s="2" t="s">
        <v>28</v>
      </c>
      <c r="P326" s="2" t="s">
        <v>25</v>
      </c>
      <c r="Q326" s="2"/>
    </row>
    <row r="327" spans="1:17" ht="12.95" customHeight="1" x14ac:dyDescent="0.2">
      <c r="A327" s="2" t="s">
        <v>41</v>
      </c>
      <c r="B327" s="2" t="s">
        <v>42</v>
      </c>
      <c r="C327" s="2" t="s">
        <v>448</v>
      </c>
      <c r="D327" s="2" t="s">
        <v>305</v>
      </c>
      <c r="E327" s="3" t="s">
        <v>449</v>
      </c>
      <c r="F327" s="2" t="s">
        <v>46</v>
      </c>
      <c r="G327" s="2" t="s">
        <v>450</v>
      </c>
      <c r="H327" s="2" t="s">
        <v>201</v>
      </c>
      <c r="I327" s="13"/>
      <c r="J327" s="2" t="s">
        <v>48</v>
      </c>
      <c r="K327" s="2" t="s">
        <v>451</v>
      </c>
      <c r="L327" s="2"/>
      <c r="M327" s="2" t="s">
        <v>452</v>
      </c>
      <c r="N327" s="2"/>
      <c r="O327" s="2"/>
      <c r="P327" s="2"/>
      <c r="Q327" s="2"/>
    </row>
    <row r="328" spans="1:17" ht="12.95" customHeight="1" x14ac:dyDescent="0.2">
      <c r="A328" s="4" t="s">
        <v>51</v>
      </c>
      <c r="B328" s="4" t="s">
        <v>31</v>
      </c>
      <c r="C328" s="4"/>
      <c r="D328" s="4"/>
      <c r="E328" s="3"/>
      <c r="F328" s="4"/>
      <c r="G328" s="4"/>
      <c r="H328" s="4"/>
      <c r="I328" s="35"/>
      <c r="J328" s="4"/>
      <c r="K328" s="4"/>
      <c r="L328" s="4"/>
      <c r="M328" s="4"/>
      <c r="N328" s="4"/>
      <c r="O328" s="4"/>
      <c r="P328" s="4"/>
      <c r="Q328" s="4"/>
    </row>
    <row r="329" spans="1:17" ht="12.95" customHeight="1" x14ac:dyDescent="0.2">
      <c r="A329" s="4" t="s">
        <v>52</v>
      </c>
      <c r="B329" s="4" t="s">
        <v>31</v>
      </c>
      <c r="C329" s="4"/>
      <c r="D329" s="4"/>
      <c r="E329" s="3"/>
      <c r="F329" s="4"/>
      <c r="G329" s="4"/>
      <c r="H329" s="4"/>
      <c r="I329" s="35"/>
      <c r="J329" s="4"/>
      <c r="K329" s="4"/>
      <c r="L329" s="4"/>
      <c r="M329" s="4"/>
      <c r="N329" s="4"/>
      <c r="O329" s="4"/>
      <c r="P329" s="4"/>
      <c r="Q329" s="4"/>
    </row>
    <row r="330" spans="1:17" x14ac:dyDescent="0.2">
      <c r="A330" s="4" t="s">
        <v>33</v>
      </c>
      <c r="B330" s="4" t="s">
        <v>34</v>
      </c>
      <c r="C330" s="4" t="s">
        <v>34</v>
      </c>
      <c r="D330" s="4" t="s">
        <v>34</v>
      </c>
      <c r="E330" s="4" t="s">
        <v>449</v>
      </c>
      <c r="F330" s="4" t="s">
        <v>46</v>
      </c>
      <c r="G330" s="4" t="s">
        <v>450</v>
      </c>
      <c r="H330" s="4" t="s">
        <v>303</v>
      </c>
      <c r="I330" s="35" t="s">
        <v>46</v>
      </c>
      <c r="J330" s="4" t="s">
        <v>48</v>
      </c>
      <c r="K330" s="4" t="s">
        <v>451</v>
      </c>
      <c r="L330" s="4"/>
      <c r="M330" s="4" t="s">
        <v>452</v>
      </c>
      <c r="N330" s="4"/>
      <c r="O330" s="4"/>
      <c r="P330" s="4"/>
      <c r="Q330" s="4"/>
    </row>
    <row r="331" spans="1:17" ht="12.95" customHeight="1" x14ac:dyDescent="0.2">
      <c r="A331" s="2" t="s">
        <v>54</v>
      </c>
      <c r="B331" s="2" t="s">
        <v>42</v>
      </c>
      <c r="C331" s="2" t="s">
        <v>453</v>
      </c>
      <c r="D331" s="2" t="s">
        <v>305</v>
      </c>
      <c r="E331" s="3" t="s">
        <v>454</v>
      </c>
      <c r="F331" s="2" t="s">
        <v>46</v>
      </c>
      <c r="G331" s="2" t="s">
        <v>300</v>
      </c>
      <c r="H331" s="2" t="s">
        <v>201</v>
      </c>
      <c r="I331" s="13"/>
      <c r="J331" s="2" t="s">
        <v>48</v>
      </c>
      <c r="K331" s="2" t="s">
        <v>452</v>
      </c>
      <c r="L331" s="2"/>
      <c r="M331" s="2" t="s">
        <v>455</v>
      </c>
      <c r="N331" s="2"/>
      <c r="O331" s="2"/>
      <c r="P331" s="2"/>
      <c r="Q331" s="2"/>
    </row>
    <row r="332" spans="1:17" ht="12.95" customHeight="1" x14ac:dyDescent="0.2">
      <c r="A332" s="2" t="s">
        <v>61</v>
      </c>
      <c r="B332" s="2" t="s">
        <v>42</v>
      </c>
      <c r="C332" s="2" t="s">
        <v>456</v>
      </c>
      <c r="D332" s="2" t="s">
        <v>326</v>
      </c>
      <c r="E332" s="3" t="s">
        <v>457</v>
      </c>
      <c r="F332" s="2" t="s">
        <v>46</v>
      </c>
      <c r="G332" s="2" t="s">
        <v>458</v>
      </c>
      <c r="H332" s="2" t="s">
        <v>201</v>
      </c>
      <c r="I332" s="13"/>
      <c r="J332" s="2" t="s">
        <v>48</v>
      </c>
      <c r="K332" s="2" t="s">
        <v>272</v>
      </c>
      <c r="L332" s="2" t="s">
        <v>459</v>
      </c>
      <c r="M332" s="2" t="s">
        <v>460</v>
      </c>
      <c r="N332" s="2"/>
      <c r="O332" s="2"/>
      <c r="P332" s="2"/>
      <c r="Q332" s="2"/>
    </row>
    <row r="333" spans="1:17" ht="12.95" customHeight="1" x14ac:dyDescent="0.2">
      <c r="A333" s="2" t="s">
        <v>68</v>
      </c>
      <c r="B333" s="2" t="s">
        <v>42</v>
      </c>
      <c r="C333" s="2" t="s">
        <v>461</v>
      </c>
      <c r="D333" s="2" t="s">
        <v>344</v>
      </c>
      <c r="E333" s="3" t="s">
        <v>462</v>
      </c>
      <c r="F333" s="2" t="s">
        <v>46</v>
      </c>
      <c r="G333" s="2" t="s">
        <v>463</v>
      </c>
      <c r="H333" s="2" t="s">
        <v>201</v>
      </c>
      <c r="I333" s="13"/>
      <c r="J333" s="2" t="s">
        <v>48</v>
      </c>
      <c r="K333" s="2" t="s">
        <v>464</v>
      </c>
      <c r="L333" s="2"/>
      <c r="M333" s="2" t="s">
        <v>395</v>
      </c>
      <c r="N333" s="2" t="s">
        <v>102</v>
      </c>
      <c r="O333" s="2"/>
      <c r="P333" s="2"/>
      <c r="Q333" s="2"/>
    </row>
    <row r="334" spans="1:17" ht="12.95" customHeight="1" x14ac:dyDescent="0.2">
      <c r="A334" s="2" t="s">
        <v>75</v>
      </c>
      <c r="B334" s="2" t="s">
        <v>42</v>
      </c>
      <c r="C334" s="2" t="s">
        <v>465</v>
      </c>
      <c r="D334" s="2" t="s">
        <v>466</v>
      </c>
      <c r="E334" s="3" t="s">
        <v>467</v>
      </c>
      <c r="F334" s="2"/>
      <c r="G334" s="2" t="s">
        <v>467</v>
      </c>
      <c r="H334" s="2" t="s">
        <v>201</v>
      </c>
      <c r="I334" s="13" t="s">
        <v>102</v>
      </c>
      <c r="J334" s="2" t="s">
        <v>467</v>
      </c>
      <c r="K334" s="2"/>
      <c r="L334" s="2"/>
      <c r="M334" s="2"/>
      <c r="N334" s="2"/>
      <c r="O334" s="2"/>
      <c r="P334" s="2"/>
      <c r="Q334" s="2"/>
    </row>
    <row r="335" spans="1:17" ht="12.95" customHeight="1" x14ac:dyDescent="0.2">
      <c r="A335" s="2" t="s">
        <v>75</v>
      </c>
      <c r="B335" s="2" t="s">
        <v>42</v>
      </c>
      <c r="C335" s="2" t="s">
        <v>468</v>
      </c>
      <c r="D335" s="2" t="s">
        <v>469</v>
      </c>
      <c r="E335" s="3" t="s">
        <v>470</v>
      </c>
      <c r="F335" s="2" t="s">
        <v>46</v>
      </c>
      <c r="G335" s="2" t="s">
        <v>471</v>
      </c>
      <c r="H335" s="2"/>
      <c r="I335" s="13"/>
      <c r="J335" s="2" t="s">
        <v>471</v>
      </c>
      <c r="K335" s="2"/>
      <c r="L335" s="2"/>
      <c r="M335" s="2"/>
      <c r="N335" s="2"/>
      <c r="O335" s="2"/>
      <c r="P335" s="2"/>
      <c r="Q335" s="2"/>
    </row>
    <row r="336" spans="1:17" ht="12.95" customHeight="1" x14ac:dyDescent="0.2">
      <c r="A336" s="2" t="s">
        <v>81</v>
      </c>
      <c r="B336" s="2" t="s">
        <v>42</v>
      </c>
      <c r="C336" s="2" t="s">
        <v>472</v>
      </c>
      <c r="D336" s="2" t="s">
        <v>473</v>
      </c>
      <c r="E336" s="3" t="s">
        <v>197</v>
      </c>
      <c r="F336" s="2" t="s">
        <v>46</v>
      </c>
      <c r="G336" s="2" t="s">
        <v>474</v>
      </c>
      <c r="H336" s="2" t="s">
        <v>201</v>
      </c>
      <c r="I336" s="13"/>
      <c r="J336" s="2" t="s">
        <v>48</v>
      </c>
      <c r="K336" s="2" t="s">
        <v>475</v>
      </c>
      <c r="L336" s="2"/>
      <c r="M336" s="2" t="s">
        <v>121</v>
      </c>
      <c r="N336" s="2"/>
      <c r="O336" s="2"/>
      <c r="P336" s="2"/>
      <c r="Q336" s="2"/>
    </row>
    <row r="337" spans="1:17" ht="12.95" customHeight="1" x14ac:dyDescent="0.2">
      <c r="A337" s="4" t="s">
        <v>87</v>
      </c>
      <c r="B337" s="4" t="s">
        <v>31</v>
      </c>
      <c r="C337" s="4"/>
      <c r="D337" s="4"/>
      <c r="E337" s="3"/>
      <c r="F337" s="4"/>
      <c r="G337" s="4"/>
      <c r="H337" s="4"/>
      <c r="I337" s="35"/>
      <c r="J337" s="4"/>
      <c r="K337" s="4"/>
      <c r="L337" s="4"/>
      <c r="M337" s="4"/>
      <c r="N337" s="4"/>
      <c r="O337" s="4"/>
      <c r="P337" s="4"/>
      <c r="Q337" s="4"/>
    </row>
    <row r="338" spans="1:17" ht="12.95" customHeight="1" x14ac:dyDescent="0.2">
      <c r="A338" s="4" t="s">
        <v>88</v>
      </c>
      <c r="B338" s="4" t="s">
        <v>31</v>
      </c>
      <c r="C338" s="4"/>
      <c r="D338" s="4"/>
      <c r="E338" s="3"/>
      <c r="F338" s="4"/>
      <c r="G338" s="4"/>
      <c r="H338" s="4"/>
      <c r="I338" s="35"/>
      <c r="J338" s="4"/>
      <c r="K338" s="4"/>
      <c r="L338" s="4"/>
      <c r="M338" s="4"/>
      <c r="N338" s="4"/>
      <c r="O338" s="4"/>
      <c r="P338" s="4"/>
      <c r="Q338" s="4"/>
    </row>
    <row r="339" spans="1:17" x14ac:dyDescent="0.2">
      <c r="A339" s="4" t="s">
        <v>33</v>
      </c>
      <c r="B339" s="4" t="s">
        <v>34</v>
      </c>
      <c r="C339" s="4" t="s">
        <v>34</v>
      </c>
      <c r="D339" s="4" t="s">
        <v>34</v>
      </c>
      <c r="E339" s="4" t="s">
        <v>476</v>
      </c>
      <c r="F339" s="4" t="s">
        <v>90</v>
      </c>
      <c r="G339" s="4" t="s">
        <v>477</v>
      </c>
      <c r="H339" s="4" t="s">
        <v>331</v>
      </c>
      <c r="I339" s="35" t="s">
        <v>102</v>
      </c>
      <c r="J339" s="4" t="s">
        <v>478</v>
      </c>
      <c r="K339" s="4" t="s">
        <v>479</v>
      </c>
      <c r="L339" s="4" t="s">
        <v>459</v>
      </c>
      <c r="M339" s="4" t="s">
        <v>480</v>
      </c>
      <c r="N339" s="4" t="s">
        <v>102</v>
      </c>
      <c r="O339" s="4"/>
      <c r="P339" s="4"/>
      <c r="Q339" s="4"/>
    </row>
    <row r="340" spans="1:17" ht="12.95" customHeight="1" x14ac:dyDescent="0.2">
      <c r="A340" s="2" t="s">
        <v>97</v>
      </c>
      <c r="B340" s="2" t="s">
        <v>42</v>
      </c>
      <c r="C340" s="2" t="s">
        <v>481</v>
      </c>
      <c r="D340" s="2" t="s">
        <v>482</v>
      </c>
      <c r="E340" s="3" t="s">
        <v>458</v>
      </c>
      <c r="F340" s="2" t="s">
        <v>46</v>
      </c>
      <c r="G340" s="2" t="s">
        <v>483</v>
      </c>
      <c r="H340" s="2" t="s">
        <v>201</v>
      </c>
      <c r="I340" s="13"/>
      <c r="J340" s="2" t="s">
        <v>48</v>
      </c>
      <c r="K340" s="2" t="s">
        <v>484</v>
      </c>
      <c r="L340" s="2"/>
      <c r="M340" s="2" t="s">
        <v>485</v>
      </c>
      <c r="N340" s="2"/>
      <c r="O340" s="2"/>
      <c r="P340" s="2"/>
      <c r="Q340" s="2"/>
    </row>
    <row r="341" spans="1:17" ht="12.95" customHeight="1" x14ac:dyDescent="0.2">
      <c r="A341" s="2" t="s">
        <v>104</v>
      </c>
      <c r="B341" s="2" t="s">
        <v>42</v>
      </c>
      <c r="C341" s="2" t="s">
        <v>486</v>
      </c>
      <c r="D341" s="2" t="s">
        <v>487</v>
      </c>
      <c r="E341" s="3" t="s">
        <v>474</v>
      </c>
      <c r="F341" s="2" t="s">
        <v>46</v>
      </c>
      <c r="G341" s="2" t="s">
        <v>488</v>
      </c>
      <c r="H341" s="2" t="s">
        <v>125</v>
      </c>
      <c r="I341" s="13"/>
      <c r="J341" s="2" t="s">
        <v>48</v>
      </c>
      <c r="K341" s="2" t="s">
        <v>369</v>
      </c>
      <c r="L341" s="2"/>
      <c r="M341" s="2" t="s">
        <v>489</v>
      </c>
      <c r="N341" s="2" t="s">
        <v>490</v>
      </c>
      <c r="O341" s="2"/>
      <c r="P341" s="2" t="s">
        <v>111</v>
      </c>
      <c r="Q341" s="2"/>
    </row>
    <row r="342" spans="1:17" ht="12.95" customHeight="1" x14ac:dyDescent="0.2">
      <c r="A342" s="2" t="s">
        <v>112</v>
      </c>
      <c r="B342" s="2" t="s">
        <v>22</v>
      </c>
      <c r="C342" s="2"/>
      <c r="D342" s="2"/>
      <c r="E342" s="3"/>
      <c r="F342" s="2"/>
      <c r="G342" s="2"/>
      <c r="H342" s="2" t="s">
        <v>227</v>
      </c>
      <c r="I342" s="13" t="s">
        <v>227</v>
      </c>
      <c r="J342" s="2"/>
      <c r="K342" s="2"/>
      <c r="L342" s="2"/>
      <c r="M342" s="2"/>
      <c r="N342" s="2"/>
      <c r="O342" s="2" t="s">
        <v>24</v>
      </c>
      <c r="P342" s="2"/>
      <c r="Q342" s="2"/>
    </row>
    <row r="343" spans="1:17" ht="12.95" customHeight="1" x14ac:dyDescent="0.2">
      <c r="A343" s="2" t="s">
        <v>114</v>
      </c>
      <c r="B343" s="2" t="s">
        <v>27</v>
      </c>
      <c r="C343" s="2"/>
      <c r="D343" s="2"/>
      <c r="E343" s="3"/>
      <c r="F343" s="2"/>
      <c r="G343" s="2"/>
      <c r="H343" s="2"/>
      <c r="I343" s="13"/>
      <c r="J343" s="2"/>
      <c r="K343" s="2"/>
      <c r="L343" s="2"/>
      <c r="M343" s="2"/>
      <c r="N343" s="2"/>
      <c r="O343" s="2" t="s">
        <v>28</v>
      </c>
      <c r="P343" s="2" t="s">
        <v>111</v>
      </c>
      <c r="Q343" s="2"/>
    </row>
    <row r="344" spans="1:17" ht="12.95" customHeight="1" x14ac:dyDescent="0.2">
      <c r="A344" s="2" t="s">
        <v>115</v>
      </c>
      <c r="B344" s="2" t="s">
        <v>42</v>
      </c>
      <c r="C344" s="2" t="s">
        <v>491</v>
      </c>
      <c r="D344" s="2" t="s">
        <v>492</v>
      </c>
      <c r="E344" s="3" t="s">
        <v>430</v>
      </c>
      <c r="F344" s="2" t="s">
        <v>46</v>
      </c>
      <c r="G344" s="2" t="s">
        <v>431</v>
      </c>
      <c r="H344" s="2" t="s">
        <v>201</v>
      </c>
      <c r="I344" s="13"/>
      <c r="J344" s="2" t="s">
        <v>48</v>
      </c>
      <c r="K344" s="2" t="s">
        <v>272</v>
      </c>
      <c r="L344" s="2" t="s">
        <v>102</v>
      </c>
      <c r="M344" s="2" t="s">
        <v>432</v>
      </c>
      <c r="N344" s="2"/>
      <c r="O344" s="2"/>
      <c r="P344" s="2"/>
      <c r="Q344" s="2"/>
    </row>
    <row r="345" spans="1:17" ht="12.95" customHeight="1" x14ac:dyDescent="0.2">
      <c r="A345" s="4" t="s">
        <v>122</v>
      </c>
      <c r="B345" s="4" t="s">
        <v>31</v>
      </c>
      <c r="C345" s="4"/>
      <c r="D345" s="4"/>
      <c r="E345" s="3"/>
      <c r="F345" s="4"/>
      <c r="G345" s="4"/>
      <c r="H345" s="4"/>
      <c r="I345" s="35"/>
      <c r="J345" s="4"/>
      <c r="K345" s="4"/>
      <c r="L345" s="4"/>
      <c r="M345" s="4"/>
      <c r="N345" s="4"/>
      <c r="O345" s="4"/>
      <c r="P345" s="4"/>
      <c r="Q345" s="4"/>
    </row>
    <row r="346" spans="1:17" ht="12.95" customHeight="1" x14ac:dyDescent="0.2">
      <c r="A346" s="4" t="s">
        <v>123</v>
      </c>
      <c r="B346" s="4" t="s">
        <v>31</v>
      </c>
      <c r="C346" s="4"/>
      <c r="D346" s="4"/>
      <c r="E346" s="3"/>
      <c r="F346" s="4"/>
      <c r="G346" s="4"/>
      <c r="H346" s="4"/>
      <c r="I346" s="35"/>
      <c r="J346" s="4"/>
      <c r="K346" s="4"/>
      <c r="L346" s="4"/>
      <c r="M346" s="4"/>
      <c r="N346" s="4"/>
      <c r="O346" s="4"/>
      <c r="P346" s="4"/>
      <c r="Q346" s="4"/>
    </row>
    <row r="347" spans="1:17" x14ac:dyDescent="0.2">
      <c r="A347" s="4" t="s">
        <v>33</v>
      </c>
      <c r="B347" s="4" t="s">
        <v>34</v>
      </c>
      <c r="C347" s="4" t="s">
        <v>34</v>
      </c>
      <c r="D347" s="4" t="s">
        <v>34</v>
      </c>
      <c r="E347" s="4" t="s">
        <v>493</v>
      </c>
      <c r="F347" s="4" t="s">
        <v>125</v>
      </c>
      <c r="G347" s="4" t="s">
        <v>494</v>
      </c>
      <c r="H347" s="4" t="s">
        <v>230</v>
      </c>
      <c r="I347" s="35" t="s">
        <v>227</v>
      </c>
      <c r="J347" s="4" t="s">
        <v>352</v>
      </c>
      <c r="K347" s="4" t="s">
        <v>495</v>
      </c>
      <c r="L347" s="4" t="s">
        <v>102</v>
      </c>
      <c r="M347" s="4" t="s">
        <v>442</v>
      </c>
      <c r="N347" s="4" t="s">
        <v>490</v>
      </c>
      <c r="O347" s="4"/>
      <c r="P347" s="4"/>
      <c r="Q347" s="4"/>
    </row>
    <row r="348" spans="1:17" ht="12.95" customHeight="1" x14ac:dyDescent="0.2">
      <c r="A348" s="2" t="s">
        <v>131</v>
      </c>
      <c r="B348" s="2" t="s">
        <v>42</v>
      </c>
      <c r="C348" s="2" t="s">
        <v>496</v>
      </c>
      <c r="D348" s="2" t="s">
        <v>497</v>
      </c>
      <c r="E348" s="3" t="s">
        <v>197</v>
      </c>
      <c r="F348" s="2" t="s">
        <v>46</v>
      </c>
      <c r="G348" s="2" t="s">
        <v>474</v>
      </c>
      <c r="H348" s="2" t="s">
        <v>201</v>
      </c>
      <c r="I348" s="13"/>
      <c r="J348" s="2" t="s">
        <v>48</v>
      </c>
      <c r="K348" s="2" t="s">
        <v>475</v>
      </c>
      <c r="L348" s="2"/>
      <c r="M348" s="2" t="s">
        <v>121</v>
      </c>
      <c r="N348" s="2"/>
      <c r="O348" s="2"/>
      <c r="P348" s="2"/>
      <c r="Q348" s="2"/>
    </row>
    <row r="349" spans="1:17" ht="12.95" customHeight="1" x14ac:dyDescent="0.2">
      <c r="A349" s="2" t="s">
        <v>138</v>
      </c>
      <c r="B349" s="2" t="s">
        <v>42</v>
      </c>
      <c r="C349" s="2" t="s">
        <v>53</v>
      </c>
      <c r="D349" s="2" t="s">
        <v>195</v>
      </c>
      <c r="E349" s="3" t="s">
        <v>498</v>
      </c>
      <c r="F349" s="2" t="s">
        <v>46</v>
      </c>
      <c r="G349" s="2" t="s">
        <v>499</v>
      </c>
      <c r="H349" s="2" t="s">
        <v>201</v>
      </c>
      <c r="I349" s="13" t="s">
        <v>315</v>
      </c>
      <c r="J349" s="2" t="s">
        <v>499</v>
      </c>
      <c r="K349" s="2"/>
      <c r="L349" s="2"/>
      <c r="M349" s="2"/>
      <c r="N349" s="2" t="s">
        <v>207</v>
      </c>
      <c r="O349" s="2"/>
      <c r="P349" s="2"/>
      <c r="Q349" s="2"/>
    </row>
    <row r="350" spans="1:17" ht="12.95" customHeight="1" x14ac:dyDescent="0.2">
      <c r="A350" s="2" t="s">
        <v>143</v>
      </c>
      <c r="B350" s="2" t="s">
        <v>42</v>
      </c>
      <c r="C350" s="2" t="s">
        <v>500</v>
      </c>
      <c r="D350" s="2" t="s">
        <v>501</v>
      </c>
      <c r="E350" s="3" t="s">
        <v>458</v>
      </c>
      <c r="F350" s="2" t="s">
        <v>46</v>
      </c>
      <c r="G350" s="2" t="s">
        <v>483</v>
      </c>
      <c r="H350" s="2" t="s">
        <v>201</v>
      </c>
      <c r="I350" s="13"/>
      <c r="J350" s="2" t="s">
        <v>48</v>
      </c>
      <c r="K350" s="2" t="s">
        <v>484</v>
      </c>
      <c r="L350" s="2"/>
      <c r="M350" s="2" t="s">
        <v>485</v>
      </c>
      <c r="N350" s="2" t="s">
        <v>445</v>
      </c>
      <c r="O350" s="2"/>
      <c r="P350" s="2"/>
      <c r="Q350" s="2"/>
    </row>
    <row r="351" spans="1:17" ht="12.95" customHeight="1" x14ac:dyDescent="0.2">
      <c r="A351" s="2" t="s">
        <v>148</v>
      </c>
      <c r="B351" s="2" t="s">
        <v>42</v>
      </c>
      <c r="C351" s="2"/>
      <c r="D351" s="2"/>
      <c r="E351" s="3"/>
      <c r="F351" s="2"/>
      <c r="G351" s="2"/>
      <c r="H351" s="2"/>
      <c r="I351" s="13"/>
      <c r="J351" s="2"/>
      <c r="K351" s="2"/>
      <c r="L351" s="2"/>
      <c r="M351" s="2"/>
      <c r="N351" s="2"/>
      <c r="O351" s="2" t="s">
        <v>194</v>
      </c>
      <c r="P351" s="2"/>
      <c r="Q351" s="2"/>
    </row>
    <row r="352" spans="1:17" ht="12.95" customHeight="1" x14ac:dyDescent="0.2">
      <c r="A352" s="2" t="s">
        <v>155</v>
      </c>
      <c r="B352" s="2" t="s">
        <v>42</v>
      </c>
      <c r="C352" s="2"/>
      <c r="D352" s="2"/>
      <c r="E352" s="3"/>
      <c r="F352" s="2"/>
      <c r="G352" s="2"/>
      <c r="H352" s="2"/>
      <c r="I352" s="13"/>
      <c r="J352" s="2"/>
      <c r="K352" s="2"/>
      <c r="L352" s="2"/>
      <c r="M352" s="2"/>
      <c r="N352" s="2"/>
      <c r="O352" s="2" t="s">
        <v>194</v>
      </c>
      <c r="P352" s="2"/>
      <c r="Q352" s="2"/>
    </row>
    <row r="353" spans="1:17" ht="12.95" customHeight="1" x14ac:dyDescent="0.2">
      <c r="A353" s="8" t="s">
        <v>161</v>
      </c>
      <c r="B353" s="8"/>
      <c r="C353" s="8"/>
      <c r="D353" s="8"/>
      <c r="E353" s="5" t="s">
        <v>502</v>
      </c>
      <c r="F353" s="5" t="s">
        <v>503</v>
      </c>
      <c r="G353" s="5" t="s">
        <v>504</v>
      </c>
      <c r="H353" s="5" t="s">
        <v>505</v>
      </c>
      <c r="I353" s="36" t="s">
        <v>134</v>
      </c>
      <c r="J353" s="5" t="s">
        <v>506</v>
      </c>
      <c r="K353" s="5" t="s">
        <v>99</v>
      </c>
      <c r="L353" s="5" t="s">
        <v>240</v>
      </c>
      <c r="M353" s="5" t="s">
        <v>507</v>
      </c>
      <c r="N353" s="5" t="s">
        <v>508</v>
      </c>
      <c r="O353" s="5"/>
      <c r="P353" s="5"/>
      <c r="Q353" s="5"/>
    </row>
    <row r="354" spans="1:17" ht="12.95" customHeight="1" x14ac:dyDescent="0.2">
      <c r="A354" s="8" t="s">
        <v>171</v>
      </c>
      <c r="B354" s="8"/>
      <c r="C354" s="8"/>
      <c r="D354" s="8"/>
      <c r="E354" s="5" t="s">
        <v>502</v>
      </c>
      <c r="F354" s="5" t="s">
        <v>503</v>
      </c>
      <c r="G354" s="5" t="s">
        <v>504</v>
      </c>
      <c r="H354" s="5" t="s">
        <v>505</v>
      </c>
      <c r="I354" s="36" t="s">
        <v>296</v>
      </c>
      <c r="J354" s="5" t="s">
        <v>506</v>
      </c>
      <c r="K354" s="5" t="s">
        <v>99</v>
      </c>
      <c r="L354" s="5" t="s">
        <v>240</v>
      </c>
      <c r="M354" s="5" t="s">
        <v>507</v>
      </c>
      <c r="N354" s="5" t="s">
        <v>508</v>
      </c>
      <c r="O354" s="5"/>
      <c r="P354" s="5"/>
      <c r="Q354" s="5"/>
    </row>
    <row r="355" spans="1:17" ht="12.95" customHeight="1" x14ac:dyDescent="0.2">
      <c r="A355" s="8" t="s">
        <v>173</v>
      </c>
      <c r="B355" s="8"/>
      <c r="C355" s="8"/>
      <c r="D355" s="8"/>
      <c r="E355" s="5">
        <v>123.65</v>
      </c>
      <c r="F355" s="5">
        <v>6</v>
      </c>
      <c r="G355" s="5">
        <v>117.65</v>
      </c>
      <c r="H355" s="5">
        <v>103.5</v>
      </c>
      <c r="I355" s="36">
        <v>0</v>
      </c>
      <c r="J355" s="5">
        <v>100.58</v>
      </c>
      <c r="K355" s="5">
        <v>16.68</v>
      </c>
      <c r="L355" s="5">
        <v>0.38</v>
      </c>
      <c r="M355" s="5">
        <v>23.06</v>
      </c>
      <c r="N355" s="5">
        <v>2.93</v>
      </c>
      <c r="O355" s="5"/>
      <c r="P355" s="5"/>
      <c r="Q355" s="5"/>
    </row>
    <row r="356" spans="1:17" x14ac:dyDescent="0.2">
      <c r="I356" s="37"/>
    </row>
    <row r="357" spans="1:17" ht="12.95" customHeight="1" x14ac:dyDescent="0.2">
      <c r="A357" s="9" t="s">
        <v>174</v>
      </c>
      <c r="B357" s="9"/>
      <c r="C357" s="9"/>
      <c r="E357" s="9" t="s">
        <v>180</v>
      </c>
      <c r="F357" s="9"/>
      <c r="G357" s="9"/>
      <c r="I357" s="9" t="s">
        <v>181</v>
      </c>
      <c r="J357" s="9"/>
      <c r="K357" s="9"/>
    </row>
    <row r="358" spans="1:17" ht="12.95" customHeight="1" x14ac:dyDescent="0.2">
      <c r="A358" s="10" t="s">
        <v>175</v>
      </c>
      <c r="B358" s="10"/>
      <c r="C358" s="6">
        <v>12</v>
      </c>
      <c r="E358" s="10" t="s">
        <v>14</v>
      </c>
      <c r="F358" s="10"/>
      <c r="G358" s="6">
        <v>100.58</v>
      </c>
      <c r="I358" s="10" t="s">
        <v>264</v>
      </c>
      <c r="J358" s="10"/>
      <c r="K358" s="17">
        <v>2</v>
      </c>
    </row>
    <row r="359" spans="1:17" ht="12.95" customHeight="1" x14ac:dyDescent="0.2">
      <c r="A359" s="10" t="s">
        <v>1531</v>
      </c>
      <c r="B359" s="10"/>
      <c r="C359" s="6">
        <v>22</v>
      </c>
      <c r="E359" s="10" t="s">
        <v>15</v>
      </c>
      <c r="F359" s="10"/>
      <c r="G359" s="6">
        <v>16.68</v>
      </c>
      <c r="I359" s="10" t="s">
        <v>27</v>
      </c>
      <c r="J359" s="10"/>
      <c r="K359" s="26">
        <v>3</v>
      </c>
    </row>
    <row r="360" spans="1:17" ht="12.95" customHeight="1" x14ac:dyDescent="0.2">
      <c r="A360" s="10" t="s">
        <v>176</v>
      </c>
      <c r="B360" s="10"/>
      <c r="C360" s="6">
        <v>123.65</v>
      </c>
      <c r="E360" s="10" t="s">
        <v>267</v>
      </c>
      <c r="F360" s="10"/>
      <c r="G360" s="6">
        <v>0.38</v>
      </c>
      <c r="I360" s="10" t="s">
        <v>22</v>
      </c>
      <c r="J360" s="10"/>
      <c r="K360" s="26">
        <v>3</v>
      </c>
    </row>
    <row r="361" spans="1:17" ht="12.95" customHeight="1" x14ac:dyDescent="0.2">
      <c r="A361" s="10" t="s">
        <v>177</v>
      </c>
      <c r="B361" s="10"/>
      <c r="C361" s="6">
        <v>103.5</v>
      </c>
      <c r="I361" s="10" t="s">
        <v>36</v>
      </c>
      <c r="J361" s="10"/>
      <c r="K361" s="26">
        <v>2</v>
      </c>
    </row>
    <row r="362" spans="1:17" ht="12.95" customHeight="1" x14ac:dyDescent="0.2">
      <c r="A362" s="10" t="s">
        <v>11</v>
      </c>
      <c r="B362" s="10"/>
      <c r="C362" s="6">
        <v>117.65</v>
      </c>
      <c r="I362" s="39" t="s">
        <v>1591</v>
      </c>
      <c r="J362" s="19"/>
      <c r="K362" s="21">
        <v>1.5</v>
      </c>
    </row>
    <row r="363" spans="1:17" ht="12.95" customHeight="1" x14ac:dyDescent="0.2">
      <c r="A363" s="10" t="s">
        <v>178</v>
      </c>
      <c r="B363" s="10"/>
      <c r="C363" s="30">
        <v>8.91</v>
      </c>
      <c r="I363" s="39" t="s">
        <v>1592</v>
      </c>
      <c r="J363" s="19"/>
      <c r="K363" s="21">
        <v>2</v>
      </c>
    </row>
    <row r="364" spans="1:17" ht="12.95" customHeight="1" x14ac:dyDescent="0.25">
      <c r="A364" s="28" t="s">
        <v>1571</v>
      </c>
      <c r="B364" s="27"/>
      <c r="C364" s="31">
        <v>-1</v>
      </c>
      <c r="I364" s="41" t="s">
        <v>1593</v>
      </c>
      <c r="J364" s="40"/>
      <c r="K364" s="42">
        <f>K358+K362+K363</f>
        <v>5.5</v>
      </c>
    </row>
    <row r="365" spans="1:17" ht="12.95" customHeight="1" x14ac:dyDescent="0.2">
      <c r="A365" s="29" t="s">
        <v>1572</v>
      </c>
      <c r="B365" s="29"/>
      <c r="C365" s="32">
        <f>C363+C364</f>
        <v>7.91</v>
      </c>
    </row>
    <row r="366" spans="1:17" x14ac:dyDescent="0.2">
      <c r="A366" s="10" t="s">
        <v>10</v>
      </c>
      <c r="B366" s="10"/>
      <c r="C366" s="6">
        <v>6</v>
      </c>
    </row>
    <row r="367" spans="1:17" x14ac:dyDescent="0.2">
      <c r="A367" t="s">
        <v>1615</v>
      </c>
      <c r="C367" cm="1">
        <f t="array" ref="C367">IFERROR(SUMPRODUCT(ISNUMBER(SEARCH("מילואים",O318:O356))*(C318:C356&lt;&gt;"")*(J318:J356+0))*24,0)</f>
        <v>0</v>
      </c>
    </row>
    <row r="368" spans="1:17" ht="12.95" customHeight="1" x14ac:dyDescent="0.2">
      <c r="A368" s="7" t="s">
        <v>509</v>
      </c>
      <c r="B368" s="7"/>
      <c r="C368" s="7"/>
      <c r="D368" s="7" t="s">
        <v>1</v>
      </c>
      <c r="E368" s="7"/>
      <c r="F368" s="7"/>
      <c r="G368" s="7"/>
      <c r="H368" s="7" t="s">
        <v>2</v>
      </c>
      <c r="I368" s="7"/>
      <c r="J368" s="7"/>
      <c r="K368" s="7"/>
      <c r="L368" s="7"/>
      <c r="M368" s="7"/>
      <c r="N368" s="7"/>
      <c r="O368" s="7"/>
      <c r="P368" s="7"/>
    </row>
    <row r="369" spans="1:16" ht="12.95" customHeight="1" x14ac:dyDescent="0.2">
      <c r="A369" s="7" t="s">
        <v>3</v>
      </c>
      <c r="B369" s="7"/>
      <c r="C369" s="7"/>
      <c r="D369" s="7"/>
      <c r="E369" s="7"/>
      <c r="F369" s="7" t="s">
        <v>510</v>
      </c>
      <c r="G369" s="7"/>
      <c r="H369" s="7" t="s">
        <v>4</v>
      </c>
      <c r="I369" s="7"/>
      <c r="J369" s="7"/>
      <c r="K369" s="7"/>
      <c r="L369" s="7"/>
      <c r="M369" s="7"/>
      <c r="N369" s="7"/>
      <c r="O369" s="7"/>
      <c r="P369" s="7"/>
    </row>
    <row r="370" spans="1:16" ht="22.5" customHeight="1" x14ac:dyDescent="0.2">
      <c r="A370" s="1" t="s">
        <v>5</v>
      </c>
      <c r="B370" s="1" t="s">
        <v>6</v>
      </c>
      <c r="C370" s="1" t="s">
        <v>7</v>
      </c>
      <c r="D370" s="1" t="s">
        <v>8</v>
      </c>
      <c r="E370" s="1" t="s">
        <v>9</v>
      </c>
      <c r="F370" s="1" t="s">
        <v>10</v>
      </c>
      <c r="G370" s="1" t="s">
        <v>11</v>
      </c>
      <c r="H370" s="1" t="s">
        <v>12</v>
      </c>
      <c r="I370" s="1" t="s">
        <v>13</v>
      </c>
      <c r="J370" s="1" t="s">
        <v>14</v>
      </c>
      <c r="K370" s="1" t="s">
        <v>15</v>
      </c>
      <c r="L370" s="1" t="s">
        <v>16</v>
      </c>
      <c r="M370" s="1" t="s">
        <v>17</v>
      </c>
      <c r="N370" s="1" t="s">
        <v>18</v>
      </c>
      <c r="O370" s="1" t="s">
        <v>19</v>
      </c>
      <c r="P370" s="1" t="s">
        <v>20</v>
      </c>
    </row>
    <row r="371" spans="1:16" ht="12.95" customHeight="1" x14ac:dyDescent="0.2">
      <c r="A371" s="2" t="s">
        <v>21</v>
      </c>
      <c r="B371" s="2" t="s">
        <v>22</v>
      </c>
      <c r="C371" s="2"/>
      <c r="D371" s="2"/>
      <c r="E371" s="3"/>
      <c r="F371" s="2"/>
      <c r="G371" s="2"/>
      <c r="H371" s="2" t="s">
        <v>23</v>
      </c>
      <c r="I371" s="12" t="s">
        <v>23</v>
      </c>
      <c r="J371" s="2"/>
      <c r="K371" s="2"/>
      <c r="L371" s="2"/>
      <c r="M371" s="2"/>
      <c r="N371" s="2" t="s">
        <v>24</v>
      </c>
      <c r="O371" s="2" t="s">
        <v>25</v>
      </c>
      <c r="P371" s="2"/>
    </row>
    <row r="372" spans="1:16" ht="12.95" customHeight="1" x14ac:dyDescent="0.2">
      <c r="A372" s="2" t="s">
        <v>26</v>
      </c>
      <c r="B372" s="2" t="s">
        <v>27</v>
      </c>
      <c r="C372" s="2"/>
      <c r="D372" s="2"/>
      <c r="E372" s="3"/>
      <c r="F372" s="2"/>
      <c r="G372" s="2"/>
      <c r="H372" s="2"/>
      <c r="I372" s="13"/>
      <c r="J372" s="2"/>
      <c r="K372" s="2"/>
      <c r="L372" s="2"/>
      <c r="M372" s="2"/>
      <c r="N372" s="2" t="s">
        <v>28</v>
      </c>
      <c r="O372" s="2" t="s">
        <v>29</v>
      </c>
      <c r="P372" s="2"/>
    </row>
    <row r="373" spans="1:16" ht="12.95" customHeight="1" x14ac:dyDescent="0.2">
      <c r="A373" s="4" t="s">
        <v>30</v>
      </c>
      <c r="B373" s="4" t="s">
        <v>31</v>
      </c>
      <c r="C373" s="4"/>
      <c r="D373" s="4"/>
      <c r="E373" s="3"/>
      <c r="F373" s="4"/>
      <c r="G373" s="4"/>
      <c r="H373" s="4"/>
      <c r="I373" s="35"/>
      <c r="J373" s="4"/>
      <c r="K373" s="4"/>
      <c r="L373" s="4"/>
      <c r="M373" s="4"/>
      <c r="N373" s="4"/>
      <c r="O373" s="4"/>
      <c r="P373" s="4"/>
    </row>
    <row r="374" spans="1:16" ht="12.95" customHeight="1" x14ac:dyDescent="0.2">
      <c r="A374" s="4" t="s">
        <v>32</v>
      </c>
      <c r="B374" s="4" t="s">
        <v>31</v>
      </c>
      <c r="C374" s="4"/>
      <c r="D374" s="4"/>
      <c r="E374" s="3"/>
      <c r="F374" s="4"/>
      <c r="G374" s="4"/>
      <c r="H374" s="4"/>
      <c r="I374" s="35"/>
      <c r="J374" s="4"/>
      <c r="K374" s="4"/>
      <c r="L374" s="4"/>
      <c r="M374" s="4"/>
      <c r="N374" s="4"/>
      <c r="O374" s="4"/>
      <c r="P374" s="4"/>
    </row>
    <row r="375" spans="1:16" x14ac:dyDescent="0.2">
      <c r="A375" s="4" t="s">
        <v>33</v>
      </c>
      <c r="B375" s="4" t="s">
        <v>34</v>
      </c>
      <c r="C375" s="4" t="s">
        <v>34</v>
      </c>
      <c r="D375" s="4" t="s">
        <v>34</v>
      </c>
      <c r="E375" s="4"/>
      <c r="F375" s="4"/>
      <c r="G375" s="4"/>
      <c r="H375" s="4" t="s">
        <v>23</v>
      </c>
      <c r="I375" s="35" t="s">
        <v>23</v>
      </c>
      <c r="J375" s="4"/>
      <c r="K375" s="4"/>
      <c r="L375" s="4"/>
      <c r="M375" s="4"/>
      <c r="N375" s="4"/>
      <c r="O375" s="4"/>
      <c r="P375" s="4"/>
    </row>
    <row r="376" spans="1:16" ht="12.95" customHeight="1" x14ac:dyDescent="0.2">
      <c r="A376" s="2" t="s">
        <v>35</v>
      </c>
      <c r="B376" s="2" t="s">
        <v>36</v>
      </c>
      <c r="C376" s="2"/>
      <c r="D376" s="2"/>
      <c r="E376" s="3"/>
      <c r="F376" s="2"/>
      <c r="G376" s="2"/>
      <c r="H376" s="2"/>
      <c r="I376" s="13"/>
      <c r="J376" s="2"/>
      <c r="K376" s="2"/>
      <c r="L376" s="2"/>
      <c r="M376" s="2"/>
      <c r="N376" s="2" t="s">
        <v>37</v>
      </c>
      <c r="O376" s="2"/>
      <c r="P376" s="2"/>
    </row>
    <row r="377" spans="1:16" ht="12.95" customHeight="1" x14ac:dyDescent="0.2">
      <c r="A377" s="2" t="s">
        <v>38</v>
      </c>
      <c r="B377" s="2" t="s">
        <v>36</v>
      </c>
      <c r="C377" s="2"/>
      <c r="D377" s="2"/>
      <c r="E377" s="3"/>
      <c r="F377" s="2"/>
      <c r="G377" s="2"/>
      <c r="H377" s="2"/>
      <c r="I377" s="13"/>
      <c r="J377" s="2"/>
      <c r="K377" s="2"/>
      <c r="L377" s="2"/>
      <c r="M377" s="2"/>
      <c r="N377" s="2" t="s">
        <v>37</v>
      </c>
      <c r="O377" s="2"/>
      <c r="P377" s="2"/>
    </row>
    <row r="378" spans="1:16" ht="12.95" customHeight="1" x14ac:dyDescent="0.2">
      <c r="A378" s="2" t="s">
        <v>39</v>
      </c>
      <c r="B378" s="2" t="s">
        <v>22</v>
      </c>
      <c r="C378" s="2"/>
      <c r="D378" s="2"/>
      <c r="E378" s="3"/>
      <c r="F378" s="2"/>
      <c r="G378" s="2"/>
      <c r="H378" s="2" t="s">
        <v>23</v>
      </c>
      <c r="I378" s="12" t="s">
        <v>23</v>
      </c>
      <c r="J378" s="2"/>
      <c r="K378" s="2"/>
      <c r="L378" s="2"/>
      <c r="M378" s="2"/>
      <c r="N378" s="2" t="s">
        <v>24</v>
      </c>
      <c r="O378" s="2" t="s">
        <v>25</v>
      </c>
      <c r="P378" s="2"/>
    </row>
    <row r="379" spans="1:16" ht="12.95" customHeight="1" x14ac:dyDescent="0.2">
      <c r="A379" s="2" t="s">
        <v>40</v>
      </c>
      <c r="B379" s="2" t="s">
        <v>27</v>
      </c>
      <c r="C379" s="2"/>
      <c r="D379" s="2"/>
      <c r="E379" s="3"/>
      <c r="F379" s="2"/>
      <c r="G379" s="2"/>
      <c r="H379" s="2"/>
      <c r="I379" s="13"/>
      <c r="J379" s="2"/>
      <c r="K379" s="2"/>
      <c r="L379" s="2"/>
      <c r="M379" s="2"/>
      <c r="N379" s="2" t="s">
        <v>28</v>
      </c>
      <c r="O379" s="2" t="s">
        <v>25</v>
      </c>
      <c r="P379" s="2"/>
    </row>
    <row r="380" spans="1:16" ht="12.95" customHeight="1" x14ac:dyDescent="0.2">
      <c r="A380" s="2" t="s">
        <v>41</v>
      </c>
      <c r="B380" s="2" t="s">
        <v>42</v>
      </c>
      <c r="C380" s="2"/>
      <c r="D380" s="2"/>
      <c r="E380" s="3"/>
      <c r="F380" s="2"/>
      <c r="G380" s="2"/>
      <c r="H380" s="2" t="s">
        <v>48</v>
      </c>
      <c r="I380" s="12" t="s">
        <v>48</v>
      </c>
      <c r="J380" s="2"/>
      <c r="K380" s="2"/>
      <c r="L380" s="2"/>
      <c r="M380" s="2"/>
      <c r="N380" s="2"/>
      <c r="O380" s="2"/>
      <c r="P380" s="2"/>
    </row>
    <row r="381" spans="1:16" ht="12.95" customHeight="1" x14ac:dyDescent="0.2">
      <c r="A381" s="4" t="s">
        <v>51</v>
      </c>
      <c r="B381" s="4" t="s">
        <v>31</v>
      </c>
      <c r="C381" s="4"/>
      <c r="D381" s="4"/>
      <c r="E381" s="3"/>
      <c r="F381" s="4"/>
      <c r="G381" s="4"/>
      <c r="H381" s="4"/>
      <c r="I381" s="35"/>
      <c r="J381" s="4"/>
      <c r="K381" s="4"/>
      <c r="L381" s="4"/>
      <c r="M381" s="4"/>
      <c r="N381" s="4"/>
      <c r="O381" s="4"/>
      <c r="P381" s="4"/>
    </row>
    <row r="382" spans="1:16" ht="12.95" customHeight="1" x14ac:dyDescent="0.2">
      <c r="A382" s="4" t="s">
        <v>52</v>
      </c>
      <c r="B382" s="4" t="s">
        <v>31</v>
      </c>
      <c r="C382" s="4"/>
      <c r="D382" s="4"/>
      <c r="E382" s="3"/>
      <c r="F382" s="4"/>
      <c r="G382" s="4"/>
      <c r="H382" s="4"/>
      <c r="I382" s="35"/>
      <c r="J382" s="4"/>
      <c r="K382" s="4"/>
      <c r="L382" s="4"/>
      <c r="M382" s="4"/>
      <c r="N382" s="4"/>
      <c r="O382" s="4"/>
      <c r="P382" s="4"/>
    </row>
    <row r="383" spans="1:16" x14ac:dyDescent="0.2">
      <c r="A383" s="4" t="s">
        <v>33</v>
      </c>
      <c r="B383" s="4" t="s">
        <v>34</v>
      </c>
      <c r="C383" s="4" t="s">
        <v>34</v>
      </c>
      <c r="D383" s="4" t="s">
        <v>34</v>
      </c>
      <c r="E383" s="4"/>
      <c r="F383" s="4"/>
      <c r="G383" s="4"/>
      <c r="H383" s="4" t="s">
        <v>53</v>
      </c>
      <c r="I383" s="35" t="s">
        <v>53</v>
      </c>
      <c r="J383" s="4"/>
      <c r="K383" s="4"/>
      <c r="L383" s="4"/>
      <c r="M383" s="4"/>
      <c r="N383" s="4"/>
      <c r="O383" s="4"/>
      <c r="P383" s="4"/>
    </row>
    <row r="384" spans="1:16" ht="12.95" customHeight="1" x14ac:dyDescent="0.2">
      <c r="A384" s="2" t="s">
        <v>54</v>
      </c>
      <c r="B384" s="2" t="s">
        <v>42</v>
      </c>
      <c r="C384" s="2"/>
      <c r="D384" s="2"/>
      <c r="E384" s="3"/>
      <c r="F384" s="2"/>
      <c r="G384" s="2"/>
      <c r="H384" s="2" t="s">
        <v>48</v>
      </c>
      <c r="I384" s="12" t="s">
        <v>48</v>
      </c>
      <c r="J384" s="2"/>
      <c r="K384" s="2"/>
      <c r="L384" s="2"/>
      <c r="M384" s="2"/>
      <c r="N384" s="2"/>
      <c r="O384" s="2"/>
      <c r="P384" s="2"/>
    </row>
    <row r="385" spans="1:16" ht="12.95" customHeight="1" x14ac:dyDescent="0.2">
      <c r="A385" s="2" t="s">
        <v>61</v>
      </c>
      <c r="B385" s="2" t="s">
        <v>42</v>
      </c>
      <c r="C385" s="2"/>
      <c r="D385" s="2"/>
      <c r="E385" s="3"/>
      <c r="F385" s="2"/>
      <c r="G385" s="2"/>
      <c r="H385" s="2" t="s">
        <v>48</v>
      </c>
      <c r="I385" s="12" t="s">
        <v>48</v>
      </c>
      <c r="J385" s="2"/>
      <c r="K385" s="2"/>
      <c r="L385" s="2"/>
      <c r="M385" s="2"/>
      <c r="N385" s="2"/>
      <c r="O385" s="2"/>
      <c r="P385" s="2"/>
    </row>
    <row r="386" spans="1:16" ht="12.95" customHeight="1" x14ac:dyDescent="0.2">
      <c r="A386" s="2" t="s">
        <v>68</v>
      </c>
      <c r="B386" s="2" t="s">
        <v>42</v>
      </c>
      <c r="C386" s="2" t="s">
        <v>277</v>
      </c>
      <c r="D386" s="2" t="s">
        <v>367</v>
      </c>
      <c r="E386" s="3" t="s">
        <v>134</v>
      </c>
      <c r="F386" s="2" t="s">
        <v>46</v>
      </c>
      <c r="G386" s="2" t="s">
        <v>135</v>
      </c>
      <c r="H386" s="2" t="s">
        <v>48</v>
      </c>
      <c r="I386" s="13"/>
      <c r="J386" s="2" t="s">
        <v>48</v>
      </c>
      <c r="K386" s="2" t="s">
        <v>136</v>
      </c>
      <c r="L386" s="2" t="s">
        <v>136</v>
      </c>
      <c r="M386" s="2" t="s">
        <v>172</v>
      </c>
      <c r="N386" s="2"/>
      <c r="O386" s="2"/>
      <c r="P386" s="2"/>
    </row>
    <row r="387" spans="1:16" ht="12.95" customHeight="1" x14ac:dyDescent="0.2">
      <c r="A387" s="2" t="s">
        <v>75</v>
      </c>
      <c r="B387" s="2" t="s">
        <v>42</v>
      </c>
      <c r="C387" s="2" t="s">
        <v>119</v>
      </c>
      <c r="D387" s="2" t="s">
        <v>70</v>
      </c>
      <c r="E387" s="3" t="s">
        <v>189</v>
      </c>
      <c r="F387" s="2" t="s">
        <v>46</v>
      </c>
      <c r="G387" s="2" t="s">
        <v>511</v>
      </c>
      <c r="H387" s="2" t="s">
        <v>48</v>
      </c>
      <c r="I387" s="13"/>
      <c r="J387" s="2" t="s">
        <v>48</v>
      </c>
      <c r="K387" s="2" t="s">
        <v>512</v>
      </c>
      <c r="L387" s="2" t="s">
        <v>512</v>
      </c>
      <c r="M387" s="2" t="s">
        <v>414</v>
      </c>
      <c r="N387" s="2"/>
      <c r="O387" s="2"/>
      <c r="P387" s="2"/>
    </row>
    <row r="388" spans="1:16" ht="12.95" customHeight="1" x14ac:dyDescent="0.2">
      <c r="A388" s="2" t="s">
        <v>81</v>
      </c>
      <c r="B388" s="2" t="s">
        <v>42</v>
      </c>
      <c r="C388" s="2"/>
      <c r="D388" s="2"/>
      <c r="E388" s="3"/>
      <c r="F388" s="2"/>
      <c r="G388" s="2"/>
      <c r="H388" s="2" t="s">
        <v>48</v>
      </c>
      <c r="I388" s="12" t="s">
        <v>48</v>
      </c>
      <c r="J388" s="2"/>
      <c r="K388" s="2"/>
      <c r="L388" s="2"/>
      <c r="M388" s="2"/>
      <c r="N388" s="2"/>
      <c r="O388" s="2"/>
      <c r="P388" s="2"/>
    </row>
    <row r="389" spans="1:16" ht="12.95" customHeight="1" x14ac:dyDescent="0.2">
      <c r="A389" s="4" t="s">
        <v>87</v>
      </c>
      <c r="B389" s="4" t="s">
        <v>31</v>
      </c>
      <c r="C389" s="4"/>
      <c r="D389" s="4"/>
      <c r="E389" s="3"/>
      <c r="F389" s="4"/>
      <c r="G389" s="4"/>
      <c r="H389" s="4"/>
      <c r="I389" s="35"/>
      <c r="J389" s="4"/>
      <c r="K389" s="4"/>
      <c r="L389" s="4"/>
      <c r="M389" s="4"/>
      <c r="N389" s="4"/>
      <c r="O389" s="4"/>
      <c r="P389" s="4"/>
    </row>
    <row r="390" spans="1:16" ht="12.95" customHeight="1" x14ac:dyDescent="0.2">
      <c r="A390" s="4" t="s">
        <v>88</v>
      </c>
      <c r="B390" s="4" t="s">
        <v>31</v>
      </c>
      <c r="C390" s="4"/>
      <c r="D390" s="4"/>
      <c r="E390" s="3"/>
      <c r="F390" s="4"/>
      <c r="G390" s="4"/>
      <c r="H390" s="4"/>
      <c r="I390" s="35"/>
      <c r="J390" s="4"/>
      <c r="K390" s="4"/>
      <c r="L390" s="4"/>
      <c r="M390" s="4"/>
      <c r="N390" s="4"/>
      <c r="O390" s="4"/>
      <c r="P390" s="4"/>
    </row>
    <row r="391" spans="1:16" x14ac:dyDescent="0.2">
      <c r="A391" s="4" t="s">
        <v>33</v>
      </c>
      <c r="B391" s="4" t="s">
        <v>34</v>
      </c>
      <c r="C391" s="4" t="s">
        <v>34</v>
      </c>
      <c r="D391" s="4" t="s">
        <v>34</v>
      </c>
      <c r="E391" s="4" t="s">
        <v>513</v>
      </c>
      <c r="F391" s="4" t="s">
        <v>95</v>
      </c>
      <c r="G391" s="4" t="s">
        <v>514</v>
      </c>
      <c r="H391" s="4" t="s">
        <v>92</v>
      </c>
      <c r="I391" s="35" t="s">
        <v>352</v>
      </c>
      <c r="J391" s="4" t="s">
        <v>63</v>
      </c>
      <c r="K391" s="4" t="s">
        <v>273</v>
      </c>
      <c r="L391" s="4" t="s">
        <v>273</v>
      </c>
      <c r="M391" s="4" t="s">
        <v>515</v>
      </c>
      <c r="N391" s="4"/>
      <c r="O391" s="4"/>
      <c r="P391" s="4"/>
    </row>
    <row r="392" spans="1:16" ht="12.95" customHeight="1" x14ac:dyDescent="0.2">
      <c r="A392" s="2" t="s">
        <v>97</v>
      </c>
      <c r="B392" s="2" t="s">
        <v>42</v>
      </c>
      <c r="C392" s="2" t="s">
        <v>135</v>
      </c>
      <c r="D392" s="2" t="s">
        <v>419</v>
      </c>
      <c r="E392" s="3" t="s">
        <v>516</v>
      </c>
      <c r="F392" s="2" t="s">
        <v>46</v>
      </c>
      <c r="G392" s="2" t="s">
        <v>48</v>
      </c>
      <c r="H392" s="2" t="s">
        <v>48</v>
      </c>
      <c r="I392" s="13"/>
      <c r="J392" s="2" t="s">
        <v>48</v>
      </c>
      <c r="K392" s="2"/>
      <c r="L392" s="2"/>
      <c r="M392" s="2" t="s">
        <v>517</v>
      </c>
      <c r="N392" s="2"/>
      <c r="O392" s="2"/>
      <c r="P392" s="2"/>
    </row>
    <row r="393" spans="1:16" ht="12.95" customHeight="1" x14ac:dyDescent="0.2">
      <c r="A393" s="2" t="s">
        <v>104</v>
      </c>
      <c r="B393" s="2" t="s">
        <v>42</v>
      </c>
      <c r="C393" s="2"/>
      <c r="D393" s="2"/>
      <c r="E393" s="3"/>
      <c r="F393" s="2"/>
      <c r="G393" s="2"/>
      <c r="H393" s="2" t="s">
        <v>108</v>
      </c>
      <c r="I393" s="12" t="s">
        <v>108</v>
      </c>
      <c r="J393" s="2"/>
      <c r="K393" s="2"/>
      <c r="L393" s="2"/>
      <c r="M393" s="2"/>
      <c r="N393" s="2"/>
      <c r="O393" s="2"/>
      <c r="P393" s="2"/>
    </row>
    <row r="394" spans="1:16" ht="12.95" customHeight="1" x14ac:dyDescent="0.2">
      <c r="A394" s="2" t="s">
        <v>112</v>
      </c>
      <c r="B394" s="2" t="s">
        <v>22</v>
      </c>
      <c r="C394" s="2"/>
      <c r="D394" s="2"/>
      <c r="E394" s="3"/>
      <c r="F394" s="2"/>
      <c r="G394" s="2"/>
      <c r="H394" s="2" t="s">
        <v>113</v>
      </c>
      <c r="I394" s="13" t="s">
        <v>113</v>
      </c>
      <c r="J394" s="2"/>
      <c r="K394" s="2"/>
      <c r="L394" s="2"/>
      <c r="M394" s="2"/>
      <c r="N394" s="2" t="s">
        <v>24</v>
      </c>
      <c r="O394" s="2" t="s">
        <v>111</v>
      </c>
      <c r="P394" s="2"/>
    </row>
    <row r="395" spans="1:16" ht="12.95" customHeight="1" x14ac:dyDescent="0.2">
      <c r="A395" s="2" t="s">
        <v>114</v>
      </c>
      <c r="B395" s="2" t="s">
        <v>27</v>
      </c>
      <c r="C395" s="2"/>
      <c r="D395" s="2"/>
      <c r="E395" s="3"/>
      <c r="F395" s="2"/>
      <c r="G395" s="2"/>
      <c r="H395" s="2"/>
      <c r="I395" s="13"/>
      <c r="J395" s="2"/>
      <c r="K395" s="2"/>
      <c r="L395" s="2"/>
      <c r="M395" s="2"/>
      <c r="N395" s="2" t="s">
        <v>28</v>
      </c>
      <c r="O395" s="2" t="s">
        <v>111</v>
      </c>
      <c r="P395" s="2"/>
    </row>
    <row r="396" spans="1:16" ht="12.95" customHeight="1" x14ac:dyDescent="0.2">
      <c r="A396" s="2" t="s">
        <v>115</v>
      </c>
      <c r="B396" s="2" t="s">
        <v>42</v>
      </c>
      <c r="C396" s="2"/>
      <c r="D396" s="2"/>
      <c r="E396" s="3"/>
      <c r="F396" s="2"/>
      <c r="G396" s="2"/>
      <c r="H396" s="2" t="s">
        <v>48</v>
      </c>
      <c r="I396" s="12" t="s">
        <v>48</v>
      </c>
      <c r="J396" s="2"/>
      <c r="K396" s="2"/>
      <c r="L396" s="2"/>
      <c r="M396" s="2"/>
      <c r="N396" s="2"/>
      <c r="O396" s="2"/>
      <c r="P396" s="2"/>
    </row>
    <row r="397" spans="1:16" ht="12.95" customHeight="1" x14ac:dyDescent="0.2">
      <c r="A397" s="4" t="s">
        <v>122</v>
      </c>
      <c r="B397" s="4" t="s">
        <v>31</v>
      </c>
      <c r="C397" s="4"/>
      <c r="D397" s="4"/>
      <c r="E397" s="3"/>
      <c r="F397" s="4"/>
      <c r="G397" s="4"/>
      <c r="H397" s="4"/>
      <c r="I397" s="35"/>
      <c r="J397" s="4"/>
      <c r="K397" s="4"/>
      <c r="L397" s="4"/>
      <c r="M397" s="4"/>
      <c r="N397" s="4"/>
      <c r="O397" s="4"/>
      <c r="P397" s="4"/>
    </row>
    <row r="398" spans="1:16" ht="12.95" customHeight="1" x14ac:dyDescent="0.2">
      <c r="A398" s="4" t="s">
        <v>123</v>
      </c>
      <c r="B398" s="4" t="s">
        <v>31</v>
      </c>
      <c r="C398" s="4"/>
      <c r="D398" s="4"/>
      <c r="E398" s="3"/>
      <c r="F398" s="4"/>
      <c r="G398" s="4"/>
      <c r="H398" s="4"/>
      <c r="I398" s="35"/>
      <c r="J398" s="4"/>
      <c r="K398" s="4"/>
      <c r="L398" s="4"/>
      <c r="M398" s="4"/>
      <c r="N398" s="4"/>
      <c r="O398" s="4"/>
      <c r="P398" s="4"/>
    </row>
    <row r="399" spans="1:16" x14ac:dyDescent="0.2">
      <c r="A399" s="4" t="s">
        <v>33</v>
      </c>
      <c r="B399" s="4" t="s">
        <v>34</v>
      </c>
      <c r="C399" s="4" t="s">
        <v>34</v>
      </c>
      <c r="D399" s="4" t="s">
        <v>34</v>
      </c>
      <c r="E399" s="4" t="s">
        <v>516</v>
      </c>
      <c r="F399" s="4" t="s">
        <v>46</v>
      </c>
      <c r="G399" s="4" t="s">
        <v>48</v>
      </c>
      <c r="H399" s="4" t="s">
        <v>127</v>
      </c>
      <c r="I399" s="35" t="s">
        <v>170</v>
      </c>
      <c r="J399" s="4" t="s">
        <v>48</v>
      </c>
      <c r="K399" s="4"/>
      <c r="L399" s="4"/>
      <c r="M399" s="4" t="s">
        <v>517</v>
      </c>
      <c r="N399" s="4"/>
      <c r="O399" s="4"/>
      <c r="P399" s="4"/>
    </row>
    <row r="400" spans="1:16" ht="12.95" customHeight="1" x14ac:dyDescent="0.2">
      <c r="A400" s="2" t="s">
        <v>131</v>
      </c>
      <c r="B400" s="2" t="s">
        <v>42</v>
      </c>
      <c r="C400" s="2"/>
      <c r="D400" s="2"/>
      <c r="E400" s="3"/>
      <c r="F400" s="2"/>
      <c r="G400" s="2"/>
      <c r="H400" s="2" t="s">
        <v>48</v>
      </c>
      <c r="I400" s="12" t="s">
        <v>48</v>
      </c>
      <c r="J400" s="2"/>
      <c r="K400" s="2"/>
      <c r="L400" s="2"/>
      <c r="M400" s="2"/>
      <c r="N400" s="2"/>
      <c r="O400" s="2"/>
      <c r="P400" s="2"/>
    </row>
    <row r="401" spans="1:16" ht="12.95" customHeight="1" x14ac:dyDescent="0.2">
      <c r="A401" s="2" t="s">
        <v>138</v>
      </c>
      <c r="B401" s="2" t="s">
        <v>42</v>
      </c>
      <c r="C401" s="2" t="s">
        <v>518</v>
      </c>
      <c r="D401" s="2" t="s">
        <v>519</v>
      </c>
      <c r="E401" s="3" t="s">
        <v>84</v>
      </c>
      <c r="F401" s="2" t="s">
        <v>46</v>
      </c>
      <c r="G401" s="2" t="s">
        <v>64</v>
      </c>
      <c r="H401" s="2" t="s">
        <v>48</v>
      </c>
      <c r="I401" s="13"/>
      <c r="J401" s="2" t="s">
        <v>48</v>
      </c>
      <c r="K401" s="2" t="s">
        <v>85</v>
      </c>
      <c r="L401" s="2" t="s">
        <v>85</v>
      </c>
      <c r="M401" s="2" t="s">
        <v>520</v>
      </c>
      <c r="N401" s="2"/>
      <c r="O401" s="2"/>
      <c r="P401" s="2"/>
    </row>
    <row r="402" spans="1:16" ht="12.95" customHeight="1" x14ac:dyDescent="0.2">
      <c r="A402" s="2" t="s">
        <v>143</v>
      </c>
      <c r="B402" s="2" t="s">
        <v>42</v>
      </c>
      <c r="C402" s="2" t="s">
        <v>185</v>
      </c>
      <c r="D402" s="2" t="s">
        <v>335</v>
      </c>
      <c r="E402" s="3" t="s">
        <v>220</v>
      </c>
      <c r="F402" s="2" t="s">
        <v>46</v>
      </c>
      <c r="G402" s="2" t="s">
        <v>521</v>
      </c>
      <c r="H402" s="2" t="s">
        <v>48</v>
      </c>
      <c r="I402" s="13" t="s">
        <v>153</v>
      </c>
      <c r="J402" s="2" t="s">
        <v>521</v>
      </c>
      <c r="K402" s="2"/>
      <c r="L402" s="2"/>
      <c r="M402" s="2" t="s">
        <v>522</v>
      </c>
      <c r="N402" s="2"/>
      <c r="O402" s="2"/>
      <c r="P402" s="2"/>
    </row>
    <row r="403" spans="1:16" ht="12.95" customHeight="1" x14ac:dyDescent="0.2">
      <c r="A403" s="2" t="s">
        <v>148</v>
      </c>
      <c r="B403" s="2" t="s">
        <v>42</v>
      </c>
      <c r="C403" s="2"/>
      <c r="D403" s="2"/>
      <c r="E403" s="3"/>
      <c r="F403" s="2"/>
      <c r="G403" s="2"/>
      <c r="H403" s="2" t="s">
        <v>48</v>
      </c>
      <c r="I403" s="12" t="s">
        <v>48</v>
      </c>
      <c r="J403" s="2"/>
      <c r="K403" s="2"/>
      <c r="L403" s="2"/>
      <c r="M403" s="2"/>
      <c r="N403" s="2"/>
      <c r="O403" s="2"/>
      <c r="P403" s="2"/>
    </row>
    <row r="404" spans="1:16" ht="12.95" customHeight="1" x14ac:dyDescent="0.2">
      <c r="A404" s="2" t="s">
        <v>155</v>
      </c>
      <c r="B404" s="2" t="s">
        <v>42</v>
      </c>
      <c r="C404" s="2"/>
      <c r="D404" s="2"/>
      <c r="E404" s="3"/>
      <c r="F404" s="2"/>
      <c r="G404" s="2"/>
      <c r="H404" s="2" t="s">
        <v>48</v>
      </c>
      <c r="I404" s="12" t="s">
        <v>48</v>
      </c>
      <c r="J404" s="2"/>
      <c r="K404" s="2"/>
      <c r="L404" s="2"/>
      <c r="M404" s="2"/>
      <c r="N404" s="2"/>
      <c r="O404" s="2"/>
      <c r="P404" s="2"/>
    </row>
    <row r="405" spans="1:16" ht="12.95" customHeight="1" x14ac:dyDescent="0.2">
      <c r="A405" s="8" t="s">
        <v>161</v>
      </c>
      <c r="B405" s="8"/>
      <c r="C405" s="8"/>
      <c r="D405" s="8"/>
      <c r="E405" s="5" t="s">
        <v>523</v>
      </c>
      <c r="F405" s="5" t="s">
        <v>90</v>
      </c>
      <c r="G405" s="5" t="s">
        <v>524</v>
      </c>
      <c r="H405" s="5" t="s">
        <v>165</v>
      </c>
      <c r="I405" s="36" t="s">
        <v>525</v>
      </c>
      <c r="J405" s="5" t="s">
        <v>526</v>
      </c>
      <c r="K405" s="5" t="s">
        <v>159</v>
      </c>
      <c r="L405" s="5" t="s">
        <v>159</v>
      </c>
      <c r="M405" s="5" t="s">
        <v>527</v>
      </c>
      <c r="N405" s="5"/>
      <c r="O405" s="5"/>
      <c r="P405" s="5"/>
    </row>
    <row r="406" spans="1:16" ht="12.95" customHeight="1" x14ac:dyDescent="0.2">
      <c r="A406" s="8" t="s">
        <v>171</v>
      </c>
      <c r="B406" s="8"/>
      <c r="C406" s="8"/>
      <c r="D406" s="8"/>
      <c r="E406" s="5" t="s">
        <v>523</v>
      </c>
      <c r="F406" s="5" t="s">
        <v>90</v>
      </c>
      <c r="G406" s="5" t="s">
        <v>524</v>
      </c>
      <c r="H406" s="5" t="s">
        <v>165</v>
      </c>
      <c r="I406" s="36" t="s">
        <v>528</v>
      </c>
      <c r="J406" s="5" t="s">
        <v>526</v>
      </c>
      <c r="K406" s="5" t="s">
        <v>159</v>
      </c>
      <c r="L406" s="5" t="s">
        <v>159</v>
      </c>
      <c r="M406" s="5" t="s">
        <v>527</v>
      </c>
      <c r="N406" s="5"/>
      <c r="O406" s="5"/>
      <c r="P406" s="5"/>
    </row>
    <row r="407" spans="1:16" ht="12.95" customHeight="1" x14ac:dyDescent="0.2">
      <c r="A407" s="8" t="s">
        <v>173</v>
      </c>
      <c r="B407" s="8"/>
      <c r="C407" s="8"/>
      <c r="D407" s="8"/>
      <c r="E407" s="5">
        <v>44.71</v>
      </c>
      <c r="F407" s="5">
        <v>2.5</v>
      </c>
      <c r="G407" s="5">
        <v>42.21</v>
      </c>
      <c r="H407" s="5">
        <v>118.8</v>
      </c>
      <c r="I407" s="36">
        <v>76.58</v>
      </c>
      <c r="J407" s="5">
        <v>41.78</v>
      </c>
      <c r="K407" s="5">
        <v>0.43</v>
      </c>
      <c r="L407" s="5">
        <v>0.43</v>
      </c>
      <c r="M407" s="5">
        <v>7.03</v>
      </c>
      <c r="N407" s="5"/>
      <c r="O407" s="5"/>
      <c r="P407" s="5"/>
    </row>
    <row r="408" spans="1:16" x14ac:dyDescent="0.2">
      <c r="I408" s="37"/>
    </row>
    <row r="409" spans="1:16" ht="12.95" customHeight="1" x14ac:dyDescent="0.2">
      <c r="A409" s="9" t="s">
        <v>174</v>
      </c>
      <c r="B409" s="9"/>
      <c r="C409" s="9"/>
      <c r="E409" s="9" t="s">
        <v>180</v>
      </c>
      <c r="F409" s="9"/>
      <c r="G409" s="9"/>
      <c r="I409" s="9" t="s">
        <v>181</v>
      </c>
      <c r="J409" s="9"/>
      <c r="K409" s="9"/>
    </row>
    <row r="410" spans="1:16" ht="12.95" customHeight="1" x14ac:dyDescent="0.2">
      <c r="A410" s="10" t="s">
        <v>175</v>
      </c>
      <c r="B410" s="10"/>
      <c r="C410" s="6">
        <v>5</v>
      </c>
      <c r="E410" s="10" t="s">
        <v>14</v>
      </c>
      <c r="F410" s="10"/>
      <c r="G410" s="6">
        <v>41.78</v>
      </c>
      <c r="I410" s="10" t="s">
        <v>27</v>
      </c>
      <c r="J410" s="10"/>
      <c r="K410" s="26">
        <v>3</v>
      </c>
    </row>
    <row r="411" spans="1:16" ht="12.95" customHeight="1" x14ac:dyDescent="0.2">
      <c r="A411" s="10" t="s">
        <v>1531</v>
      </c>
      <c r="B411" s="10"/>
      <c r="C411" s="6">
        <v>22</v>
      </c>
      <c r="E411" s="10" t="s">
        <v>15</v>
      </c>
      <c r="F411" s="10"/>
      <c r="G411" s="6">
        <v>0.43</v>
      </c>
      <c r="I411" s="10" t="s">
        <v>22</v>
      </c>
      <c r="J411" s="10"/>
      <c r="K411" s="26">
        <v>3</v>
      </c>
    </row>
    <row r="412" spans="1:16" ht="12.95" customHeight="1" x14ac:dyDescent="0.2">
      <c r="A412" s="10" t="s">
        <v>176</v>
      </c>
      <c r="B412" s="10"/>
      <c r="C412" s="6">
        <v>44.71</v>
      </c>
      <c r="I412" s="10" t="s">
        <v>36</v>
      </c>
      <c r="J412" s="10"/>
      <c r="K412" s="26">
        <v>2</v>
      </c>
    </row>
    <row r="413" spans="1:16" ht="12.95" customHeight="1" x14ac:dyDescent="0.2">
      <c r="A413" s="10" t="s">
        <v>177</v>
      </c>
      <c r="B413" s="10"/>
      <c r="C413" s="6">
        <v>118.8</v>
      </c>
      <c r="I413" s="39" t="s">
        <v>1591</v>
      </c>
      <c r="J413" s="19"/>
      <c r="K413" s="20">
        <v>1.5</v>
      </c>
    </row>
    <row r="414" spans="1:16" ht="12.95" customHeight="1" x14ac:dyDescent="0.2">
      <c r="A414" s="10" t="s">
        <v>11</v>
      </c>
      <c r="B414" s="10"/>
      <c r="C414" s="6">
        <v>42.21</v>
      </c>
      <c r="I414" s="39" t="s">
        <v>1592</v>
      </c>
      <c r="J414" s="19"/>
      <c r="K414" s="38">
        <v>2</v>
      </c>
    </row>
    <row r="415" spans="1:16" ht="12.95" customHeight="1" x14ac:dyDescent="0.25">
      <c r="A415" s="10" t="s">
        <v>178</v>
      </c>
      <c r="B415" s="10"/>
      <c r="C415" s="30">
        <v>77.010000000000005</v>
      </c>
      <c r="I415" s="41" t="s">
        <v>1593</v>
      </c>
      <c r="J415" s="40"/>
      <c r="K415" s="42">
        <f>K413+K414</f>
        <v>3.5</v>
      </c>
    </row>
    <row r="416" spans="1:16" ht="12.95" customHeight="1" x14ac:dyDescent="0.2">
      <c r="A416" s="28" t="s">
        <v>1571</v>
      </c>
      <c r="B416" s="27"/>
      <c r="C416" s="31">
        <v>-2.1999999999999997</v>
      </c>
    </row>
    <row r="417" spans="1:15" ht="12.95" customHeight="1" x14ac:dyDescent="0.2">
      <c r="A417" s="29" t="s">
        <v>1572</v>
      </c>
      <c r="B417" s="29"/>
      <c r="C417" s="32">
        <f>C415+C416</f>
        <v>74.81</v>
      </c>
    </row>
    <row r="418" spans="1:15" x14ac:dyDescent="0.2">
      <c r="A418" s="10" t="s">
        <v>10</v>
      </c>
      <c r="B418" s="10"/>
      <c r="C418" s="6">
        <v>2.5</v>
      </c>
    </row>
    <row r="419" spans="1:15" x14ac:dyDescent="0.2">
      <c r="A419" t="s">
        <v>1615</v>
      </c>
      <c r="C419" cm="1">
        <f t="array" ref="C419">IFERROR(SUMPRODUCT((ISNUMBER(SEARCH("מילואים",N371:N408))+ISNUMBER(SEARCH("מילואים",O371:O408))&gt;0)*(C371:C408&lt;&gt;"")*(J371:J408+0))*24,0)</f>
        <v>0</v>
      </c>
    </row>
    <row r="420" spans="1:15" ht="12.95" customHeight="1" x14ac:dyDescent="0.2">
      <c r="A420" s="7" t="s">
        <v>529</v>
      </c>
      <c r="B420" s="7"/>
      <c r="C420" s="7"/>
      <c r="D420" s="7" t="s">
        <v>1</v>
      </c>
      <c r="E420" s="7"/>
      <c r="F420" s="7"/>
      <c r="G420" s="7"/>
      <c r="H420" s="7" t="s">
        <v>2</v>
      </c>
      <c r="I420" s="7"/>
      <c r="J420" s="7"/>
      <c r="K420" s="7"/>
      <c r="L420" s="7"/>
      <c r="M420" s="7"/>
      <c r="N420" s="7"/>
    </row>
    <row r="421" spans="1:15" ht="12.95" customHeight="1" x14ac:dyDescent="0.2">
      <c r="A421" s="7" t="s">
        <v>3</v>
      </c>
      <c r="B421" s="7"/>
      <c r="C421" s="7"/>
      <c r="D421" s="7"/>
      <c r="E421" s="7"/>
      <c r="F421" s="7">
        <v>96</v>
      </c>
      <c r="G421" s="7"/>
      <c r="H421" s="7" t="s">
        <v>183</v>
      </c>
      <c r="I421" s="7"/>
      <c r="J421" s="7"/>
      <c r="K421" s="7"/>
      <c r="L421" s="7"/>
      <c r="M421" s="7"/>
      <c r="N421" s="7"/>
    </row>
    <row r="422" spans="1:15" ht="22.5" customHeight="1" x14ac:dyDescent="0.2">
      <c r="A422" s="1" t="s">
        <v>5</v>
      </c>
      <c r="B422" s="1" t="s">
        <v>6</v>
      </c>
      <c r="C422" s="1" t="s">
        <v>7</v>
      </c>
      <c r="D422" s="1" t="s">
        <v>8</v>
      </c>
      <c r="E422" s="1" t="s">
        <v>9</v>
      </c>
      <c r="F422" s="1" t="s">
        <v>10</v>
      </c>
      <c r="G422" s="1" t="s">
        <v>11</v>
      </c>
      <c r="H422" s="1" t="s">
        <v>12</v>
      </c>
      <c r="I422" s="1" t="s">
        <v>13</v>
      </c>
      <c r="J422" s="1" t="s">
        <v>16</v>
      </c>
      <c r="K422" s="1" t="s">
        <v>17</v>
      </c>
      <c r="L422" s="1" t="s">
        <v>18</v>
      </c>
      <c r="M422" s="1" t="s">
        <v>19</v>
      </c>
      <c r="N422" s="1" t="s">
        <v>20</v>
      </c>
      <c r="O422" s="107" t="s">
        <v>1718</v>
      </c>
    </row>
    <row r="423" spans="1:15" ht="12.95" customHeight="1" x14ac:dyDescent="0.2">
      <c r="A423" s="2" t="s">
        <v>21</v>
      </c>
      <c r="B423" s="2" t="s">
        <v>22</v>
      </c>
      <c r="C423" s="2"/>
      <c r="D423" s="2"/>
      <c r="E423" s="3"/>
      <c r="F423" s="2"/>
      <c r="G423" s="2"/>
      <c r="H423" s="2"/>
      <c r="I423" s="13"/>
      <c r="J423" s="2"/>
      <c r="K423" s="2"/>
      <c r="L423" s="2" t="s">
        <v>214</v>
      </c>
      <c r="M423" s="2" t="s">
        <v>25</v>
      </c>
      <c r="N423" s="2"/>
    </row>
    <row r="424" spans="1:15" ht="12.95" customHeight="1" x14ac:dyDescent="0.2">
      <c r="A424" s="2" t="s">
        <v>26</v>
      </c>
      <c r="B424" s="2" t="s">
        <v>27</v>
      </c>
      <c r="C424" s="2"/>
      <c r="D424" s="2"/>
      <c r="E424" s="3"/>
      <c r="F424" s="2"/>
      <c r="G424" s="2"/>
      <c r="H424" s="2"/>
      <c r="I424" s="13"/>
      <c r="J424" s="2"/>
      <c r="K424" s="2"/>
      <c r="L424" s="2" t="s">
        <v>214</v>
      </c>
      <c r="M424" s="2" t="s">
        <v>29</v>
      </c>
      <c r="N424" s="2"/>
    </row>
    <row r="425" spans="1:15" ht="12.95" customHeight="1" x14ac:dyDescent="0.2">
      <c r="A425" s="4" t="s">
        <v>30</v>
      </c>
      <c r="B425" s="4" t="s">
        <v>31</v>
      </c>
      <c r="C425" s="4"/>
      <c r="D425" s="4"/>
      <c r="E425" s="3"/>
      <c r="F425" s="4"/>
      <c r="G425" s="4"/>
      <c r="H425" s="4"/>
      <c r="I425" s="35"/>
      <c r="J425" s="4"/>
      <c r="K425" s="4"/>
      <c r="L425" s="4" t="s">
        <v>214</v>
      </c>
      <c r="M425" s="4"/>
      <c r="N425" s="4"/>
    </row>
    <row r="426" spans="1:15" ht="12.95" customHeight="1" x14ac:dyDescent="0.2">
      <c r="A426" s="4" t="s">
        <v>32</v>
      </c>
      <c r="B426" s="4" t="s">
        <v>31</v>
      </c>
      <c r="C426" s="4"/>
      <c r="D426" s="4"/>
      <c r="E426" s="3"/>
      <c r="F426" s="4"/>
      <c r="G426" s="4"/>
      <c r="H426" s="4"/>
      <c r="I426" s="35"/>
      <c r="J426" s="4"/>
      <c r="K426" s="4"/>
      <c r="L426" s="4" t="s">
        <v>214</v>
      </c>
      <c r="M426" s="4"/>
      <c r="N426" s="4"/>
    </row>
    <row r="427" spans="1:15" x14ac:dyDescent="0.2">
      <c r="A427" s="4" t="s">
        <v>33</v>
      </c>
      <c r="B427" s="4" t="s">
        <v>34</v>
      </c>
      <c r="C427" s="4" t="s">
        <v>34</v>
      </c>
      <c r="D427" s="4" t="s">
        <v>34</v>
      </c>
      <c r="E427" s="4"/>
      <c r="F427" s="4"/>
      <c r="G427" s="4"/>
      <c r="H427" s="4"/>
      <c r="I427" s="35"/>
      <c r="J427" s="4"/>
      <c r="K427" s="4"/>
      <c r="L427" s="4"/>
      <c r="M427" s="4"/>
      <c r="N427" s="4"/>
    </row>
    <row r="428" spans="1:15" ht="12.95" customHeight="1" x14ac:dyDescent="0.2">
      <c r="A428" s="2" t="s">
        <v>35</v>
      </c>
      <c r="B428" s="2" t="s">
        <v>36</v>
      </c>
      <c r="C428" s="2"/>
      <c r="D428" s="2"/>
      <c r="E428" s="3"/>
      <c r="F428" s="2"/>
      <c r="G428" s="2"/>
      <c r="H428" s="2"/>
      <c r="I428" s="13"/>
      <c r="J428" s="2"/>
      <c r="K428" s="2"/>
      <c r="L428" s="2" t="s">
        <v>214</v>
      </c>
      <c r="M428" s="2"/>
      <c r="N428" s="2"/>
    </row>
    <row r="429" spans="1:15" ht="12.95" customHeight="1" x14ac:dyDescent="0.2">
      <c r="A429" s="2" t="s">
        <v>38</v>
      </c>
      <c r="B429" s="2" t="s">
        <v>36</v>
      </c>
      <c r="C429" s="2"/>
      <c r="D429" s="2"/>
      <c r="E429" s="3"/>
      <c r="F429" s="2"/>
      <c r="G429" s="2"/>
      <c r="H429" s="2"/>
      <c r="I429" s="13"/>
      <c r="J429" s="2"/>
      <c r="K429" s="2"/>
      <c r="L429" s="2" t="s">
        <v>214</v>
      </c>
      <c r="M429" s="2"/>
      <c r="N429" s="2"/>
    </row>
    <row r="430" spans="1:15" ht="12.95" customHeight="1" x14ac:dyDescent="0.2">
      <c r="A430" s="2" t="s">
        <v>39</v>
      </c>
      <c r="B430" s="2" t="s">
        <v>22</v>
      </c>
      <c r="C430" s="2"/>
      <c r="D430" s="2"/>
      <c r="E430" s="3"/>
      <c r="F430" s="2"/>
      <c r="G430" s="2"/>
      <c r="H430" s="2"/>
      <c r="I430" s="13"/>
      <c r="J430" s="2"/>
      <c r="K430" s="2"/>
      <c r="L430" s="2" t="s">
        <v>214</v>
      </c>
      <c r="M430" s="2" t="s">
        <v>25</v>
      </c>
      <c r="N430" s="2"/>
    </row>
    <row r="431" spans="1:15" ht="12.95" customHeight="1" x14ac:dyDescent="0.2">
      <c r="A431" s="2" t="s">
        <v>40</v>
      </c>
      <c r="B431" s="2" t="s">
        <v>27</v>
      </c>
      <c r="C431" s="2"/>
      <c r="D431" s="2"/>
      <c r="E431" s="3"/>
      <c r="F431" s="2"/>
      <c r="G431" s="2"/>
      <c r="H431" s="2"/>
      <c r="I431" s="13"/>
      <c r="J431" s="2"/>
      <c r="K431" s="2"/>
      <c r="L431" s="2" t="s">
        <v>214</v>
      </c>
      <c r="M431" s="2" t="s">
        <v>25</v>
      </c>
      <c r="N431" s="2"/>
    </row>
    <row r="432" spans="1:15" ht="12.95" customHeight="1" x14ac:dyDescent="0.2">
      <c r="A432" s="2" t="s">
        <v>41</v>
      </c>
      <c r="B432" s="2" t="s">
        <v>42</v>
      </c>
      <c r="C432" s="2"/>
      <c r="D432" s="2"/>
      <c r="E432" s="3"/>
      <c r="F432" s="2"/>
      <c r="G432" s="2"/>
      <c r="H432" s="2"/>
      <c r="I432" s="13"/>
      <c r="J432" s="2"/>
      <c r="K432" s="2"/>
      <c r="L432" s="2" t="s">
        <v>214</v>
      </c>
      <c r="M432" s="2" t="s">
        <v>25</v>
      </c>
      <c r="N432" s="2"/>
    </row>
    <row r="433" spans="1:14" ht="12.95" customHeight="1" x14ac:dyDescent="0.2">
      <c r="A433" s="4" t="s">
        <v>51</v>
      </c>
      <c r="B433" s="4" t="s">
        <v>31</v>
      </c>
      <c r="C433" s="4"/>
      <c r="D433" s="4"/>
      <c r="E433" s="3"/>
      <c r="F433" s="4"/>
      <c r="G433" s="4"/>
      <c r="H433" s="4"/>
      <c r="I433" s="35"/>
      <c r="J433" s="4"/>
      <c r="K433" s="4"/>
      <c r="L433" s="4" t="s">
        <v>214</v>
      </c>
      <c r="M433" s="4"/>
      <c r="N433" s="4"/>
    </row>
    <row r="434" spans="1:14" ht="12.95" customHeight="1" x14ac:dyDescent="0.2">
      <c r="A434" s="4" t="s">
        <v>52</v>
      </c>
      <c r="B434" s="4" t="s">
        <v>31</v>
      </c>
      <c r="C434" s="4"/>
      <c r="D434" s="4"/>
      <c r="E434" s="3"/>
      <c r="F434" s="4"/>
      <c r="G434" s="4"/>
      <c r="H434" s="4"/>
      <c r="I434" s="35"/>
      <c r="J434" s="4"/>
      <c r="K434" s="4"/>
      <c r="L434" s="4" t="s">
        <v>214</v>
      </c>
      <c r="M434" s="4"/>
      <c r="N434" s="4"/>
    </row>
    <row r="435" spans="1:14" x14ac:dyDescent="0.2">
      <c r="A435" s="4" t="s">
        <v>33</v>
      </c>
      <c r="B435" s="4" t="s">
        <v>34</v>
      </c>
      <c r="C435" s="4" t="s">
        <v>34</v>
      </c>
      <c r="D435" s="4" t="s">
        <v>34</v>
      </c>
      <c r="E435" s="4"/>
      <c r="F435" s="4"/>
      <c r="G435" s="4"/>
      <c r="H435" s="4"/>
      <c r="I435" s="35"/>
      <c r="J435" s="4"/>
      <c r="K435" s="4"/>
      <c r="L435" s="4"/>
      <c r="M435" s="4"/>
      <c r="N435" s="4"/>
    </row>
    <row r="436" spans="1:14" ht="12.95" customHeight="1" x14ac:dyDescent="0.2">
      <c r="A436" s="2" t="s">
        <v>54</v>
      </c>
      <c r="B436" s="2" t="s">
        <v>42</v>
      </c>
      <c r="C436" s="2"/>
      <c r="D436" s="2"/>
      <c r="E436" s="3"/>
      <c r="F436" s="2"/>
      <c r="G436" s="2"/>
      <c r="H436" s="2"/>
      <c r="I436" s="13"/>
      <c r="J436" s="2"/>
      <c r="K436" s="2"/>
      <c r="L436" s="2" t="s">
        <v>214</v>
      </c>
      <c r="M436" s="2" t="s">
        <v>25</v>
      </c>
      <c r="N436" s="2"/>
    </row>
    <row r="437" spans="1:14" ht="12.95" customHeight="1" x14ac:dyDescent="0.2">
      <c r="A437" s="2" t="s">
        <v>61</v>
      </c>
      <c r="B437" s="2" t="s">
        <v>42</v>
      </c>
      <c r="C437" s="2"/>
      <c r="D437" s="2"/>
      <c r="E437" s="3"/>
      <c r="F437" s="2"/>
      <c r="G437" s="2"/>
      <c r="H437" s="2"/>
      <c r="I437" s="13"/>
      <c r="J437" s="2"/>
      <c r="K437" s="2"/>
      <c r="L437" s="2" t="s">
        <v>214</v>
      </c>
      <c r="M437" s="2"/>
      <c r="N437" s="2"/>
    </row>
    <row r="438" spans="1:14" ht="12.95" customHeight="1" x14ac:dyDescent="0.2">
      <c r="A438" s="2" t="s">
        <v>68</v>
      </c>
      <c r="B438" s="2" t="s">
        <v>42</v>
      </c>
      <c r="C438" s="2"/>
      <c r="D438" s="2"/>
      <c r="E438" s="3"/>
      <c r="F438" s="2"/>
      <c r="G438" s="2"/>
      <c r="H438" s="2"/>
      <c r="I438" s="13"/>
      <c r="J438" s="2"/>
      <c r="K438" s="2"/>
      <c r="L438" s="2" t="s">
        <v>214</v>
      </c>
      <c r="M438" s="2"/>
      <c r="N438" s="2"/>
    </row>
    <row r="439" spans="1:14" ht="12.95" customHeight="1" x14ac:dyDescent="0.2">
      <c r="A439" s="2" t="s">
        <v>75</v>
      </c>
      <c r="B439" s="2" t="s">
        <v>42</v>
      </c>
      <c r="C439" s="2"/>
      <c r="D439" s="2"/>
      <c r="E439" s="3"/>
      <c r="F439" s="2"/>
      <c r="G439" s="2"/>
      <c r="H439" s="2"/>
      <c r="I439" s="13"/>
      <c r="J439" s="2"/>
      <c r="K439" s="2"/>
      <c r="L439" s="2" t="s">
        <v>214</v>
      </c>
      <c r="M439" s="2"/>
      <c r="N439" s="2"/>
    </row>
    <row r="440" spans="1:14" ht="12.95" customHeight="1" x14ac:dyDescent="0.2">
      <c r="A440" s="2" t="s">
        <v>81</v>
      </c>
      <c r="B440" s="2" t="s">
        <v>42</v>
      </c>
      <c r="C440" s="2"/>
      <c r="D440" s="2"/>
      <c r="E440" s="3"/>
      <c r="F440" s="2"/>
      <c r="G440" s="2"/>
      <c r="H440" s="2"/>
      <c r="I440" s="13"/>
      <c r="J440" s="2"/>
      <c r="K440" s="2"/>
      <c r="L440" s="2" t="s">
        <v>214</v>
      </c>
      <c r="M440" s="2"/>
      <c r="N440" s="2"/>
    </row>
    <row r="441" spans="1:14" ht="12.95" customHeight="1" x14ac:dyDescent="0.2">
      <c r="A441" s="4" t="s">
        <v>87</v>
      </c>
      <c r="B441" s="4" t="s">
        <v>31</v>
      </c>
      <c r="C441" s="4"/>
      <c r="D441" s="4"/>
      <c r="E441" s="3"/>
      <c r="F441" s="4"/>
      <c r="G441" s="4"/>
      <c r="H441" s="4"/>
      <c r="I441" s="35"/>
      <c r="J441" s="4"/>
      <c r="K441" s="4"/>
      <c r="L441" s="4" t="s">
        <v>214</v>
      </c>
      <c r="M441" s="4"/>
      <c r="N441" s="4"/>
    </row>
    <row r="442" spans="1:14" ht="12.95" customHeight="1" x14ac:dyDescent="0.2">
      <c r="A442" s="4" t="s">
        <v>88</v>
      </c>
      <c r="B442" s="4" t="s">
        <v>31</v>
      </c>
      <c r="C442" s="4"/>
      <c r="D442" s="4"/>
      <c r="E442" s="3"/>
      <c r="F442" s="4"/>
      <c r="G442" s="4"/>
      <c r="H442" s="4"/>
      <c r="I442" s="35"/>
      <c r="J442" s="4"/>
      <c r="K442" s="4"/>
      <c r="L442" s="4" t="s">
        <v>214</v>
      </c>
      <c r="M442" s="4"/>
      <c r="N442" s="4"/>
    </row>
    <row r="443" spans="1:14" x14ac:dyDescent="0.2">
      <c r="A443" s="4" t="s">
        <v>33</v>
      </c>
      <c r="B443" s="4" t="s">
        <v>34</v>
      </c>
      <c r="C443" s="4" t="s">
        <v>34</v>
      </c>
      <c r="D443" s="4" t="s">
        <v>34</v>
      </c>
      <c r="E443" s="4"/>
      <c r="F443" s="4"/>
      <c r="G443" s="4"/>
      <c r="H443" s="4"/>
      <c r="I443" s="35"/>
      <c r="J443" s="4"/>
      <c r="K443" s="4"/>
      <c r="L443" s="4"/>
      <c r="M443" s="4"/>
      <c r="N443" s="4"/>
    </row>
    <row r="444" spans="1:14" ht="12.95" customHeight="1" x14ac:dyDescent="0.2">
      <c r="A444" s="2" t="s">
        <v>97</v>
      </c>
      <c r="B444" s="2" t="s">
        <v>42</v>
      </c>
      <c r="C444" s="2"/>
      <c r="D444" s="2"/>
      <c r="E444" s="3"/>
      <c r="F444" s="2"/>
      <c r="G444" s="2"/>
      <c r="H444" s="2"/>
      <c r="I444" s="13"/>
      <c r="J444" s="2"/>
      <c r="K444" s="2"/>
      <c r="L444" s="2" t="s">
        <v>214</v>
      </c>
      <c r="M444" s="2"/>
      <c r="N444" s="2"/>
    </row>
    <row r="445" spans="1:14" ht="12.95" customHeight="1" x14ac:dyDescent="0.2">
      <c r="A445" s="2" t="s">
        <v>104</v>
      </c>
      <c r="B445" s="2" t="s">
        <v>42</v>
      </c>
      <c r="C445" s="2"/>
      <c r="D445" s="2"/>
      <c r="E445" s="3"/>
      <c r="F445" s="2"/>
      <c r="G445" s="2"/>
      <c r="H445" s="2"/>
      <c r="I445" s="13"/>
      <c r="J445" s="2"/>
      <c r="K445" s="2"/>
      <c r="L445" s="2" t="s">
        <v>214</v>
      </c>
      <c r="M445" s="2"/>
      <c r="N445" s="2"/>
    </row>
    <row r="446" spans="1:14" ht="12.95" customHeight="1" x14ac:dyDescent="0.2">
      <c r="A446" s="2" t="s">
        <v>112</v>
      </c>
      <c r="B446" s="2" t="s">
        <v>22</v>
      </c>
      <c r="C446" s="2"/>
      <c r="D446" s="2"/>
      <c r="E446" s="3"/>
      <c r="F446" s="2"/>
      <c r="G446" s="2"/>
      <c r="H446" s="2"/>
      <c r="I446" s="13"/>
      <c r="J446" s="2"/>
      <c r="K446" s="2"/>
      <c r="L446" s="2" t="s">
        <v>24</v>
      </c>
      <c r="M446" s="2" t="s">
        <v>111</v>
      </c>
      <c r="N446" s="2"/>
    </row>
    <row r="447" spans="1:14" ht="12.95" customHeight="1" x14ac:dyDescent="0.2">
      <c r="A447" s="2" t="s">
        <v>114</v>
      </c>
      <c r="B447" s="2" t="s">
        <v>27</v>
      </c>
      <c r="C447" s="2"/>
      <c r="D447" s="2"/>
      <c r="E447" s="3"/>
      <c r="F447" s="2"/>
      <c r="G447" s="2"/>
      <c r="H447" s="2"/>
      <c r="I447" s="13"/>
      <c r="J447" s="2"/>
      <c r="K447" s="2"/>
      <c r="L447" s="2" t="s">
        <v>28</v>
      </c>
      <c r="M447" s="2" t="s">
        <v>111</v>
      </c>
      <c r="N447" s="2"/>
    </row>
    <row r="448" spans="1:14" ht="12.95" customHeight="1" x14ac:dyDescent="0.2">
      <c r="A448" s="2" t="s">
        <v>115</v>
      </c>
      <c r="B448" s="2" t="s">
        <v>42</v>
      </c>
      <c r="C448" s="2"/>
      <c r="D448" s="2"/>
      <c r="E448" s="3"/>
      <c r="F448" s="2"/>
      <c r="G448" s="2"/>
      <c r="H448" s="2"/>
      <c r="I448" s="13"/>
      <c r="J448" s="2"/>
      <c r="K448" s="2"/>
      <c r="L448" s="2" t="s">
        <v>214</v>
      </c>
      <c r="M448" s="2"/>
      <c r="N448" s="2"/>
    </row>
    <row r="449" spans="1:14" ht="12.95" customHeight="1" x14ac:dyDescent="0.2">
      <c r="A449" s="4" t="s">
        <v>122</v>
      </c>
      <c r="B449" s="4" t="s">
        <v>31</v>
      </c>
      <c r="C449" s="4"/>
      <c r="D449" s="4"/>
      <c r="E449" s="3"/>
      <c r="F449" s="4"/>
      <c r="G449" s="4"/>
      <c r="H449" s="4"/>
      <c r="I449" s="35"/>
      <c r="J449" s="4"/>
      <c r="K449" s="4"/>
      <c r="L449" s="4" t="s">
        <v>214</v>
      </c>
      <c r="M449" s="4"/>
      <c r="N449" s="4"/>
    </row>
    <row r="450" spans="1:14" ht="12.95" customHeight="1" x14ac:dyDescent="0.2">
      <c r="A450" s="4" t="s">
        <v>123</v>
      </c>
      <c r="B450" s="4" t="s">
        <v>31</v>
      </c>
      <c r="C450" s="4"/>
      <c r="D450" s="4"/>
      <c r="E450" s="3"/>
      <c r="F450" s="4"/>
      <c r="G450" s="4"/>
      <c r="H450" s="4"/>
      <c r="I450" s="35"/>
      <c r="J450" s="4"/>
      <c r="K450" s="4"/>
      <c r="L450" s="4" t="s">
        <v>214</v>
      </c>
      <c r="M450" s="4"/>
      <c r="N450" s="4"/>
    </row>
    <row r="451" spans="1:14" x14ac:dyDescent="0.2">
      <c r="A451" s="4" t="s">
        <v>33</v>
      </c>
      <c r="B451" s="4" t="s">
        <v>34</v>
      </c>
      <c r="C451" s="4" t="s">
        <v>34</v>
      </c>
      <c r="D451" s="4" t="s">
        <v>34</v>
      </c>
      <c r="E451" s="4"/>
      <c r="F451" s="4"/>
      <c r="G451" s="4"/>
      <c r="H451" s="4"/>
      <c r="I451" s="35"/>
      <c r="J451" s="4"/>
      <c r="K451" s="4"/>
      <c r="L451" s="4"/>
      <c r="M451" s="4"/>
      <c r="N451" s="4"/>
    </row>
    <row r="452" spans="1:14" ht="12.95" customHeight="1" x14ac:dyDescent="0.2">
      <c r="A452" s="2" t="s">
        <v>131</v>
      </c>
      <c r="B452" s="2" t="s">
        <v>42</v>
      </c>
      <c r="C452" s="2"/>
      <c r="D452" s="2"/>
      <c r="E452" s="3"/>
      <c r="F452" s="2"/>
      <c r="G452" s="2"/>
      <c r="H452" s="2"/>
      <c r="I452" s="13"/>
      <c r="J452" s="2"/>
      <c r="K452" s="2"/>
      <c r="L452" s="2" t="s">
        <v>214</v>
      </c>
      <c r="M452" s="2"/>
      <c r="N452" s="2"/>
    </row>
    <row r="453" spans="1:14" ht="12.95" customHeight="1" x14ac:dyDescent="0.2">
      <c r="A453" s="2" t="s">
        <v>138</v>
      </c>
      <c r="B453" s="2" t="s">
        <v>42</v>
      </c>
      <c r="C453" s="2"/>
      <c r="D453" s="2"/>
      <c r="E453" s="3"/>
      <c r="F453" s="2"/>
      <c r="G453" s="2"/>
      <c r="H453" s="2"/>
      <c r="I453" s="13"/>
      <c r="J453" s="2"/>
      <c r="K453" s="2"/>
      <c r="L453" s="2" t="s">
        <v>214</v>
      </c>
      <c r="M453" s="2"/>
      <c r="N453" s="2"/>
    </row>
    <row r="454" spans="1:14" ht="12.95" customHeight="1" x14ac:dyDescent="0.2">
      <c r="A454" s="2" t="s">
        <v>143</v>
      </c>
      <c r="B454" s="2" t="s">
        <v>42</v>
      </c>
      <c r="C454" s="2"/>
      <c r="D454" s="2"/>
      <c r="E454" s="3"/>
      <c r="F454" s="2"/>
      <c r="G454" s="2"/>
      <c r="H454" s="2"/>
      <c r="I454" s="13"/>
      <c r="J454" s="2"/>
      <c r="K454" s="2"/>
      <c r="L454" s="2" t="s">
        <v>214</v>
      </c>
      <c r="M454" s="2"/>
      <c r="N454" s="2"/>
    </row>
    <row r="455" spans="1:14" ht="12.95" customHeight="1" x14ac:dyDescent="0.2">
      <c r="A455" s="2" t="s">
        <v>148</v>
      </c>
      <c r="B455" s="2" t="s">
        <v>42</v>
      </c>
      <c r="C455" s="2"/>
      <c r="D455" s="2"/>
      <c r="E455" s="3"/>
      <c r="F455" s="2"/>
      <c r="G455" s="2"/>
      <c r="H455" s="2"/>
      <c r="I455" s="13"/>
      <c r="J455" s="2"/>
      <c r="K455" s="2"/>
      <c r="L455" s="2" t="s">
        <v>214</v>
      </c>
      <c r="M455" s="2"/>
      <c r="N455" s="2"/>
    </row>
    <row r="456" spans="1:14" ht="12.95" customHeight="1" x14ac:dyDescent="0.2">
      <c r="A456" s="2" t="s">
        <v>155</v>
      </c>
      <c r="B456" s="2" t="s">
        <v>42</v>
      </c>
      <c r="C456" s="2"/>
      <c r="D456" s="2"/>
      <c r="E456" s="3"/>
      <c r="F456" s="2"/>
      <c r="G456" s="2"/>
      <c r="H456" s="2"/>
      <c r="I456" s="13"/>
      <c r="J456" s="2"/>
      <c r="K456" s="2"/>
      <c r="L456" s="2" t="s">
        <v>214</v>
      </c>
      <c r="M456" s="2"/>
      <c r="N456" s="2"/>
    </row>
    <row r="457" spans="1:14" ht="12.95" customHeight="1" x14ac:dyDescent="0.2">
      <c r="A457" s="8" t="s">
        <v>161</v>
      </c>
      <c r="B457" s="8"/>
      <c r="C457" s="8"/>
      <c r="D457" s="8"/>
      <c r="E457" s="5" t="s">
        <v>296</v>
      </c>
      <c r="F457" s="5" t="s">
        <v>296</v>
      </c>
      <c r="G457" s="5" t="s">
        <v>296</v>
      </c>
      <c r="H457" s="5" t="s">
        <v>296</v>
      </c>
      <c r="I457" s="36" t="s">
        <v>296</v>
      </c>
      <c r="J457" s="5" t="s">
        <v>296</v>
      </c>
      <c r="K457" s="5" t="s">
        <v>296</v>
      </c>
      <c r="L457" s="5"/>
      <c r="M457" s="5"/>
      <c r="N457" s="5"/>
    </row>
    <row r="458" spans="1:14" ht="12.95" customHeight="1" x14ac:dyDescent="0.2">
      <c r="A458" s="8" t="s">
        <v>171</v>
      </c>
      <c r="B458" s="8"/>
      <c r="C458" s="8"/>
      <c r="D458" s="8"/>
      <c r="E458" s="5" t="s">
        <v>296</v>
      </c>
      <c r="F458" s="5" t="s">
        <v>296</v>
      </c>
      <c r="G458" s="5" t="s">
        <v>296</v>
      </c>
      <c r="H458" s="5" t="s">
        <v>296</v>
      </c>
      <c r="I458" s="36" t="s">
        <v>296</v>
      </c>
      <c r="J458" s="5" t="s">
        <v>296</v>
      </c>
      <c r="K458" s="5" t="s">
        <v>296</v>
      </c>
      <c r="L458" s="5"/>
      <c r="M458" s="5"/>
      <c r="N458" s="5"/>
    </row>
    <row r="459" spans="1:14" ht="12.95" customHeight="1" x14ac:dyDescent="0.2">
      <c r="A459" s="8" t="s">
        <v>173</v>
      </c>
      <c r="B459" s="8"/>
      <c r="C459" s="8"/>
      <c r="D459" s="8"/>
      <c r="E459" s="5">
        <v>0</v>
      </c>
      <c r="F459" s="5">
        <v>0</v>
      </c>
      <c r="G459" s="5">
        <v>0</v>
      </c>
      <c r="H459" s="5">
        <v>0</v>
      </c>
      <c r="I459" s="36">
        <v>0</v>
      </c>
      <c r="J459" s="5">
        <v>0</v>
      </c>
      <c r="K459" s="5">
        <v>0</v>
      </c>
      <c r="L459" s="5"/>
      <c r="M459" s="5"/>
      <c r="N459" s="5"/>
    </row>
    <row r="460" spans="1:14" x14ac:dyDescent="0.2">
      <c r="I460" s="37"/>
    </row>
    <row r="461" spans="1:14" ht="12.95" customHeight="1" x14ac:dyDescent="0.2">
      <c r="A461" s="9" t="s">
        <v>174</v>
      </c>
      <c r="B461" s="9"/>
      <c r="C461" s="9"/>
      <c r="E461" s="9" t="s">
        <v>180</v>
      </c>
      <c r="F461" s="9"/>
      <c r="G461" s="9"/>
      <c r="I461" s="9" t="s">
        <v>181</v>
      </c>
      <c r="J461" s="9"/>
      <c r="K461" s="9"/>
    </row>
    <row r="462" spans="1:14" ht="12.95" customHeight="1" x14ac:dyDescent="0.2">
      <c r="A462" s="10" t="s">
        <v>175</v>
      </c>
      <c r="B462" s="10"/>
      <c r="C462" s="6">
        <v>0</v>
      </c>
      <c r="I462" s="10" t="s">
        <v>264</v>
      </c>
      <c r="J462" s="10"/>
      <c r="K462" s="43">
        <v>2</v>
      </c>
    </row>
    <row r="463" spans="1:14" ht="12.95" customHeight="1" x14ac:dyDescent="0.2">
      <c r="A463" s="10" t="s">
        <v>1531</v>
      </c>
      <c r="B463" s="10"/>
      <c r="C463" s="6">
        <v>22</v>
      </c>
      <c r="I463" s="10" t="s">
        <v>265</v>
      </c>
      <c r="J463" s="10"/>
      <c r="K463" s="6">
        <v>28</v>
      </c>
    </row>
    <row r="464" spans="1:14" ht="12.95" customHeight="1" x14ac:dyDescent="0.2">
      <c r="A464" s="10" t="s">
        <v>176</v>
      </c>
      <c r="B464" s="10"/>
      <c r="C464" s="6">
        <v>0</v>
      </c>
      <c r="I464" s="39" t="s">
        <v>1591</v>
      </c>
      <c r="J464" s="19"/>
      <c r="K464" s="20">
        <v>0.5</v>
      </c>
    </row>
    <row r="465" spans="1:17" ht="12.95" customHeight="1" x14ac:dyDescent="0.2">
      <c r="A465" s="10" t="s">
        <v>177</v>
      </c>
      <c r="B465" s="10"/>
      <c r="C465" s="6">
        <v>0</v>
      </c>
      <c r="I465" s="39" t="s">
        <v>1592</v>
      </c>
      <c r="J465" s="19"/>
      <c r="K465" s="20">
        <v>0</v>
      </c>
    </row>
    <row r="466" spans="1:17" ht="12.95" customHeight="1" x14ac:dyDescent="0.25">
      <c r="A466" s="10" t="s">
        <v>11</v>
      </c>
      <c r="B466" s="10"/>
      <c r="C466" s="6">
        <v>0</v>
      </c>
      <c r="I466" s="41" t="s">
        <v>1593</v>
      </c>
      <c r="J466" s="40"/>
      <c r="K466" s="42">
        <f>K462+K464+K465</f>
        <v>2.5</v>
      </c>
    </row>
    <row r="467" spans="1:17" ht="12.95" customHeight="1" x14ac:dyDescent="0.2">
      <c r="A467" s="10" t="s">
        <v>178</v>
      </c>
      <c r="B467" s="10"/>
      <c r="C467" s="6">
        <v>0</v>
      </c>
    </row>
    <row r="468" spans="1:17" ht="12.95" customHeight="1" x14ac:dyDescent="0.2">
      <c r="A468" s="10" t="s">
        <v>17</v>
      </c>
      <c r="B468" s="10"/>
      <c r="C468" s="6">
        <v>0</v>
      </c>
    </row>
    <row r="469" spans="1:17" ht="12.95" customHeight="1" x14ac:dyDescent="0.2">
      <c r="A469" s="10" t="s">
        <v>179</v>
      </c>
      <c r="B469" s="10"/>
      <c r="C469" s="6">
        <v>0</v>
      </c>
    </row>
    <row r="470" spans="1:17" x14ac:dyDescent="0.2">
      <c r="A470" s="10" t="s">
        <v>10</v>
      </c>
      <c r="B470" s="10"/>
      <c r="C470" s="6">
        <v>0</v>
      </c>
    </row>
    <row r="472" spans="1:17" ht="12.95" customHeight="1" x14ac:dyDescent="0.2">
      <c r="A472" s="7" t="s">
        <v>530</v>
      </c>
      <c r="B472" s="7"/>
      <c r="C472" s="7"/>
      <c r="D472" s="7" t="s">
        <v>1</v>
      </c>
      <c r="E472" s="7"/>
      <c r="F472" s="7"/>
      <c r="G472" s="7"/>
      <c r="H472" s="7" t="s">
        <v>2</v>
      </c>
      <c r="I472" s="7"/>
      <c r="J472" s="7"/>
      <c r="K472" s="7"/>
      <c r="L472" s="7"/>
      <c r="M472" s="7"/>
      <c r="N472" s="7"/>
      <c r="O472" s="7"/>
      <c r="P472" s="7"/>
      <c r="Q472" s="7"/>
    </row>
    <row r="473" spans="1:17" ht="12.95" customHeight="1" x14ac:dyDescent="0.2">
      <c r="A473" s="7" t="s">
        <v>3</v>
      </c>
      <c r="B473" s="7"/>
      <c r="C473" s="7"/>
      <c r="D473" s="7"/>
      <c r="E473" s="7"/>
      <c r="F473" s="7">
        <v>7</v>
      </c>
      <c r="G473" s="7"/>
      <c r="H473" s="7" t="s">
        <v>183</v>
      </c>
      <c r="I473" s="7"/>
      <c r="J473" s="7"/>
      <c r="K473" s="7"/>
      <c r="L473" s="7"/>
      <c r="M473" s="7"/>
      <c r="N473" s="7"/>
      <c r="O473" s="7"/>
      <c r="P473" s="7"/>
      <c r="Q473" s="7"/>
    </row>
    <row r="474" spans="1:17" ht="22.5" customHeight="1" x14ac:dyDescent="0.2">
      <c r="A474" s="1" t="s">
        <v>5</v>
      </c>
      <c r="B474" s="1" t="s">
        <v>6</v>
      </c>
      <c r="C474" s="1" t="s">
        <v>7</v>
      </c>
      <c r="D474" s="1" t="s">
        <v>8</v>
      </c>
      <c r="E474" s="1" t="s">
        <v>9</v>
      </c>
      <c r="F474" s="1" t="s">
        <v>10</v>
      </c>
      <c r="G474" s="1" t="s">
        <v>11</v>
      </c>
      <c r="H474" s="1" t="s">
        <v>12</v>
      </c>
      <c r="I474" s="1" t="s">
        <v>13</v>
      </c>
      <c r="J474" s="1" t="s">
        <v>14</v>
      </c>
      <c r="K474" s="1" t="s">
        <v>15</v>
      </c>
      <c r="L474" s="1" t="s">
        <v>267</v>
      </c>
      <c r="M474" s="1" t="s">
        <v>16</v>
      </c>
      <c r="N474" s="1" t="s">
        <v>17</v>
      </c>
      <c r="O474" s="108"/>
      <c r="P474" s="1" t="s">
        <v>19</v>
      </c>
      <c r="Q474" s="1" t="s">
        <v>20</v>
      </c>
    </row>
    <row r="475" spans="1:17" ht="12.95" customHeight="1" x14ac:dyDescent="0.2">
      <c r="A475" s="2" t="s">
        <v>21</v>
      </c>
      <c r="B475" s="2" t="s">
        <v>22</v>
      </c>
      <c r="C475" s="2"/>
      <c r="D475" s="2"/>
      <c r="E475" s="3"/>
      <c r="F475" s="2"/>
      <c r="G475" s="2"/>
      <c r="H475" s="2" t="s">
        <v>46</v>
      </c>
      <c r="I475" s="12" t="s">
        <v>46</v>
      </c>
      <c r="J475" s="2"/>
      <c r="K475" s="2"/>
      <c r="L475" s="2"/>
      <c r="M475" s="2"/>
      <c r="N475" s="2"/>
      <c r="O475" s="2" t="s">
        <v>24</v>
      </c>
      <c r="P475" s="2" t="s">
        <v>25</v>
      </c>
      <c r="Q475" s="2"/>
    </row>
    <row r="476" spans="1:17" ht="12.95" customHeight="1" x14ac:dyDescent="0.2">
      <c r="A476" s="2" t="s">
        <v>26</v>
      </c>
      <c r="B476" s="2" t="s">
        <v>27</v>
      </c>
      <c r="C476" s="2"/>
      <c r="D476" s="2"/>
      <c r="E476" s="3"/>
      <c r="F476" s="2"/>
      <c r="G476" s="2"/>
      <c r="H476" s="2"/>
      <c r="I476" s="13"/>
      <c r="J476" s="2"/>
      <c r="K476" s="2"/>
      <c r="L476" s="2"/>
      <c r="M476" s="2"/>
      <c r="N476" s="2"/>
      <c r="O476" s="2" t="s">
        <v>28</v>
      </c>
      <c r="P476" s="2" t="s">
        <v>29</v>
      </c>
      <c r="Q476" s="2"/>
    </row>
    <row r="477" spans="1:17" ht="12.95" customHeight="1" x14ac:dyDescent="0.2">
      <c r="A477" s="4" t="s">
        <v>30</v>
      </c>
      <c r="B477" s="4" t="s">
        <v>31</v>
      </c>
      <c r="C477" s="4"/>
      <c r="D477" s="4"/>
      <c r="E477" s="3"/>
      <c r="F477" s="4"/>
      <c r="G477" s="4"/>
      <c r="H477" s="4"/>
      <c r="I477" s="35"/>
      <c r="J477" s="4"/>
      <c r="K477" s="4"/>
      <c r="L477" s="4"/>
      <c r="M477" s="4"/>
      <c r="N477" s="4"/>
      <c r="O477" s="4"/>
      <c r="P477" s="4"/>
      <c r="Q477" s="4"/>
    </row>
    <row r="478" spans="1:17" ht="12.95" customHeight="1" x14ac:dyDescent="0.2">
      <c r="A478" s="4" t="s">
        <v>32</v>
      </c>
      <c r="B478" s="4" t="s">
        <v>31</v>
      </c>
      <c r="C478" s="4"/>
      <c r="D478" s="4"/>
      <c r="E478" s="3"/>
      <c r="F478" s="4"/>
      <c r="G478" s="4"/>
      <c r="H478" s="4"/>
      <c r="I478" s="35"/>
      <c r="J478" s="4"/>
      <c r="K478" s="4"/>
      <c r="L478" s="4"/>
      <c r="M478" s="4"/>
      <c r="N478" s="4"/>
      <c r="O478" s="4"/>
      <c r="P478" s="4"/>
      <c r="Q478" s="4"/>
    </row>
    <row r="479" spans="1:17" x14ac:dyDescent="0.2">
      <c r="A479" s="4" t="s">
        <v>33</v>
      </c>
      <c r="B479" s="4" t="s">
        <v>34</v>
      </c>
      <c r="C479" s="4" t="s">
        <v>34</v>
      </c>
      <c r="D479" s="4" t="s">
        <v>34</v>
      </c>
      <c r="E479" s="4"/>
      <c r="F479" s="4"/>
      <c r="G479" s="4"/>
      <c r="H479" s="4" t="s">
        <v>46</v>
      </c>
      <c r="I479" s="35" t="s">
        <v>46</v>
      </c>
      <c r="J479" s="4"/>
      <c r="K479" s="4"/>
      <c r="L479" s="4"/>
      <c r="M479" s="4"/>
      <c r="N479" s="4"/>
      <c r="O479" s="4"/>
      <c r="P479" s="4"/>
      <c r="Q479" s="4"/>
    </row>
    <row r="480" spans="1:17" ht="12.95" customHeight="1" x14ac:dyDescent="0.2">
      <c r="A480" s="2" t="s">
        <v>35</v>
      </c>
      <c r="B480" s="2" t="s">
        <v>36</v>
      </c>
      <c r="C480" s="2"/>
      <c r="D480" s="2"/>
      <c r="E480" s="3"/>
      <c r="F480" s="2"/>
      <c r="G480" s="2"/>
      <c r="H480" s="2"/>
      <c r="I480" s="13"/>
      <c r="J480" s="2"/>
      <c r="K480" s="2"/>
      <c r="L480" s="2"/>
      <c r="M480" s="2"/>
      <c r="N480" s="2"/>
      <c r="O480" s="2" t="s">
        <v>37</v>
      </c>
      <c r="P480" s="2" t="s">
        <v>264</v>
      </c>
      <c r="Q480" s="2"/>
    </row>
    <row r="481" spans="1:17" ht="12.95" customHeight="1" x14ac:dyDescent="0.2">
      <c r="A481" s="2" t="s">
        <v>38</v>
      </c>
      <c r="B481" s="2" t="s">
        <v>36</v>
      </c>
      <c r="C481" s="2" t="s">
        <v>355</v>
      </c>
      <c r="D481" s="2" t="s">
        <v>531</v>
      </c>
      <c r="E481" s="3" t="s">
        <v>219</v>
      </c>
      <c r="F481" s="2"/>
      <c r="G481" s="2" t="s">
        <v>219</v>
      </c>
      <c r="H481" s="2"/>
      <c r="I481" s="13"/>
      <c r="J481" s="2" t="s">
        <v>219</v>
      </c>
      <c r="K481" s="2"/>
      <c r="L481" s="2"/>
      <c r="M481" s="2"/>
      <c r="N481" s="2"/>
      <c r="O481" s="2"/>
      <c r="P481" s="2"/>
      <c r="Q481" s="2"/>
    </row>
    <row r="482" spans="1:17" ht="12.95" customHeight="1" x14ac:dyDescent="0.2">
      <c r="A482" s="2" t="s">
        <v>39</v>
      </c>
      <c r="B482" s="2" t="s">
        <v>22</v>
      </c>
      <c r="C482" s="2"/>
      <c r="D482" s="2"/>
      <c r="E482" s="3"/>
      <c r="F482" s="2"/>
      <c r="G482" s="2"/>
      <c r="H482" s="2" t="s">
        <v>46</v>
      </c>
      <c r="I482" s="12" t="s">
        <v>46</v>
      </c>
      <c r="J482" s="2"/>
      <c r="K482" s="2"/>
      <c r="L482" s="2"/>
      <c r="M482" s="2"/>
      <c r="N482" s="2"/>
      <c r="O482" s="2" t="s">
        <v>24</v>
      </c>
      <c r="P482" s="2" t="s">
        <v>25</v>
      </c>
      <c r="Q482" s="2"/>
    </row>
    <row r="483" spans="1:17" ht="12.95" customHeight="1" x14ac:dyDescent="0.2">
      <c r="A483" s="2" t="s">
        <v>40</v>
      </c>
      <c r="B483" s="2" t="s">
        <v>27</v>
      </c>
      <c r="C483" s="2"/>
      <c r="D483" s="2"/>
      <c r="E483" s="3"/>
      <c r="F483" s="2"/>
      <c r="G483" s="2"/>
      <c r="H483" s="2"/>
      <c r="I483" s="13"/>
      <c r="J483" s="2"/>
      <c r="K483" s="2"/>
      <c r="L483" s="2"/>
      <c r="M483" s="2"/>
      <c r="N483" s="2"/>
      <c r="O483" s="2" t="s">
        <v>28</v>
      </c>
      <c r="P483" s="2" t="s">
        <v>25</v>
      </c>
      <c r="Q483" s="2"/>
    </row>
    <row r="484" spans="1:17" ht="12.95" customHeight="1" x14ac:dyDescent="0.2">
      <c r="A484" s="2" t="s">
        <v>41</v>
      </c>
      <c r="B484" s="2" t="s">
        <v>42</v>
      </c>
      <c r="C484" s="2"/>
      <c r="D484" s="2"/>
      <c r="E484" s="3"/>
      <c r="F484" s="2"/>
      <c r="G484" s="2"/>
      <c r="H484" s="2"/>
      <c r="I484" s="13"/>
      <c r="J484" s="2"/>
      <c r="K484" s="2"/>
      <c r="L484" s="2"/>
      <c r="M484" s="2"/>
      <c r="N484" s="2"/>
      <c r="O484" s="2" t="s">
        <v>194</v>
      </c>
      <c r="P484" s="2"/>
      <c r="Q484" s="2"/>
    </row>
    <row r="485" spans="1:17" ht="12.95" customHeight="1" x14ac:dyDescent="0.2">
      <c r="A485" s="4" t="s">
        <v>51</v>
      </c>
      <c r="B485" s="4" t="s">
        <v>31</v>
      </c>
      <c r="C485" s="4"/>
      <c r="D485" s="4"/>
      <c r="E485" s="3"/>
      <c r="F485" s="4"/>
      <c r="G485" s="4"/>
      <c r="H485" s="4"/>
      <c r="I485" s="35"/>
      <c r="J485" s="4"/>
      <c r="K485" s="4"/>
      <c r="L485" s="4"/>
      <c r="M485" s="4"/>
      <c r="N485" s="4"/>
      <c r="O485" s="4"/>
      <c r="P485" s="4"/>
      <c r="Q485" s="4"/>
    </row>
    <row r="486" spans="1:17" ht="12.95" customHeight="1" x14ac:dyDescent="0.2">
      <c r="A486" s="4" t="s">
        <v>52</v>
      </c>
      <c r="B486" s="4" t="s">
        <v>31</v>
      </c>
      <c r="C486" s="4"/>
      <c r="D486" s="4"/>
      <c r="E486" s="3"/>
      <c r="F486" s="4"/>
      <c r="G486" s="4"/>
      <c r="H486" s="4"/>
      <c r="I486" s="35"/>
      <c r="J486" s="4"/>
      <c r="K486" s="4"/>
      <c r="L486" s="4"/>
      <c r="M486" s="4"/>
      <c r="N486" s="4"/>
      <c r="O486" s="4"/>
      <c r="P486" s="4"/>
      <c r="Q486" s="4"/>
    </row>
    <row r="487" spans="1:17" x14ac:dyDescent="0.2">
      <c r="A487" s="4" t="s">
        <v>33</v>
      </c>
      <c r="B487" s="4" t="s">
        <v>34</v>
      </c>
      <c r="C487" s="4" t="s">
        <v>34</v>
      </c>
      <c r="D487" s="4" t="s">
        <v>34</v>
      </c>
      <c r="E487" s="4" t="s">
        <v>219</v>
      </c>
      <c r="F487" s="4"/>
      <c r="G487" s="4" t="s">
        <v>219</v>
      </c>
      <c r="H487" s="4" t="s">
        <v>46</v>
      </c>
      <c r="I487" s="35" t="s">
        <v>46</v>
      </c>
      <c r="J487" s="4" t="s">
        <v>219</v>
      </c>
      <c r="K487" s="4"/>
      <c r="L487" s="4"/>
      <c r="M487" s="4"/>
      <c r="N487" s="4"/>
      <c r="O487" s="4"/>
      <c r="P487" s="4"/>
      <c r="Q487" s="4"/>
    </row>
    <row r="488" spans="1:17" ht="12.95" customHeight="1" x14ac:dyDescent="0.2">
      <c r="A488" s="2" t="s">
        <v>54</v>
      </c>
      <c r="B488" s="2" t="s">
        <v>42</v>
      </c>
      <c r="C488" s="2" t="s">
        <v>503</v>
      </c>
      <c r="D488" s="2" t="s">
        <v>532</v>
      </c>
      <c r="E488" s="3" t="s">
        <v>533</v>
      </c>
      <c r="F488" s="2" t="s">
        <v>46</v>
      </c>
      <c r="G488" s="2" t="s">
        <v>145</v>
      </c>
      <c r="H488" s="2" t="s">
        <v>201</v>
      </c>
      <c r="I488" s="13"/>
      <c r="J488" s="2" t="s">
        <v>48</v>
      </c>
      <c r="K488" s="2" t="s">
        <v>342</v>
      </c>
      <c r="L488" s="2"/>
      <c r="M488" s="2" t="s">
        <v>103</v>
      </c>
      <c r="N488" s="2"/>
      <c r="O488" s="2"/>
      <c r="P488" s="2"/>
      <c r="Q488" s="2"/>
    </row>
    <row r="489" spans="1:17" ht="12.95" customHeight="1" x14ac:dyDescent="0.2">
      <c r="A489" s="2" t="s">
        <v>61</v>
      </c>
      <c r="B489" s="2" t="s">
        <v>42</v>
      </c>
      <c r="C489" s="2" t="s">
        <v>534</v>
      </c>
      <c r="D489" s="2" t="s">
        <v>535</v>
      </c>
      <c r="E489" s="3" t="s">
        <v>208</v>
      </c>
      <c r="F489" s="2" t="s">
        <v>46</v>
      </c>
      <c r="G489" s="2" t="s">
        <v>327</v>
      </c>
      <c r="H489" s="2" t="s">
        <v>201</v>
      </c>
      <c r="I489" s="13"/>
      <c r="J489" s="2" t="s">
        <v>48</v>
      </c>
      <c r="K489" s="2" t="s">
        <v>328</v>
      </c>
      <c r="L489" s="2"/>
      <c r="M489" s="2" t="s">
        <v>287</v>
      </c>
      <c r="N489" s="2"/>
      <c r="O489" s="2"/>
      <c r="P489" s="2"/>
      <c r="Q489" s="2"/>
    </row>
    <row r="490" spans="1:17" ht="12.95" customHeight="1" x14ac:dyDescent="0.2">
      <c r="A490" s="2" t="s">
        <v>68</v>
      </c>
      <c r="B490" s="2" t="s">
        <v>42</v>
      </c>
      <c r="C490" s="2" t="s">
        <v>536</v>
      </c>
      <c r="D490" s="2" t="s">
        <v>537</v>
      </c>
      <c r="E490" s="3" t="s">
        <v>538</v>
      </c>
      <c r="F490" s="2" t="s">
        <v>46</v>
      </c>
      <c r="G490" s="2" t="s">
        <v>276</v>
      </c>
      <c r="H490" s="2" t="s">
        <v>201</v>
      </c>
      <c r="I490" s="13"/>
      <c r="J490" s="2" t="s">
        <v>48</v>
      </c>
      <c r="K490" s="2" t="s">
        <v>539</v>
      </c>
      <c r="L490" s="2"/>
      <c r="M490" s="2" t="s">
        <v>540</v>
      </c>
      <c r="N490" s="2"/>
      <c r="O490" s="2"/>
      <c r="P490" s="2"/>
      <c r="Q490" s="2"/>
    </row>
    <row r="491" spans="1:17" ht="12.95" customHeight="1" x14ac:dyDescent="0.2">
      <c r="A491" s="2" t="s">
        <v>75</v>
      </c>
      <c r="B491" s="2" t="s">
        <v>42</v>
      </c>
      <c r="C491" s="2" t="s">
        <v>541</v>
      </c>
      <c r="D491" s="2" t="s">
        <v>542</v>
      </c>
      <c r="E491" s="3" t="s">
        <v>543</v>
      </c>
      <c r="F491" s="2" t="s">
        <v>46</v>
      </c>
      <c r="G491" s="2" t="s">
        <v>544</v>
      </c>
      <c r="H491" s="2" t="s">
        <v>201</v>
      </c>
      <c r="I491" s="13"/>
      <c r="J491" s="2" t="s">
        <v>48</v>
      </c>
      <c r="K491" s="2" t="s">
        <v>397</v>
      </c>
      <c r="L491" s="2"/>
      <c r="M491" s="2" t="s">
        <v>102</v>
      </c>
      <c r="N491" s="2"/>
      <c r="O491" s="2"/>
      <c r="P491" s="2"/>
      <c r="Q491" s="2"/>
    </row>
    <row r="492" spans="1:17" ht="12.95" customHeight="1" x14ac:dyDescent="0.2">
      <c r="A492" s="2" t="s">
        <v>81</v>
      </c>
      <c r="B492" s="2" t="s">
        <v>42</v>
      </c>
      <c r="C492" s="2"/>
      <c r="D492" s="2"/>
      <c r="E492" s="3"/>
      <c r="F492" s="2"/>
      <c r="G492" s="2"/>
      <c r="H492" s="2" t="s">
        <v>201</v>
      </c>
      <c r="I492" s="12" t="s">
        <v>201</v>
      </c>
      <c r="J492" s="2"/>
      <c r="K492" s="2"/>
      <c r="L492" s="2"/>
      <c r="M492" s="2"/>
      <c r="N492" s="2"/>
      <c r="O492" s="2"/>
      <c r="P492" s="2"/>
      <c r="Q492" s="2"/>
    </row>
    <row r="493" spans="1:17" ht="12.95" customHeight="1" x14ac:dyDescent="0.2">
      <c r="A493" s="4" t="s">
        <v>87</v>
      </c>
      <c r="B493" s="4" t="s">
        <v>31</v>
      </c>
      <c r="C493" s="4"/>
      <c r="D493" s="4"/>
      <c r="E493" s="3"/>
      <c r="F493" s="4"/>
      <c r="G493" s="4"/>
      <c r="H493" s="4"/>
      <c r="I493" s="35"/>
      <c r="J493" s="4"/>
      <c r="K493" s="4"/>
      <c r="L493" s="4"/>
      <c r="M493" s="4"/>
      <c r="N493" s="4"/>
      <c r="O493" s="4"/>
      <c r="P493" s="4"/>
      <c r="Q493" s="4"/>
    </row>
    <row r="494" spans="1:17" ht="12.95" customHeight="1" x14ac:dyDescent="0.2">
      <c r="A494" s="4" t="s">
        <v>88</v>
      </c>
      <c r="B494" s="4" t="s">
        <v>31</v>
      </c>
      <c r="C494" s="4"/>
      <c r="D494" s="4"/>
      <c r="E494" s="3"/>
      <c r="F494" s="4"/>
      <c r="G494" s="4"/>
      <c r="H494" s="4"/>
      <c r="I494" s="35"/>
      <c r="J494" s="4"/>
      <c r="K494" s="4"/>
      <c r="L494" s="4"/>
      <c r="M494" s="4"/>
      <c r="N494" s="4"/>
      <c r="O494" s="4"/>
      <c r="P494" s="4"/>
      <c r="Q494" s="4"/>
    </row>
    <row r="495" spans="1:17" x14ac:dyDescent="0.2">
      <c r="A495" s="4" t="s">
        <v>33</v>
      </c>
      <c r="B495" s="4" t="s">
        <v>34</v>
      </c>
      <c r="C495" s="4" t="s">
        <v>34</v>
      </c>
      <c r="D495" s="4" t="s">
        <v>34</v>
      </c>
      <c r="E495" s="4" t="s">
        <v>545</v>
      </c>
      <c r="F495" s="4" t="s">
        <v>272</v>
      </c>
      <c r="G495" s="4" t="s">
        <v>546</v>
      </c>
      <c r="H495" s="4" t="s">
        <v>331</v>
      </c>
      <c r="I495" s="35" t="s">
        <v>201</v>
      </c>
      <c r="J495" s="4" t="s">
        <v>547</v>
      </c>
      <c r="K495" s="4" t="s">
        <v>213</v>
      </c>
      <c r="L495" s="4"/>
      <c r="M495" s="4" t="s">
        <v>548</v>
      </c>
      <c r="N495" s="4"/>
      <c r="O495" s="4"/>
      <c r="P495" s="4"/>
      <c r="Q495" s="4"/>
    </row>
    <row r="496" spans="1:17" ht="12.95" customHeight="1" x14ac:dyDescent="0.2">
      <c r="A496" s="2" t="s">
        <v>97</v>
      </c>
      <c r="B496" s="2" t="s">
        <v>42</v>
      </c>
      <c r="C496" s="2" t="s">
        <v>503</v>
      </c>
      <c r="D496" s="2" t="s">
        <v>549</v>
      </c>
      <c r="E496" s="3" t="s">
        <v>550</v>
      </c>
      <c r="F496" s="2" t="s">
        <v>46</v>
      </c>
      <c r="G496" s="2" t="s">
        <v>444</v>
      </c>
      <c r="H496" s="2" t="s">
        <v>201</v>
      </c>
      <c r="I496" s="13"/>
      <c r="J496" s="2" t="s">
        <v>48</v>
      </c>
      <c r="K496" s="2" t="s">
        <v>272</v>
      </c>
      <c r="L496" s="2" t="s">
        <v>540</v>
      </c>
      <c r="M496" s="2" t="s">
        <v>551</v>
      </c>
      <c r="N496" s="2"/>
      <c r="O496" s="2"/>
      <c r="P496" s="2"/>
      <c r="Q496" s="2"/>
    </row>
    <row r="497" spans="1:17" ht="12.95" customHeight="1" x14ac:dyDescent="0.2">
      <c r="A497" s="2" t="s">
        <v>104</v>
      </c>
      <c r="B497" s="2" t="s">
        <v>42</v>
      </c>
      <c r="C497" s="2" t="s">
        <v>552</v>
      </c>
      <c r="D497" s="2" t="s">
        <v>204</v>
      </c>
      <c r="E497" s="3" t="s">
        <v>553</v>
      </c>
      <c r="F497" s="2" t="s">
        <v>46</v>
      </c>
      <c r="G497" s="2" t="s">
        <v>533</v>
      </c>
      <c r="H497" s="2" t="s">
        <v>125</v>
      </c>
      <c r="I497" s="13"/>
      <c r="J497" s="2" t="s">
        <v>48</v>
      </c>
      <c r="K497" s="2" t="s">
        <v>554</v>
      </c>
      <c r="L497" s="2"/>
      <c r="M497" s="2" t="s">
        <v>135</v>
      </c>
      <c r="N497" s="2"/>
      <c r="O497" s="2"/>
      <c r="P497" s="2" t="s">
        <v>111</v>
      </c>
      <c r="Q497" s="2"/>
    </row>
    <row r="498" spans="1:17" ht="12.95" customHeight="1" x14ac:dyDescent="0.2">
      <c r="A498" s="2" t="s">
        <v>112</v>
      </c>
      <c r="B498" s="2" t="s">
        <v>22</v>
      </c>
      <c r="C498" s="2"/>
      <c r="D498" s="2"/>
      <c r="E498" s="3"/>
      <c r="F498" s="2"/>
      <c r="G498" s="2"/>
      <c r="H498" s="2" t="s">
        <v>227</v>
      </c>
      <c r="I498" s="13" t="s">
        <v>227</v>
      </c>
      <c r="J498" s="2"/>
      <c r="K498" s="2"/>
      <c r="L498" s="2"/>
      <c r="M498" s="2"/>
      <c r="N498" s="2"/>
      <c r="O498" s="2" t="s">
        <v>24</v>
      </c>
      <c r="P498" s="2"/>
      <c r="Q498" s="2"/>
    </row>
    <row r="499" spans="1:17" ht="12.95" customHeight="1" x14ac:dyDescent="0.2">
      <c r="A499" s="2" t="s">
        <v>114</v>
      </c>
      <c r="B499" s="2" t="s">
        <v>27</v>
      </c>
      <c r="C499" s="2"/>
      <c r="D499" s="2"/>
      <c r="E499" s="3"/>
      <c r="F499" s="2"/>
      <c r="G499" s="2"/>
      <c r="H499" s="2"/>
      <c r="I499" s="13"/>
      <c r="J499" s="2"/>
      <c r="K499" s="2"/>
      <c r="L499" s="2"/>
      <c r="M499" s="2"/>
      <c r="N499" s="2"/>
      <c r="O499" s="2" t="s">
        <v>28</v>
      </c>
      <c r="P499" s="2" t="s">
        <v>111</v>
      </c>
      <c r="Q499" s="2"/>
    </row>
    <row r="500" spans="1:17" ht="12.95" customHeight="1" x14ac:dyDescent="0.2">
      <c r="A500" s="2" t="s">
        <v>115</v>
      </c>
      <c r="B500" s="2" t="s">
        <v>42</v>
      </c>
      <c r="C500" s="2"/>
      <c r="D500" s="2"/>
      <c r="E500" s="3"/>
      <c r="F500" s="2"/>
      <c r="G500" s="2"/>
      <c r="H500" s="2"/>
      <c r="I500" s="13"/>
      <c r="J500" s="2"/>
      <c r="K500" s="2"/>
      <c r="L500" s="2"/>
      <c r="M500" s="2"/>
      <c r="N500" s="2"/>
      <c r="O500" s="2" t="s">
        <v>194</v>
      </c>
      <c r="P500" s="2"/>
      <c r="Q500" s="2"/>
    </row>
    <row r="501" spans="1:17" ht="12.95" customHeight="1" x14ac:dyDescent="0.2">
      <c r="A501" s="4" t="s">
        <v>122</v>
      </c>
      <c r="B501" s="4" t="s">
        <v>31</v>
      </c>
      <c r="C501" s="4"/>
      <c r="D501" s="4"/>
      <c r="E501" s="3"/>
      <c r="F501" s="4"/>
      <c r="G501" s="4"/>
      <c r="H501" s="4"/>
      <c r="I501" s="35"/>
      <c r="J501" s="4"/>
      <c r="K501" s="4"/>
      <c r="L501" s="4"/>
      <c r="M501" s="4"/>
      <c r="N501" s="4"/>
      <c r="O501" s="4"/>
      <c r="P501" s="4"/>
      <c r="Q501" s="4"/>
    </row>
    <row r="502" spans="1:17" ht="12.95" customHeight="1" x14ac:dyDescent="0.2">
      <c r="A502" s="4" t="s">
        <v>123</v>
      </c>
      <c r="B502" s="4" t="s">
        <v>31</v>
      </c>
      <c r="C502" s="4"/>
      <c r="D502" s="4"/>
      <c r="E502" s="3"/>
      <c r="F502" s="4"/>
      <c r="G502" s="4"/>
      <c r="H502" s="4"/>
      <c r="I502" s="35"/>
      <c r="J502" s="4"/>
      <c r="K502" s="4"/>
      <c r="L502" s="4"/>
      <c r="M502" s="4"/>
      <c r="N502" s="4"/>
      <c r="O502" s="4"/>
      <c r="P502" s="4"/>
      <c r="Q502" s="4"/>
    </row>
    <row r="503" spans="1:17" x14ac:dyDescent="0.2">
      <c r="A503" s="4" t="s">
        <v>33</v>
      </c>
      <c r="B503" s="4" t="s">
        <v>34</v>
      </c>
      <c r="C503" s="4" t="s">
        <v>34</v>
      </c>
      <c r="D503" s="4" t="s">
        <v>34</v>
      </c>
      <c r="E503" s="4" t="s">
        <v>555</v>
      </c>
      <c r="F503" s="4" t="s">
        <v>95</v>
      </c>
      <c r="G503" s="4" t="s">
        <v>556</v>
      </c>
      <c r="H503" s="4" t="s">
        <v>229</v>
      </c>
      <c r="I503" s="35" t="s">
        <v>227</v>
      </c>
      <c r="J503" s="4" t="s">
        <v>63</v>
      </c>
      <c r="K503" s="4" t="s">
        <v>557</v>
      </c>
      <c r="L503" s="4" t="s">
        <v>540</v>
      </c>
      <c r="M503" s="4" t="s">
        <v>558</v>
      </c>
      <c r="N503" s="4"/>
      <c r="O503" s="4"/>
      <c r="P503" s="4"/>
      <c r="Q503" s="4"/>
    </row>
    <row r="504" spans="1:17" ht="12.95" customHeight="1" x14ac:dyDescent="0.2">
      <c r="A504" s="2" t="s">
        <v>131</v>
      </c>
      <c r="B504" s="2" t="s">
        <v>42</v>
      </c>
      <c r="C504" s="2" t="s">
        <v>541</v>
      </c>
      <c r="D504" s="2" t="s">
        <v>305</v>
      </c>
      <c r="E504" s="3" t="s">
        <v>247</v>
      </c>
      <c r="F504" s="2" t="s">
        <v>46</v>
      </c>
      <c r="G504" s="2" t="s">
        <v>559</v>
      </c>
      <c r="H504" s="2" t="s">
        <v>201</v>
      </c>
      <c r="I504" s="13"/>
      <c r="J504" s="2" t="s">
        <v>48</v>
      </c>
      <c r="K504" s="2" t="s">
        <v>272</v>
      </c>
      <c r="L504" s="2" t="s">
        <v>560</v>
      </c>
      <c r="M504" s="2" t="s">
        <v>561</v>
      </c>
      <c r="N504" s="2"/>
      <c r="O504" s="2"/>
      <c r="P504" s="2"/>
      <c r="Q504" s="2"/>
    </row>
    <row r="505" spans="1:17" ht="12.95" customHeight="1" x14ac:dyDescent="0.2">
      <c r="A505" s="2" t="s">
        <v>138</v>
      </c>
      <c r="B505" s="2" t="s">
        <v>42</v>
      </c>
      <c r="C505" s="2" t="s">
        <v>503</v>
      </c>
      <c r="D505" s="2" t="s">
        <v>56</v>
      </c>
      <c r="E505" s="3" t="s">
        <v>457</v>
      </c>
      <c r="F505" s="2" t="s">
        <v>46</v>
      </c>
      <c r="G505" s="2" t="s">
        <v>458</v>
      </c>
      <c r="H505" s="2" t="s">
        <v>201</v>
      </c>
      <c r="I505" s="13"/>
      <c r="J505" s="2" t="s">
        <v>48</v>
      </c>
      <c r="K505" s="2" t="s">
        <v>272</v>
      </c>
      <c r="L505" s="2" t="s">
        <v>459</v>
      </c>
      <c r="M505" s="2" t="s">
        <v>460</v>
      </c>
      <c r="N505" s="2"/>
      <c r="O505" s="2"/>
      <c r="P505" s="2"/>
      <c r="Q505" s="2"/>
    </row>
    <row r="506" spans="1:17" ht="12.95" customHeight="1" x14ac:dyDescent="0.2">
      <c r="A506" s="2" t="s">
        <v>143</v>
      </c>
      <c r="B506" s="2" t="s">
        <v>42</v>
      </c>
      <c r="C506" s="2" t="s">
        <v>562</v>
      </c>
      <c r="D506" s="2" t="s">
        <v>563</v>
      </c>
      <c r="E506" s="3" t="s">
        <v>339</v>
      </c>
      <c r="F506" s="2" t="s">
        <v>46</v>
      </c>
      <c r="G506" s="2" t="s">
        <v>71</v>
      </c>
      <c r="H506" s="2" t="s">
        <v>201</v>
      </c>
      <c r="I506" s="13"/>
      <c r="J506" s="2" t="s">
        <v>48</v>
      </c>
      <c r="K506" s="2" t="s">
        <v>340</v>
      </c>
      <c r="L506" s="2"/>
      <c r="M506" s="2" t="s">
        <v>368</v>
      </c>
      <c r="N506" s="2"/>
      <c r="O506" s="2"/>
      <c r="P506" s="2"/>
      <c r="Q506" s="2"/>
    </row>
    <row r="507" spans="1:17" ht="12.95" customHeight="1" x14ac:dyDescent="0.2">
      <c r="A507" s="2" t="s">
        <v>148</v>
      </c>
      <c r="B507" s="2" t="s">
        <v>42</v>
      </c>
      <c r="C507" s="2" t="s">
        <v>564</v>
      </c>
      <c r="D507" s="2" t="s">
        <v>565</v>
      </c>
      <c r="E507" s="3" t="s">
        <v>566</v>
      </c>
      <c r="F507" s="2" t="s">
        <v>46</v>
      </c>
      <c r="G507" s="2" t="s">
        <v>186</v>
      </c>
      <c r="H507" s="2" t="s">
        <v>201</v>
      </c>
      <c r="I507" s="13"/>
      <c r="J507" s="2" t="s">
        <v>48</v>
      </c>
      <c r="K507" s="2" t="s">
        <v>272</v>
      </c>
      <c r="L507" s="2" t="s">
        <v>539</v>
      </c>
      <c r="M507" s="2" t="s">
        <v>567</v>
      </c>
      <c r="N507" s="2"/>
      <c r="O507" s="2"/>
      <c r="P507" s="2"/>
      <c r="Q507" s="2"/>
    </row>
    <row r="508" spans="1:17" ht="12.95" customHeight="1" x14ac:dyDescent="0.2">
      <c r="A508" s="2" t="s">
        <v>155</v>
      </c>
      <c r="B508" s="2" t="s">
        <v>42</v>
      </c>
      <c r="C508" s="2" t="s">
        <v>503</v>
      </c>
      <c r="D508" s="2" t="s">
        <v>568</v>
      </c>
      <c r="E508" s="3" t="s">
        <v>403</v>
      </c>
      <c r="F508" s="2" t="s">
        <v>46</v>
      </c>
      <c r="G508" s="2" t="s">
        <v>404</v>
      </c>
      <c r="H508" s="2" t="s">
        <v>201</v>
      </c>
      <c r="I508" s="13"/>
      <c r="J508" s="2" t="s">
        <v>48</v>
      </c>
      <c r="K508" s="2" t="s">
        <v>60</v>
      </c>
      <c r="L508" s="2"/>
      <c r="M508" s="2" t="s">
        <v>328</v>
      </c>
      <c r="N508" s="2"/>
      <c r="O508" s="2"/>
      <c r="P508" s="2"/>
      <c r="Q508" s="2"/>
    </row>
    <row r="509" spans="1:17" ht="12.95" customHeight="1" x14ac:dyDescent="0.2">
      <c r="A509" s="8" t="s">
        <v>161</v>
      </c>
      <c r="B509" s="8"/>
      <c r="C509" s="8"/>
      <c r="D509" s="8"/>
      <c r="E509" s="5" t="s">
        <v>569</v>
      </c>
      <c r="F509" s="5" t="s">
        <v>570</v>
      </c>
      <c r="G509" s="5" t="s">
        <v>571</v>
      </c>
      <c r="H509" s="5" t="s">
        <v>505</v>
      </c>
      <c r="I509" s="36" t="s">
        <v>335</v>
      </c>
      <c r="J509" s="5" t="s">
        <v>572</v>
      </c>
      <c r="K509" s="5" t="s">
        <v>573</v>
      </c>
      <c r="L509" s="5" t="s">
        <v>574</v>
      </c>
      <c r="M509" s="5" t="s">
        <v>575</v>
      </c>
      <c r="N509" s="5" t="s">
        <v>296</v>
      </c>
      <c r="O509" s="5"/>
      <c r="P509" s="5"/>
      <c r="Q509" s="5"/>
    </row>
    <row r="510" spans="1:17" ht="12.95" customHeight="1" x14ac:dyDescent="0.2">
      <c r="A510" s="8" t="s">
        <v>171</v>
      </c>
      <c r="B510" s="8"/>
      <c r="C510" s="8"/>
      <c r="D510" s="8"/>
      <c r="E510" s="5" t="s">
        <v>569</v>
      </c>
      <c r="F510" s="5" t="s">
        <v>570</v>
      </c>
      <c r="G510" s="5" t="s">
        <v>571</v>
      </c>
      <c r="H510" s="5" t="s">
        <v>505</v>
      </c>
      <c r="I510" s="36" t="s">
        <v>296</v>
      </c>
      <c r="J510" s="5" t="s">
        <v>572</v>
      </c>
      <c r="K510" s="5" t="s">
        <v>573</v>
      </c>
      <c r="L510" s="5" t="s">
        <v>574</v>
      </c>
      <c r="M510" s="5" t="s">
        <v>575</v>
      </c>
      <c r="N510" s="5" t="s">
        <v>296</v>
      </c>
      <c r="O510" s="5"/>
      <c r="P510" s="5"/>
      <c r="Q510" s="5"/>
    </row>
    <row r="511" spans="1:17" ht="12.95" customHeight="1" x14ac:dyDescent="0.2">
      <c r="A511" s="8" t="s">
        <v>173</v>
      </c>
      <c r="B511" s="8"/>
      <c r="C511" s="8"/>
      <c r="D511" s="8"/>
      <c r="E511" s="5">
        <v>120.9</v>
      </c>
      <c r="F511" s="5">
        <v>5.5</v>
      </c>
      <c r="G511" s="5">
        <v>115.4</v>
      </c>
      <c r="H511" s="5">
        <v>103.5</v>
      </c>
      <c r="I511" s="36">
        <v>0</v>
      </c>
      <c r="J511" s="5">
        <v>100.05</v>
      </c>
      <c r="K511" s="5">
        <v>13.53</v>
      </c>
      <c r="L511" s="5">
        <v>1.81</v>
      </c>
      <c r="M511" s="5">
        <v>21.25</v>
      </c>
      <c r="N511" s="5">
        <v>0</v>
      </c>
      <c r="O511" s="5"/>
      <c r="P511" s="5"/>
      <c r="Q511" s="5"/>
    </row>
    <row r="512" spans="1:17" x14ac:dyDescent="0.2">
      <c r="I512" s="37"/>
    </row>
    <row r="513" spans="1:17" ht="12.95" customHeight="1" x14ac:dyDescent="0.2">
      <c r="A513" s="9" t="s">
        <v>174</v>
      </c>
      <c r="B513" s="9"/>
      <c r="C513" s="9"/>
      <c r="E513" s="9" t="s">
        <v>180</v>
      </c>
      <c r="F513" s="9"/>
      <c r="G513" s="9"/>
      <c r="I513" s="9" t="s">
        <v>181</v>
      </c>
      <c r="J513" s="9"/>
      <c r="K513" s="9"/>
    </row>
    <row r="514" spans="1:17" ht="12.95" customHeight="1" x14ac:dyDescent="0.2">
      <c r="A514" s="10" t="s">
        <v>175</v>
      </c>
      <c r="B514" s="10"/>
      <c r="C514" s="6">
        <v>12</v>
      </c>
      <c r="E514" s="10" t="s">
        <v>14</v>
      </c>
      <c r="F514" s="10"/>
      <c r="G514" s="6">
        <v>100.05</v>
      </c>
      <c r="I514" s="10" t="s">
        <v>264</v>
      </c>
      <c r="J514" s="10"/>
      <c r="K514" s="43">
        <v>2</v>
      </c>
    </row>
    <row r="515" spans="1:17" ht="12.95" customHeight="1" x14ac:dyDescent="0.2">
      <c r="A515" s="10" t="s">
        <v>1531</v>
      </c>
      <c r="B515" s="10"/>
      <c r="C515" s="131">
        <v>21</v>
      </c>
      <c r="E515" s="10" t="s">
        <v>15</v>
      </c>
      <c r="F515" s="10"/>
      <c r="G515" s="6">
        <v>13.53</v>
      </c>
      <c r="I515" s="10" t="s">
        <v>27</v>
      </c>
      <c r="J515" s="10"/>
      <c r="K515" s="26">
        <v>3</v>
      </c>
    </row>
    <row r="516" spans="1:17" ht="12.95" customHeight="1" x14ac:dyDescent="0.2">
      <c r="A516" s="10" t="s">
        <v>176</v>
      </c>
      <c r="B516" s="10"/>
      <c r="C516" s="6">
        <v>120.9</v>
      </c>
      <c r="E516" s="10" t="s">
        <v>267</v>
      </c>
      <c r="F516" s="10"/>
      <c r="G516" s="6">
        <v>1.81</v>
      </c>
      <c r="I516" s="10" t="s">
        <v>22</v>
      </c>
      <c r="J516" s="10"/>
      <c r="K516" s="26">
        <v>3</v>
      </c>
    </row>
    <row r="517" spans="1:17" ht="12.95" customHeight="1" x14ac:dyDescent="0.2">
      <c r="A517" s="10" t="s">
        <v>177</v>
      </c>
      <c r="B517" s="10"/>
      <c r="C517" s="6">
        <v>103.5</v>
      </c>
      <c r="I517" s="10" t="s">
        <v>36</v>
      </c>
      <c r="J517" s="10"/>
      <c r="K517" s="26">
        <v>2</v>
      </c>
    </row>
    <row r="518" spans="1:17" ht="12.95" customHeight="1" x14ac:dyDescent="0.2">
      <c r="A518" s="10" t="s">
        <v>11</v>
      </c>
      <c r="B518" s="10"/>
      <c r="C518" s="6">
        <v>115.4</v>
      </c>
      <c r="I518" s="39" t="s">
        <v>1591</v>
      </c>
      <c r="J518" s="19"/>
      <c r="K518" s="20">
        <v>1.5</v>
      </c>
    </row>
    <row r="519" spans="1:17" ht="12.95" customHeight="1" x14ac:dyDescent="0.2">
      <c r="A519" s="10" t="s">
        <v>178</v>
      </c>
      <c r="B519" s="10"/>
      <c r="C519" s="30">
        <v>17</v>
      </c>
      <c r="I519" s="39" t="s">
        <v>1592</v>
      </c>
      <c r="J519" s="19"/>
      <c r="K519" s="38">
        <v>1</v>
      </c>
    </row>
    <row r="520" spans="1:17" ht="12.95" customHeight="1" x14ac:dyDescent="0.25">
      <c r="A520" s="28" t="s">
        <v>1571</v>
      </c>
      <c r="B520" s="27"/>
      <c r="C520" s="31">
        <v>-1</v>
      </c>
      <c r="I520" s="41" t="s">
        <v>1593</v>
      </c>
      <c r="J520" s="40"/>
      <c r="K520" s="42">
        <f>K514+K518+K519</f>
        <v>4.5</v>
      </c>
      <c r="L520" s="142"/>
      <c r="M520" s="142"/>
      <c r="N520" s="142"/>
      <c r="O520" s="142"/>
      <c r="P520" s="142"/>
      <c r="Q520" s="142"/>
    </row>
    <row r="521" spans="1:17" ht="12.95" customHeight="1" x14ac:dyDescent="0.2">
      <c r="A521" s="29" t="s">
        <v>1572</v>
      </c>
      <c r="B521" s="29"/>
      <c r="C521" s="32">
        <f>C519+C520</f>
        <v>16</v>
      </c>
      <c r="E521" s="143" t="s">
        <v>1759</v>
      </c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</row>
    <row r="522" spans="1:17" x14ac:dyDescent="0.2">
      <c r="A522" s="10" t="s">
        <v>10</v>
      </c>
      <c r="B522" s="10"/>
      <c r="C522" s="6">
        <v>5.5</v>
      </c>
    </row>
    <row r="523" spans="1:17" x14ac:dyDescent="0.2">
      <c r="A523" t="s">
        <v>1615</v>
      </c>
      <c r="C523" cm="1">
        <f t="array" ref="C523">IFERROR(SUMPRODUCT(ISNUMBER(SEARCH("מילואים",O475:O512))*(C475:C512&lt;&gt;"")*(J475:J512+0))*24,0)</f>
        <v>0</v>
      </c>
    </row>
    <row r="524" spans="1:17" ht="12.95" customHeight="1" x14ac:dyDescent="0.2">
      <c r="A524" s="7" t="s">
        <v>576</v>
      </c>
      <c r="B524" s="7"/>
      <c r="C524" s="7"/>
      <c r="D524" s="7" t="s">
        <v>1</v>
      </c>
      <c r="E524" s="7"/>
      <c r="F524" s="7"/>
      <c r="G524" s="7"/>
      <c r="H524" s="7" t="s">
        <v>2</v>
      </c>
      <c r="I524" s="7"/>
      <c r="J524" s="7"/>
      <c r="K524" s="7"/>
      <c r="L524" s="7"/>
      <c r="M524" s="7"/>
      <c r="N524" s="7"/>
      <c r="O524" s="7"/>
    </row>
    <row r="525" spans="1:17" ht="12.95" customHeight="1" x14ac:dyDescent="0.2">
      <c r="A525" s="7" t="s">
        <v>3</v>
      </c>
      <c r="B525" s="7"/>
      <c r="C525" s="7"/>
      <c r="D525" s="7"/>
      <c r="E525" s="7"/>
      <c r="F525" s="7">
        <v>11</v>
      </c>
      <c r="G525" s="7"/>
      <c r="H525" s="7" t="s">
        <v>183</v>
      </c>
      <c r="I525" s="7"/>
      <c r="J525" s="7"/>
      <c r="K525" s="7"/>
      <c r="L525" s="7"/>
      <c r="M525" s="7"/>
      <c r="N525" s="7"/>
      <c r="O525" s="7"/>
    </row>
    <row r="526" spans="1:17" ht="22.5" customHeight="1" x14ac:dyDescent="0.2">
      <c r="A526" s="1" t="s">
        <v>5</v>
      </c>
      <c r="B526" s="1" t="s">
        <v>6</v>
      </c>
      <c r="C526" s="1" t="s">
        <v>7</v>
      </c>
      <c r="D526" s="1" t="s">
        <v>8</v>
      </c>
      <c r="E526" s="1" t="s">
        <v>9</v>
      </c>
      <c r="F526" s="1" t="s">
        <v>10</v>
      </c>
      <c r="G526" s="1" t="s">
        <v>11</v>
      </c>
      <c r="H526" s="1" t="s">
        <v>12</v>
      </c>
      <c r="I526" s="1" t="s">
        <v>13</v>
      </c>
      <c r="J526" s="1" t="s">
        <v>14</v>
      </c>
      <c r="K526" s="1" t="s">
        <v>16</v>
      </c>
      <c r="L526" s="1" t="s">
        <v>17</v>
      </c>
      <c r="M526" s="1" t="s">
        <v>18</v>
      </c>
      <c r="N526" s="1" t="s">
        <v>19</v>
      </c>
      <c r="O526" s="108"/>
    </row>
    <row r="527" spans="1:17" ht="12.95" customHeight="1" x14ac:dyDescent="0.2">
      <c r="A527" s="2" t="s">
        <v>21</v>
      </c>
      <c r="B527" s="2" t="s">
        <v>22</v>
      </c>
      <c r="C527" s="2"/>
      <c r="D527" s="2"/>
      <c r="E527" s="3"/>
      <c r="F527" s="2"/>
      <c r="G527" s="2"/>
      <c r="H527" s="2" t="s">
        <v>46</v>
      </c>
      <c r="I527" s="12" t="s">
        <v>46</v>
      </c>
      <c r="J527" s="2"/>
      <c r="K527" s="2"/>
      <c r="L527" s="2"/>
      <c r="M527" s="2" t="s">
        <v>24</v>
      </c>
      <c r="N527" s="2" t="s">
        <v>25</v>
      </c>
      <c r="O527" s="2"/>
    </row>
    <row r="528" spans="1:17" ht="12.95" customHeight="1" x14ac:dyDescent="0.2">
      <c r="A528" s="2" t="s">
        <v>26</v>
      </c>
      <c r="B528" s="2" t="s">
        <v>27</v>
      </c>
      <c r="C528" s="2"/>
      <c r="D528" s="2"/>
      <c r="E528" s="3"/>
      <c r="F528" s="2"/>
      <c r="G528" s="2"/>
      <c r="H528" s="2"/>
      <c r="I528" s="13"/>
      <c r="J528" s="2"/>
      <c r="K528" s="2"/>
      <c r="L528" s="2"/>
      <c r="M528" s="2" t="s">
        <v>28</v>
      </c>
      <c r="N528" s="2" t="s">
        <v>29</v>
      </c>
      <c r="O528" s="2"/>
    </row>
    <row r="529" spans="1:15" ht="12.95" customHeight="1" x14ac:dyDescent="0.2">
      <c r="A529" s="4" t="s">
        <v>30</v>
      </c>
      <c r="B529" s="4" t="s">
        <v>31</v>
      </c>
      <c r="C529" s="4"/>
      <c r="D529" s="4"/>
      <c r="E529" s="3"/>
      <c r="F529" s="4"/>
      <c r="G529" s="4"/>
      <c r="H529" s="4"/>
      <c r="I529" s="35"/>
      <c r="J529" s="4"/>
      <c r="K529" s="4"/>
      <c r="L529" s="4"/>
      <c r="M529" s="4"/>
      <c r="N529" s="4"/>
      <c r="O529" s="4"/>
    </row>
    <row r="530" spans="1:15" ht="12.95" customHeight="1" x14ac:dyDescent="0.2">
      <c r="A530" s="4" t="s">
        <v>32</v>
      </c>
      <c r="B530" s="4" t="s">
        <v>31</v>
      </c>
      <c r="C530" s="4"/>
      <c r="D530" s="4"/>
      <c r="E530" s="3"/>
      <c r="F530" s="4"/>
      <c r="G530" s="4"/>
      <c r="H530" s="4"/>
      <c r="I530" s="35"/>
      <c r="J530" s="4"/>
      <c r="K530" s="4"/>
      <c r="L530" s="4"/>
      <c r="M530" s="4"/>
      <c r="N530" s="4"/>
      <c r="O530" s="4"/>
    </row>
    <row r="531" spans="1:15" x14ac:dyDescent="0.2">
      <c r="A531" s="4" t="s">
        <v>33</v>
      </c>
      <c r="B531" s="4" t="s">
        <v>34</v>
      </c>
      <c r="C531" s="4" t="s">
        <v>34</v>
      </c>
      <c r="D531" s="4" t="s">
        <v>34</v>
      </c>
      <c r="E531" s="4"/>
      <c r="F531" s="4"/>
      <c r="G531" s="4"/>
      <c r="H531" s="4" t="s">
        <v>46</v>
      </c>
      <c r="I531" s="35" t="s">
        <v>46</v>
      </c>
      <c r="J531" s="4"/>
      <c r="K531" s="4"/>
      <c r="L531" s="4"/>
      <c r="M531" s="4"/>
      <c r="N531" s="4"/>
      <c r="O531" s="4"/>
    </row>
    <row r="532" spans="1:15" ht="12.95" customHeight="1" x14ac:dyDescent="0.2">
      <c r="A532" s="2" t="s">
        <v>35</v>
      </c>
      <c r="B532" s="2" t="s">
        <v>36</v>
      </c>
      <c r="C532" s="2" t="s">
        <v>577</v>
      </c>
      <c r="D532" s="2" t="s">
        <v>578</v>
      </c>
      <c r="E532" s="3" t="s">
        <v>579</v>
      </c>
      <c r="F532" s="2"/>
      <c r="G532" s="2" t="s">
        <v>579</v>
      </c>
      <c r="H532" s="2"/>
      <c r="I532" s="13"/>
      <c r="J532" s="2" t="s">
        <v>579</v>
      </c>
      <c r="K532" s="2"/>
      <c r="L532" s="2"/>
      <c r="M532" s="2"/>
      <c r="N532" s="2"/>
      <c r="O532" s="2"/>
    </row>
    <row r="533" spans="1:15" ht="12.95" customHeight="1" x14ac:dyDescent="0.2">
      <c r="A533" s="2" t="s">
        <v>38</v>
      </c>
      <c r="B533" s="2" t="s">
        <v>36</v>
      </c>
      <c r="C533" s="2"/>
      <c r="D533" s="2"/>
      <c r="E533" s="3"/>
      <c r="F533" s="2"/>
      <c r="G533" s="2"/>
      <c r="H533" s="2"/>
      <c r="I533" s="13"/>
      <c r="J533" s="2"/>
      <c r="K533" s="2"/>
      <c r="L533" s="2"/>
      <c r="M533" s="2" t="s">
        <v>580</v>
      </c>
      <c r="N533" s="2"/>
      <c r="O533" s="2"/>
    </row>
    <row r="534" spans="1:15" ht="12.95" customHeight="1" x14ac:dyDescent="0.2">
      <c r="A534" s="2" t="s">
        <v>39</v>
      </c>
      <c r="B534" s="2" t="s">
        <v>22</v>
      </c>
      <c r="C534" s="2"/>
      <c r="D534" s="2"/>
      <c r="E534" s="3"/>
      <c r="F534" s="2"/>
      <c r="G534" s="2"/>
      <c r="H534" s="2" t="s">
        <v>46</v>
      </c>
      <c r="I534" s="12" t="s">
        <v>46</v>
      </c>
      <c r="J534" s="2"/>
      <c r="K534" s="2"/>
      <c r="L534" s="2"/>
      <c r="M534" s="2" t="s">
        <v>24</v>
      </c>
      <c r="N534" s="2" t="s">
        <v>25</v>
      </c>
      <c r="O534" s="2"/>
    </row>
    <row r="535" spans="1:15" ht="12.95" customHeight="1" x14ac:dyDescent="0.2">
      <c r="A535" s="2" t="s">
        <v>40</v>
      </c>
      <c r="B535" s="2" t="s">
        <v>27</v>
      </c>
      <c r="C535" s="2"/>
      <c r="D535" s="2"/>
      <c r="E535" s="3"/>
      <c r="F535" s="2"/>
      <c r="G535" s="2"/>
      <c r="H535" s="2"/>
      <c r="I535" s="13"/>
      <c r="J535" s="2"/>
      <c r="K535" s="2"/>
      <c r="L535" s="2"/>
      <c r="M535" s="2" t="s">
        <v>28</v>
      </c>
      <c r="N535" s="2" t="s">
        <v>25</v>
      </c>
      <c r="O535" s="2"/>
    </row>
    <row r="536" spans="1:15" ht="12.95" customHeight="1" x14ac:dyDescent="0.2">
      <c r="A536" s="2" t="s">
        <v>41</v>
      </c>
      <c r="B536" s="2" t="s">
        <v>42</v>
      </c>
      <c r="C536" s="2" t="s">
        <v>581</v>
      </c>
      <c r="D536" s="2" t="s">
        <v>582</v>
      </c>
      <c r="E536" s="3" t="s">
        <v>219</v>
      </c>
      <c r="F536" s="2" t="s">
        <v>46</v>
      </c>
      <c r="G536" s="2" t="s">
        <v>583</v>
      </c>
      <c r="H536" s="2" t="s">
        <v>201</v>
      </c>
      <c r="I536" s="13" t="s">
        <v>74</v>
      </c>
      <c r="J536" s="2" t="s">
        <v>583</v>
      </c>
      <c r="K536" s="2"/>
      <c r="L536" s="2" t="s">
        <v>584</v>
      </c>
      <c r="M536" s="2"/>
      <c r="N536" s="2"/>
      <c r="O536" s="2"/>
    </row>
    <row r="537" spans="1:15" ht="12.95" customHeight="1" x14ac:dyDescent="0.2">
      <c r="A537" s="4" t="s">
        <v>51</v>
      </c>
      <c r="B537" s="4" t="s">
        <v>31</v>
      </c>
      <c r="C537" s="4"/>
      <c r="D537" s="4"/>
      <c r="E537" s="3"/>
      <c r="F537" s="4"/>
      <c r="G537" s="4"/>
      <c r="H537" s="4"/>
      <c r="I537" s="35"/>
      <c r="J537" s="4"/>
      <c r="K537" s="4"/>
      <c r="L537" s="4"/>
      <c r="M537" s="4"/>
      <c r="N537" s="4"/>
      <c r="O537" s="4"/>
    </row>
    <row r="538" spans="1:15" ht="12.95" customHeight="1" x14ac:dyDescent="0.2">
      <c r="A538" s="4" t="s">
        <v>52</v>
      </c>
      <c r="B538" s="4" t="s">
        <v>31</v>
      </c>
      <c r="C538" s="4"/>
      <c r="D538" s="4"/>
      <c r="E538" s="3"/>
      <c r="F538" s="4"/>
      <c r="G538" s="4"/>
      <c r="H538" s="4"/>
      <c r="I538" s="35"/>
      <c r="J538" s="4"/>
      <c r="K538" s="4"/>
      <c r="L538" s="4"/>
      <c r="M538" s="4"/>
      <c r="N538" s="4"/>
      <c r="O538" s="4"/>
    </row>
    <row r="539" spans="1:15" x14ac:dyDescent="0.2">
      <c r="A539" s="4" t="s">
        <v>33</v>
      </c>
      <c r="B539" s="4" t="s">
        <v>34</v>
      </c>
      <c r="C539" s="4" t="s">
        <v>34</v>
      </c>
      <c r="D539" s="4" t="s">
        <v>34</v>
      </c>
      <c r="E539" s="4" t="s">
        <v>585</v>
      </c>
      <c r="F539" s="4" t="s">
        <v>46</v>
      </c>
      <c r="G539" s="4" t="s">
        <v>586</v>
      </c>
      <c r="H539" s="4" t="s">
        <v>303</v>
      </c>
      <c r="I539" s="35" t="s">
        <v>241</v>
      </c>
      <c r="J539" s="4" t="s">
        <v>586</v>
      </c>
      <c r="K539" s="4"/>
      <c r="L539" s="4" t="s">
        <v>584</v>
      </c>
      <c r="M539" s="4"/>
      <c r="N539" s="4"/>
      <c r="O539" s="4"/>
    </row>
    <row r="540" spans="1:15" ht="12.95" customHeight="1" x14ac:dyDescent="0.2">
      <c r="A540" s="2" t="s">
        <v>54</v>
      </c>
      <c r="B540" s="2" t="s">
        <v>42</v>
      </c>
      <c r="C540" s="2" t="s">
        <v>587</v>
      </c>
      <c r="D540" s="2" t="s">
        <v>588</v>
      </c>
      <c r="E540" s="3" t="s">
        <v>589</v>
      </c>
      <c r="F540" s="2"/>
      <c r="G540" s="2" t="s">
        <v>589</v>
      </c>
      <c r="H540" s="2" t="s">
        <v>201</v>
      </c>
      <c r="I540" s="13" t="s">
        <v>409</v>
      </c>
      <c r="J540" s="2" t="s">
        <v>589</v>
      </c>
      <c r="K540" s="2"/>
      <c r="L540" s="2" t="s">
        <v>172</v>
      </c>
      <c r="M540" s="2"/>
      <c r="N540" s="2"/>
      <c r="O540" s="2"/>
    </row>
    <row r="541" spans="1:15" ht="12.95" customHeight="1" x14ac:dyDescent="0.2">
      <c r="A541" s="2" t="s">
        <v>61</v>
      </c>
      <c r="B541" s="2" t="s">
        <v>42</v>
      </c>
      <c r="C541" s="2" t="s">
        <v>590</v>
      </c>
      <c r="D541" s="2" t="s">
        <v>591</v>
      </c>
      <c r="E541" s="3" t="s">
        <v>592</v>
      </c>
      <c r="F541" s="2" t="s">
        <v>46</v>
      </c>
      <c r="G541" s="2" t="s">
        <v>593</v>
      </c>
      <c r="H541" s="2" t="s">
        <v>201</v>
      </c>
      <c r="I541" s="13" t="s">
        <v>594</v>
      </c>
      <c r="J541" s="2" t="s">
        <v>593</v>
      </c>
      <c r="K541" s="2"/>
      <c r="L541" s="2" t="s">
        <v>594</v>
      </c>
      <c r="M541" s="2"/>
      <c r="N541" s="2"/>
      <c r="O541" s="2"/>
    </row>
    <row r="542" spans="1:15" ht="12.95" customHeight="1" x14ac:dyDescent="0.2">
      <c r="A542" s="2" t="s">
        <v>68</v>
      </c>
      <c r="B542" s="2" t="s">
        <v>42</v>
      </c>
      <c r="C542" s="2" t="s">
        <v>595</v>
      </c>
      <c r="D542" s="2" t="s">
        <v>596</v>
      </c>
      <c r="E542" s="3" t="s">
        <v>597</v>
      </c>
      <c r="F542" s="2"/>
      <c r="G542" s="2" t="s">
        <v>597</v>
      </c>
      <c r="H542" s="2" t="s">
        <v>201</v>
      </c>
      <c r="I542" s="13" t="s">
        <v>598</v>
      </c>
      <c r="J542" s="2" t="s">
        <v>597</v>
      </c>
      <c r="K542" s="2"/>
      <c r="L542" s="2" t="s">
        <v>425</v>
      </c>
      <c r="M542" s="2"/>
      <c r="N542" s="2"/>
      <c r="O542" s="2"/>
    </row>
    <row r="543" spans="1:15" ht="12.95" customHeight="1" x14ac:dyDescent="0.2">
      <c r="A543" s="2" t="s">
        <v>75</v>
      </c>
      <c r="B543" s="2" t="s">
        <v>42</v>
      </c>
      <c r="C543" s="2"/>
      <c r="D543" s="2"/>
      <c r="E543" s="3"/>
      <c r="F543" s="2"/>
      <c r="G543" s="2"/>
      <c r="H543" s="2"/>
      <c r="I543" s="13"/>
      <c r="J543" s="2"/>
      <c r="K543" s="2"/>
      <c r="L543" s="2"/>
      <c r="M543" s="2" t="s">
        <v>580</v>
      </c>
      <c r="N543" s="2"/>
      <c r="O543" s="2"/>
    </row>
    <row r="544" spans="1:15" ht="12.95" customHeight="1" x14ac:dyDescent="0.2">
      <c r="A544" s="2" t="s">
        <v>81</v>
      </c>
      <c r="B544" s="2" t="s">
        <v>42</v>
      </c>
      <c r="C544" s="2" t="s">
        <v>599</v>
      </c>
      <c r="D544" s="2" t="s">
        <v>600</v>
      </c>
      <c r="E544" s="3" t="s">
        <v>116</v>
      </c>
      <c r="F544" s="2" t="s">
        <v>46</v>
      </c>
      <c r="G544" s="2" t="s">
        <v>489</v>
      </c>
      <c r="H544" s="2" t="s">
        <v>201</v>
      </c>
      <c r="I544" s="13" t="s">
        <v>320</v>
      </c>
      <c r="J544" s="2" t="s">
        <v>489</v>
      </c>
      <c r="K544" s="2"/>
      <c r="L544" s="2" t="s">
        <v>142</v>
      </c>
      <c r="M544" s="2"/>
      <c r="N544" s="2"/>
      <c r="O544" s="2"/>
    </row>
    <row r="545" spans="1:15" ht="12.95" customHeight="1" x14ac:dyDescent="0.2">
      <c r="A545" s="4" t="s">
        <v>87</v>
      </c>
      <c r="B545" s="4" t="s">
        <v>31</v>
      </c>
      <c r="C545" s="4"/>
      <c r="D545" s="4"/>
      <c r="E545" s="3"/>
      <c r="F545" s="4"/>
      <c r="G545" s="4"/>
      <c r="H545" s="4"/>
      <c r="I545" s="35"/>
      <c r="J545" s="4"/>
      <c r="K545" s="4"/>
      <c r="L545" s="4"/>
      <c r="M545" s="4"/>
      <c r="N545" s="4"/>
      <c r="O545" s="4"/>
    </row>
    <row r="546" spans="1:15" ht="12.95" customHeight="1" x14ac:dyDescent="0.2">
      <c r="A546" s="4" t="s">
        <v>88</v>
      </c>
      <c r="B546" s="4" t="s">
        <v>31</v>
      </c>
      <c r="C546" s="4"/>
      <c r="D546" s="4"/>
      <c r="E546" s="3"/>
      <c r="F546" s="4"/>
      <c r="G546" s="4"/>
      <c r="H546" s="4"/>
      <c r="I546" s="35"/>
      <c r="J546" s="4"/>
      <c r="K546" s="4"/>
      <c r="L546" s="4"/>
      <c r="M546" s="4"/>
      <c r="N546" s="4"/>
      <c r="O546" s="4"/>
    </row>
    <row r="547" spans="1:15" x14ac:dyDescent="0.2">
      <c r="A547" s="4" t="s">
        <v>33</v>
      </c>
      <c r="B547" s="4" t="s">
        <v>34</v>
      </c>
      <c r="C547" s="4" t="s">
        <v>34</v>
      </c>
      <c r="D547" s="4" t="s">
        <v>34</v>
      </c>
      <c r="E547" s="4" t="s">
        <v>601</v>
      </c>
      <c r="F547" s="4" t="s">
        <v>95</v>
      </c>
      <c r="G547" s="4" t="s">
        <v>602</v>
      </c>
      <c r="H547" s="4" t="s">
        <v>217</v>
      </c>
      <c r="I547" s="35" t="s">
        <v>220</v>
      </c>
      <c r="J547" s="4" t="s">
        <v>602</v>
      </c>
      <c r="K547" s="4"/>
      <c r="L547" s="4" t="s">
        <v>603</v>
      </c>
      <c r="M547" s="4"/>
      <c r="N547" s="4"/>
      <c r="O547" s="4"/>
    </row>
    <row r="548" spans="1:15" ht="12.95" customHeight="1" x14ac:dyDescent="0.2">
      <c r="A548" s="2" t="s">
        <v>97</v>
      </c>
      <c r="B548" s="2" t="s">
        <v>42</v>
      </c>
      <c r="C548" s="2" t="s">
        <v>604</v>
      </c>
      <c r="D548" s="2" t="s">
        <v>605</v>
      </c>
      <c r="E548" s="3" t="s">
        <v>246</v>
      </c>
      <c r="F548" s="2" t="s">
        <v>46</v>
      </c>
      <c r="G548" s="2" t="s">
        <v>606</v>
      </c>
      <c r="H548" s="2" t="s">
        <v>201</v>
      </c>
      <c r="I548" s="13" t="s">
        <v>172</v>
      </c>
      <c r="J548" s="2" t="s">
        <v>606</v>
      </c>
      <c r="K548" s="2"/>
      <c r="L548" s="2" t="s">
        <v>607</v>
      </c>
      <c r="M548" s="2"/>
      <c r="N548" s="2"/>
      <c r="O548" s="2"/>
    </row>
    <row r="549" spans="1:15" ht="12.95" customHeight="1" x14ac:dyDescent="0.2">
      <c r="A549" s="2" t="s">
        <v>104</v>
      </c>
      <c r="B549" s="2" t="s">
        <v>42</v>
      </c>
      <c r="C549" s="2" t="s">
        <v>608</v>
      </c>
      <c r="D549" s="2" t="s">
        <v>609</v>
      </c>
      <c r="E549" s="3" t="s">
        <v>557</v>
      </c>
      <c r="F549" s="2"/>
      <c r="G549" s="2" t="s">
        <v>557</v>
      </c>
      <c r="H549" s="2" t="s">
        <v>125</v>
      </c>
      <c r="I549" s="13"/>
      <c r="J549" s="2" t="s">
        <v>557</v>
      </c>
      <c r="K549" s="2" t="s">
        <v>610</v>
      </c>
      <c r="L549" s="2" t="s">
        <v>611</v>
      </c>
      <c r="M549" s="2"/>
      <c r="N549" s="2"/>
      <c r="O549" s="2"/>
    </row>
    <row r="550" spans="1:15" ht="12.95" customHeight="1" x14ac:dyDescent="0.2">
      <c r="A550" s="2" t="s">
        <v>112</v>
      </c>
      <c r="B550" s="2" t="s">
        <v>22</v>
      </c>
      <c r="C550" s="2"/>
      <c r="D550" s="2"/>
      <c r="E550" s="3"/>
      <c r="F550" s="2"/>
      <c r="G550" s="2"/>
      <c r="H550" s="2" t="s">
        <v>227</v>
      </c>
      <c r="I550" s="13" t="s">
        <v>227</v>
      </c>
      <c r="J550" s="2"/>
      <c r="K550" s="2"/>
      <c r="L550" s="2"/>
      <c r="M550" s="2" t="s">
        <v>24</v>
      </c>
      <c r="N550" s="2" t="s">
        <v>111</v>
      </c>
      <c r="O550" s="2"/>
    </row>
    <row r="551" spans="1:15" ht="12.95" customHeight="1" x14ac:dyDescent="0.2">
      <c r="A551" s="2" t="s">
        <v>114</v>
      </c>
      <c r="B551" s="2" t="s">
        <v>27</v>
      </c>
      <c r="C551" s="2"/>
      <c r="D551" s="2"/>
      <c r="E551" s="3"/>
      <c r="F551" s="2"/>
      <c r="G551" s="2"/>
      <c r="H551" s="2"/>
      <c r="I551" s="13"/>
      <c r="J551" s="2"/>
      <c r="K551" s="2"/>
      <c r="L551" s="2"/>
      <c r="M551" s="2" t="s">
        <v>28</v>
      </c>
      <c r="N551" s="2" t="s">
        <v>111</v>
      </c>
      <c r="O551" s="2"/>
    </row>
    <row r="552" spans="1:15" ht="12.95" customHeight="1" x14ac:dyDescent="0.2">
      <c r="A552" s="2" t="s">
        <v>115</v>
      </c>
      <c r="B552" s="2" t="s">
        <v>42</v>
      </c>
      <c r="C552" s="2" t="s">
        <v>612</v>
      </c>
      <c r="D552" s="2" t="s">
        <v>613</v>
      </c>
      <c r="E552" s="3" t="s">
        <v>341</v>
      </c>
      <c r="F552" s="2" t="s">
        <v>46</v>
      </c>
      <c r="G552" s="2" t="s">
        <v>226</v>
      </c>
      <c r="H552" s="2" t="s">
        <v>201</v>
      </c>
      <c r="I552" s="13" t="s">
        <v>517</v>
      </c>
      <c r="J552" s="2" t="s">
        <v>226</v>
      </c>
      <c r="K552" s="2"/>
      <c r="L552" s="2" t="s">
        <v>147</v>
      </c>
      <c r="M552" s="2"/>
      <c r="N552" s="2"/>
      <c r="O552" s="2"/>
    </row>
    <row r="553" spans="1:15" ht="12.95" customHeight="1" x14ac:dyDescent="0.2">
      <c r="A553" s="4" t="s">
        <v>122</v>
      </c>
      <c r="B553" s="4" t="s">
        <v>31</v>
      </c>
      <c r="C553" s="4"/>
      <c r="D553" s="4"/>
      <c r="E553" s="3"/>
      <c r="F553" s="4"/>
      <c r="G553" s="4"/>
      <c r="H553" s="4"/>
      <c r="I553" s="35"/>
      <c r="J553" s="4"/>
      <c r="K553" s="4"/>
      <c r="L553" s="4"/>
      <c r="M553" s="4"/>
      <c r="N553" s="4"/>
      <c r="O553" s="4"/>
    </row>
    <row r="554" spans="1:15" ht="12.95" customHeight="1" x14ac:dyDescent="0.2">
      <c r="A554" s="4" t="s">
        <v>123</v>
      </c>
      <c r="B554" s="4" t="s">
        <v>31</v>
      </c>
      <c r="C554" s="4"/>
      <c r="D554" s="4"/>
      <c r="E554" s="3"/>
      <c r="F554" s="4"/>
      <c r="G554" s="4"/>
      <c r="H554" s="4"/>
      <c r="I554" s="35"/>
      <c r="J554" s="4"/>
      <c r="K554" s="4"/>
      <c r="L554" s="4"/>
      <c r="M554" s="4"/>
      <c r="N554" s="4"/>
      <c r="O554" s="4"/>
    </row>
    <row r="555" spans="1:15" x14ac:dyDescent="0.2">
      <c r="A555" s="4" t="s">
        <v>33</v>
      </c>
      <c r="B555" s="4" t="s">
        <v>34</v>
      </c>
      <c r="C555" s="4" t="s">
        <v>34</v>
      </c>
      <c r="D555" s="4" t="s">
        <v>34</v>
      </c>
      <c r="E555" s="4" t="s">
        <v>614</v>
      </c>
      <c r="F555" s="4" t="s">
        <v>95</v>
      </c>
      <c r="G555" s="4" t="s">
        <v>615</v>
      </c>
      <c r="H555" s="4" t="s">
        <v>230</v>
      </c>
      <c r="I555" s="35" t="s">
        <v>616</v>
      </c>
      <c r="J555" s="4" t="s">
        <v>615</v>
      </c>
      <c r="K555" s="4" t="s">
        <v>610</v>
      </c>
      <c r="L555" s="4" t="s">
        <v>511</v>
      </c>
      <c r="M555" s="4"/>
      <c r="N555" s="4"/>
      <c r="O555" s="4"/>
    </row>
    <row r="556" spans="1:15" ht="12.95" customHeight="1" x14ac:dyDescent="0.2">
      <c r="A556" s="2" t="s">
        <v>131</v>
      </c>
      <c r="B556" s="2" t="s">
        <v>42</v>
      </c>
      <c r="C556" s="2" t="s">
        <v>617</v>
      </c>
      <c r="D556" s="2" t="s">
        <v>618</v>
      </c>
      <c r="E556" s="3" t="s">
        <v>141</v>
      </c>
      <c r="F556" s="2" t="s">
        <v>46</v>
      </c>
      <c r="G556" s="2" t="s">
        <v>619</v>
      </c>
      <c r="H556" s="2" t="s">
        <v>201</v>
      </c>
      <c r="I556" s="13" t="s">
        <v>102</v>
      </c>
      <c r="J556" s="2" t="s">
        <v>619</v>
      </c>
      <c r="K556" s="2"/>
      <c r="L556" s="2" t="s">
        <v>302</v>
      </c>
      <c r="M556" s="2"/>
      <c r="N556" s="2"/>
      <c r="O556" s="2"/>
    </row>
    <row r="557" spans="1:15" ht="12.95" customHeight="1" x14ac:dyDescent="0.2">
      <c r="A557" s="2" t="s">
        <v>138</v>
      </c>
      <c r="B557" s="2" t="s">
        <v>42</v>
      </c>
      <c r="C557" s="2" t="s">
        <v>581</v>
      </c>
      <c r="D557" s="2" t="s">
        <v>620</v>
      </c>
      <c r="E557" s="3" t="s">
        <v>106</v>
      </c>
      <c r="F557" s="2" t="s">
        <v>46</v>
      </c>
      <c r="G557" s="2" t="s">
        <v>107</v>
      </c>
      <c r="H557" s="2" t="s">
        <v>201</v>
      </c>
      <c r="I557" s="13" t="s">
        <v>319</v>
      </c>
      <c r="J557" s="2" t="s">
        <v>107</v>
      </c>
      <c r="K557" s="2"/>
      <c r="L557" s="2" t="s">
        <v>584</v>
      </c>
      <c r="M557" s="2"/>
      <c r="N557" s="2"/>
      <c r="O557" s="2"/>
    </row>
    <row r="558" spans="1:15" ht="12.95" customHeight="1" x14ac:dyDescent="0.2">
      <c r="A558" s="2" t="s">
        <v>143</v>
      </c>
      <c r="B558" s="2" t="s">
        <v>42</v>
      </c>
      <c r="C558" s="2" t="s">
        <v>621</v>
      </c>
      <c r="D558" s="2" t="s">
        <v>622</v>
      </c>
      <c r="E558" s="3" t="s">
        <v>623</v>
      </c>
      <c r="F558" s="2" t="s">
        <v>46</v>
      </c>
      <c r="G558" s="2" t="s">
        <v>541</v>
      </c>
      <c r="H558" s="2" t="s">
        <v>201</v>
      </c>
      <c r="I558" s="13" t="s">
        <v>624</v>
      </c>
      <c r="J558" s="2" t="s">
        <v>541</v>
      </c>
      <c r="K558" s="2"/>
      <c r="L558" s="2" t="s">
        <v>625</v>
      </c>
      <c r="M558" s="2"/>
      <c r="N558" s="2"/>
      <c r="O558" s="2"/>
    </row>
    <row r="559" spans="1:15" ht="12.95" customHeight="1" x14ac:dyDescent="0.2">
      <c r="A559" s="2" t="s">
        <v>148</v>
      </c>
      <c r="B559" s="2" t="s">
        <v>42</v>
      </c>
      <c r="C559" s="2"/>
      <c r="D559" s="2"/>
      <c r="E559" s="3"/>
      <c r="F559" s="2"/>
      <c r="G559" s="2"/>
      <c r="H559" s="2" t="s">
        <v>201</v>
      </c>
      <c r="I559" s="12" t="s">
        <v>201</v>
      </c>
      <c r="J559" s="2"/>
      <c r="K559" s="2"/>
      <c r="L559" s="2"/>
      <c r="M559" s="2"/>
      <c r="N559" s="2"/>
      <c r="O559" s="2"/>
    </row>
    <row r="560" spans="1:15" ht="12.95" customHeight="1" x14ac:dyDescent="0.2">
      <c r="A560" s="2" t="s">
        <v>155</v>
      </c>
      <c r="B560" s="2" t="s">
        <v>42</v>
      </c>
      <c r="C560" s="2" t="s">
        <v>626</v>
      </c>
      <c r="D560" s="2"/>
      <c r="E560" s="3"/>
      <c r="F560" s="2"/>
      <c r="G560" s="2"/>
      <c r="H560" s="2" t="s">
        <v>201</v>
      </c>
      <c r="I560" s="13" t="s">
        <v>201</v>
      </c>
      <c r="J560" s="2"/>
      <c r="K560" s="2"/>
      <c r="L560" s="2" t="s">
        <v>574</v>
      </c>
      <c r="M560" s="2"/>
      <c r="N560" s="2"/>
      <c r="O560" s="2"/>
    </row>
    <row r="561" spans="1:17" ht="12.95" customHeight="1" x14ac:dyDescent="0.2">
      <c r="A561" s="8" t="s">
        <v>161</v>
      </c>
      <c r="B561" s="8"/>
      <c r="C561" s="8"/>
      <c r="D561" s="8"/>
      <c r="E561" s="5" t="s">
        <v>627</v>
      </c>
      <c r="F561" s="5" t="s">
        <v>256</v>
      </c>
      <c r="G561" s="5" t="s">
        <v>628</v>
      </c>
      <c r="H561" s="5" t="s">
        <v>441</v>
      </c>
      <c r="I561" s="36" t="s">
        <v>629</v>
      </c>
      <c r="J561" s="5" t="s">
        <v>628</v>
      </c>
      <c r="K561" s="5" t="s">
        <v>610</v>
      </c>
      <c r="L561" s="5" t="s">
        <v>630</v>
      </c>
      <c r="M561" s="5"/>
      <c r="N561" s="5"/>
      <c r="O561" s="5"/>
    </row>
    <row r="562" spans="1:17" ht="12.95" customHeight="1" x14ac:dyDescent="0.2">
      <c r="A562" s="8" t="s">
        <v>171</v>
      </c>
      <c r="B562" s="8"/>
      <c r="C562" s="8"/>
      <c r="D562" s="8"/>
      <c r="E562" s="5" t="s">
        <v>627</v>
      </c>
      <c r="F562" s="5" t="s">
        <v>256</v>
      </c>
      <c r="G562" s="5" t="s">
        <v>628</v>
      </c>
      <c r="H562" s="5" t="s">
        <v>441</v>
      </c>
      <c r="I562" s="36" t="s">
        <v>631</v>
      </c>
      <c r="J562" s="5" t="s">
        <v>628</v>
      </c>
      <c r="K562" s="5" t="s">
        <v>610</v>
      </c>
      <c r="L562" s="5" t="s">
        <v>630</v>
      </c>
      <c r="M562" s="5"/>
      <c r="N562" s="5"/>
      <c r="O562" s="5"/>
    </row>
    <row r="563" spans="1:17" ht="12.95" customHeight="1" x14ac:dyDescent="0.2">
      <c r="A563" s="8" t="s">
        <v>173</v>
      </c>
      <c r="B563" s="8"/>
      <c r="C563" s="8"/>
      <c r="D563" s="8"/>
      <c r="E563" s="5">
        <v>80.98</v>
      </c>
      <c r="F563" s="5">
        <v>4</v>
      </c>
      <c r="G563" s="5">
        <v>76.98</v>
      </c>
      <c r="H563" s="5">
        <v>112</v>
      </c>
      <c r="I563" s="36">
        <v>35.01</v>
      </c>
      <c r="J563" s="5">
        <v>76.98</v>
      </c>
      <c r="K563" s="5">
        <v>2.0099999999999998</v>
      </c>
      <c r="L563" s="5">
        <v>20.81</v>
      </c>
      <c r="M563" s="5"/>
      <c r="N563" s="5"/>
      <c r="O563" s="5"/>
    </row>
    <row r="564" spans="1:17" x14ac:dyDescent="0.2">
      <c r="I564" s="37"/>
    </row>
    <row r="565" spans="1:17" ht="12.95" customHeight="1" x14ac:dyDescent="0.2">
      <c r="A565" s="9" t="s">
        <v>174</v>
      </c>
      <c r="B565" s="9"/>
      <c r="C565" s="9"/>
      <c r="E565" s="9" t="s">
        <v>180</v>
      </c>
      <c r="F565" s="9"/>
      <c r="G565" s="9"/>
      <c r="I565" s="9" t="s">
        <v>181</v>
      </c>
      <c r="J565" s="9"/>
      <c r="K565" s="9"/>
    </row>
    <row r="566" spans="1:17" ht="12.95" customHeight="1" x14ac:dyDescent="0.2">
      <c r="A566" s="10" t="s">
        <v>175</v>
      </c>
      <c r="B566" s="10"/>
      <c r="C566" s="6">
        <v>12</v>
      </c>
      <c r="E566" s="10" t="s">
        <v>14</v>
      </c>
      <c r="F566" s="10"/>
      <c r="G566" s="6">
        <v>76.98</v>
      </c>
      <c r="I566" s="10" t="s">
        <v>632</v>
      </c>
      <c r="J566" s="10"/>
      <c r="K566" s="6" cm="1">
        <f t="array" ref="K566">SUMPRODUCT(--ISNUMBER(SEARCH("היעדרות",M527:M564)))</f>
        <v>2</v>
      </c>
    </row>
    <row r="567" spans="1:17" ht="12.95" customHeight="1" x14ac:dyDescent="0.2">
      <c r="A567" s="10" t="s">
        <v>1531</v>
      </c>
      <c r="B567" s="10"/>
      <c r="C567" s="131">
        <v>20</v>
      </c>
      <c r="I567" s="10" t="s">
        <v>27</v>
      </c>
      <c r="J567" s="10"/>
      <c r="K567" s="26">
        <v>3</v>
      </c>
    </row>
    <row r="568" spans="1:17" ht="12.95" customHeight="1" x14ac:dyDescent="0.2">
      <c r="A568" s="10" t="s">
        <v>176</v>
      </c>
      <c r="B568" s="10"/>
      <c r="C568" s="6">
        <v>80.98</v>
      </c>
      <c r="I568" s="10" t="s">
        <v>22</v>
      </c>
      <c r="J568" s="10"/>
      <c r="K568" s="26">
        <v>3</v>
      </c>
    </row>
    <row r="569" spans="1:17" ht="12.95" customHeight="1" x14ac:dyDescent="0.2">
      <c r="A569" s="10" t="s">
        <v>177</v>
      </c>
      <c r="B569" s="10"/>
      <c r="C569" s="6">
        <v>112</v>
      </c>
      <c r="I569" s="10" t="s">
        <v>36</v>
      </c>
      <c r="J569" s="10"/>
      <c r="K569" s="26">
        <v>2</v>
      </c>
    </row>
    <row r="570" spans="1:17" ht="12.95" customHeight="1" x14ac:dyDescent="0.2">
      <c r="A570" s="10" t="s">
        <v>11</v>
      </c>
      <c r="B570" s="10"/>
      <c r="C570" s="6">
        <v>76.98</v>
      </c>
      <c r="I570" s="39" t="s">
        <v>1591</v>
      </c>
      <c r="J570" s="19"/>
      <c r="K570" s="20">
        <v>1.5</v>
      </c>
    </row>
    <row r="571" spans="1:17" ht="12.95" customHeight="1" x14ac:dyDescent="0.2">
      <c r="A571" s="10" t="s">
        <v>178</v>
      </c>
      <c r="B571" s="10"/>
      <c r="C571" s="30">
        <v>41.85</v>
      </c>
      <c r="I571" s="39" t="s">
        <v>1592</v>
      </c>
      <c r="J571" s="19"/>
      <c r="K571" s="38">
        <v>0</v>
      </c>
    </row>
    <row r="572" spans="1:17" ht="12.95" customHeight="1" x14ac:dyDescent="0.25">
      <c r="A572" s="28" t="s">
        <v>1571</v>
      </c>
      <c r="B572" s="27"/>
      <c r="C572" s="31">
        <v>-1</v>
      </c>
      <c r="I572" s="41" t="s">
        <v>1593</v>
      </c>
      <c r="J572" s="40"/>
      <c r="K572" s="42">
        <f>K570+K571</f>
        <v>1.5</v>
      </c>
      <c r="L572" s="142"/>
      <c r="M572" s="142"/>
      <c r="N572" s="142"/>
      <c r="O572" s="142"/>
      <c r="P572" s="142"/>
      <c r="Q572" s="142"/>
    </row>
    <row r="573" spans="1:17" ht="12.95" customHeight="1" x14ac:dyDescent="0.2">
      <c r="A573" s="29" t="s">
        <v>1572</v>
      </c>
      <c r="B573" s="29"/>
      <c r="C573" s="32">
        <f>C571+C572</f>
        <v>40.85</v>
      </c>
      <c r="E573" s="143" t="s">
        <v>1760</v>
      </c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</row>
    <row r="574" spans="1:17" x14ac:dyDescent="0.2">
      <c r="A574" s="10" t="s">
        <v>10</v>
      </c>
      <c r="B574" s="10"/>
      <c r="C574" s="6">
        <v>4</v>
      </c>
    </row>
    <row r="575" spans="1:17" x14ac:dyDescent="0.2">
      <c r="A575" t="s">
        <v>1615</v>
      </c>
      <c r="C575" cm="1">
        <f t="array" ref="C575">IFERROR(SUMPRODUCT((ISNUMBER(SEARCH("מילואים",M527:M564))+ISNUMBER(SEARCH("מילואים",N527:N564))&gt;0)*(C527:C564&lt;&gt;"")*(J527:J564+0))*24,0)</f>
        <v>0</v>
      </c>
    </row>
    <row r="576" spans="1:17" ht="12.95" customHeight="1" x14ac:dyDescent="0.2">
      <c r="A576" s="7" t="s">
        <v>633</v>
      </c>
      <c r="B576" s="7"/>
      <c r="C576" s="7"/>
      <c r="D576" s="7" t="s">
        <v>1</v>
      </c>
      <c r="E576" s="7"/>
      <c r="F576" s="7"/>
      <c r="G576" s="7"/>
      <c r="H576" s="7" t="s">
        <v>2</v>
      </c>
      <c r="I576" s="7"/>
      <c r="J576" s="7"/>
      <c r="K576" s="7"/>
      <c r="L576" s="7"/>
      <c r="M576" s="7"/>
      <c r="N576" s="7"/>
      <c r="O576" s="7"/>
      <c r="P576" s="7"/>
    </row>
    <row r="577" spans="1:16" ht="12.95" customHeight="1" x14ac:dyDescent="0.2">
      <c r="A577" s="7" t="s">
        <v>3</v>
      </c>
      <c r="B577" s="7"/>
      <c r="C577" s="7"/>
      <c r="D577" s="7"/>
      <c r="E577" s="7"/>
      <c r="F577" s="7">
        <v>112</v>
      </c>
      <c r="G577" s="7"/>
      <c r="H577" s="7" t="s">
        <v>183</v>
      </c>
      <c r="I577" s="7"/>
      <c r="J577" s="7"/>
      <c r="K577" s="7"/>
      <c r="L577" s="7"/>
      <c r="M577" s="7"/>
      <c r="N577" s="7"/>
      <c r="O577" s="7"/>
      <c r="P577" s="7"/>
    </row>
    <row r="578" spans="1:16" ht="22.5" customHeight="1" x14ac:dyDescent="0.2">
      <c r="A578" s="1" t="s">
        <v>5</v>
      </c>
      <c r="B578" s="1" t="s">
        <v>6</v>
      </c>
      <c r="C578" s="1" t="s">
        <v>7</v>
      </c>
      <c r="D578" s="1" t="s">
        <v>8</v>
      </c>
      <c r="E578" s="1" t="s">
        <v>9</v>
      </c>
      <c r="F578" s="1" t="s">
        <v>10</v>
      </c>
      <c r="G578" s="1" t="s">
        <v>11</v>
      </c>
      <c r="H578" s="1" t="s">
        <v>12</v>
      </c>
      <c r="I578" s="1" t="s">
        <v>13</v>
      </c>
      <c r="J578" s="1" t="s">
        <v>14</v>
      </c>
      <c r="K578" s="1" t="s">
        <v>15</v>
      </c>
      <c r="L578" s="1" t="s">
        <v>16</v>
      </c>
      <c r="M578" s="1" t="s">
        <v>17</v>
      </c>
      <c r="N578" s="1" t="s">
        <v>18</v>
      </c>
      <c r="O578" s="1" t="s">
        <v>19</v>
      </c>
      <c r="P578" s="1" t="s">
        <v>20</v>
      </c>
    </row>
    <row r="579" spans="1:16" ht="12.95" customHeight="1" x14ac:dyDescent="0.2">
      <c r="A579" s="2" t="s">
        <v>21</v>
      </c>
      <c r="B579" s="2" t="s">
        <v>22</v>
      </c>
      <c r="C579" s="2"/>
      <c r="D579" s="2"/>
      <c r="E579" s="3"/>
      <c r="F579" s="2"/>
      <c r="G579" s="2"/>
      <c r="H579" s="2" t="s">
        <v>46</v>
      </c>
      <c r="I579" s="12" t="s">
        <v>46</v>
      </c>
      <c r="J579" s="2"/>
      <c r="K579" s="2"/>
      <c r="L579" s="2"/>
      <c r="M579" s="2"/>
      <c r="N579" s="2" t="s">
        <v>24</v>
      </c>
      <c r="O579" s="2" t="s">
        <v>25</v>
      </c>
      <c r="P579" s="2"/>
    </row>
    <row r="580" spans="1:16" ht="12.95" customHeight="1" x14ac:dyDescent="0.2">
      <c r="A580" s="2" t="s">
        <v>26</v>
      </c>
      <c r="B580" s="2" t="s">
        <v>27</v>
      </c>
      <c r="C580" s="2"/>
      <c r="D580" s="2"/>
      <c r="E580" s="3"/>
      <c r="F580" s="2"/>
      <c r="G580" s="2"/>
      <c r="H580" s="2"/>
      <c r="I580" s="13"/>
      <c r="J580" s="2"/>
      <c r="K580" s="2"/>
      <c r="L580" s="2"/>
      <c r="M580" s="2"/>
      <c r="N580" s="2" t="s">
        <v>28</v>
      </c>
      <c r="O580" s="2" t="s">
        <v>29</v>
      </c>
      <c r="P580" s="2"/>
    </row>
    <row r="581" spans="1:16" ht="12.95" customHeight="1" x14ac:dyDescent="0.2">
      <c r="A581" s="4" t="s">
        <v>30</v>
      </c>
      <c r="B581" s="4" t="s">
        <v>31</v>
      </c>
      <c r="C581" s="4"/>
      <c r="D581" s="4"/>
      <c r="E581" s="3"/>
      <c r="F581" s="4"/>
      <c r="G581" s="4"/>
      <c r="H581" s="4"/>
      <c r="I581" s="35"/>
      <c r="J581" s="4"/>
      <c r="K581" s="4"/>
      <c r="L581" s="4"/>
      <c r="M581" s="4"/>
      <c r="N581" s="4"/>
      <c r="O581" s="4"/>
      <c r="P581" s="4"/>
    </row>
    <row r="582" spans="1:16" ht="12.95" customHeight="1" x14ac:dyDescent="0.2">
      <c r="A582" s="4" t="s">
        <v>32</v>
      </c>
      <c r="B582" s="4" t="s">
        <v>31</v>
      </c>
      <c r="C582" s="4"/>
      <c r="D582" s="4"/>
      <c r="E582" s="3"/>
      <c r="F582" s="4"/>
      <c r="G582" s="4"/>
      <c r="H582" s="4"/>
      <c r="I582" s="35"/>
      <c r="J582" s="4"/>
      <c r="K582" s="4"/>
      <c r="L582" s="4"/>
      <c r="M582" s="4"/>
      <c r="N582" s="4"/>
      <c r="O582" s="4"/>
      <c r="P582" s="4"/>
    </row>
    <row r="583" spans="1:16" x14ac:dyDescent="0.2">
      <c r="A583" s="4" t="s">
        <v>33</v>
      </c>
      <c r="B583" s="4" t="s">
        <v>34</v>
      </c>
      <c r="C583" s="4" t="s">
        <v>34</v>
      </c>
      <c r="D583" s="4" t="s">
        <v>34</v>
      </c>
      <c r="E583" s="4"/>
      <c r="F583" s="4"/>
      <c r="G583" s="4"/>
      <c r="H583" s="4" t="s">
        <v>46</v>
      </c>
      <c r="I583" s="35" t="s">
        <v>46</v>
      </c>
      <c r="J583" s="4"/>
      <c r="K583" s="4"/>
      <c r="L583" s="4"/>
      <c r="M583" s="4"/>
      <c r="N583" s="4"/>
      <c r="O583" s="4"/>
      <c r="P583" s="4"/>
    </row>
    <row r="584" spans="1:16" ht="12.95" customHeight="1" x14ac:dyDescent="0.2">
      <c r="A584" s="2" t="s">
        <v>35</v>
      </c>
      <c r="B584" s="2" t="s">
        <v>36</v>
      </c>
      <c r="C584" s="2" t="s">
        <v>219</v>
      </c>
      <c r="D584" s="2" t="s">
        <v>150</v>
      </c>
      <c r="E584" s="3" t="s">
        <v>208</v>
      </c>
      <c r="F584" s="2"/>
      <c r="G584" s="2" t="s">
        <v>208</v>
      </c>
      <c r="H584" s="2"/>
      <c r="I584" s="13"/>
      <c r="J584" s="2" t="s">
        <v>48</v>
      </c>
      <c r="K584" s="2" t="s">
        <v>634</v>
      </c>
      <c r="L584" s="2"/>
      <c r="M584" s="2"/>
      <c r="N584" s="2"/>
      <c r="O584" s="2"/>
      <c r="P584" s="2"/>
    </row>
    <row r="585" spans="1:16" ht="12.95" customHeight="1" x14ac:dyDescent="0.2">
      <c r="A585" s="2" t="s">
        <v>38</v>
      </c>
      <c r="B585" s="2" t="s">
        <v>36</v>
      </c>
      <c r="C585" s="2"/>
      <c r="D585" s="2"/>
      <c r="E585" s="3"/>
      <c r="F585" s="2"/>
      <c r="G585" s="2"/>
      <c r="H585" s="2"/>
      <c r="I585" s="13"/>
      <c r="J585" s="2"/>
      <c r="K585" s="2"/>
      <c r="L585" s="2"/>
      <c r="M585" s="2"/>
      <c r="N585" s="2" t="s">
        <v>194</v>
      </c>
      <c r="O585" s="2"/>
      <c r="P585" s="2"/>
    </row>
    <row r="586" spans="1:16" ht="12.95" customHeight="1" x14ac:dyDescent="0.2">
      <c r="A586" s="2" t="s">
        <v>39</v>
      </c>
      <c r="B586" s="2" t="s">
        <v>22</v>
      </c>
      <c r="C586" s="2"/>
      <c r="D586" s="2"/>
      <c r="E586" s="3"/>
      <c r="F586" s="2"/>
      <c r="G586" s="2"/>
      <c r="H586" s="2" t="s">
        <v>46</v>
      </c>
      <c r="I586" s="12" t="s">
        <v>46</v>
      </c>
      <c r="J586" s="2"/>
      <c r="K586" s="2"/>
      <c r="L586" s="2"/>
      <c r="M586" s="2"/>
      <c r="N586" s="2" t="s">
        <v>24</v>
      </c>
      <c r="O586" s="2" t="s">
        <v>25</v>
      </c>
      <c r="P586" s="2"/>
    </row>
    <row r="587" spans="1:16" ht="12.95" customHeight="1" x14ac:dyDescent="0.2">
      <c r="A587" s="2" t="s">
        <v>40</v>
      </c>
      <c r="B587" s="2" t="s">
        <v>27</v>
      </c>
      <c r="C587" s="2"/>
      <c r="D587" s="2"/>
      <c r="E587" s="3"/>
      <c r="F587" s="2"/>
      <c r="G587" s="2"/>
      <c r="H587" s="2"/>
      <c r="I587" s="13"/>
      <c r="J587" s="2"/>
      <c r="K587" s="2"/>
      <c r="L587" s="2"/>
      <c r="M587" s="2"/>
      <c r="N587" s="2" t="s">
        <v>28</v>
      </c>
      <c r="O587" s="2" t="s">
        <v>25</v>
      </c>
      <c r="P587" s="2"/>
    </row>
    <row r="588" spans="1:16" ht="12.95" customHeight="1" x14ac:dyDescent="0.2">
      <c r="A588" s="2" t="s">
        <v>41</v>
      </c>
      <c r="B588" s="2" t="s">
        <v>42</v>
      </c>
      <c r="C588" s="2" t="s">
        <v>116</v>
      </c>
      <c r="D588" s="2" t="s">
        <v>209</v>
      </c>
      <c r="E588" s="3" t="s">
        <v>635</v>
      </c>
      <c r="F588" s="2" t="s">
        <v>46</v>
      </c>
      <c r="G588" s="2" t="s">
        <v>169</v>
      </c>
      <c r="H588" s="2" t="s">
        <v>201</v>
      </c>
      <c r="I588" s="13"/>
      <c r="J588" s="2" t="s">
        <v>48</v>
      </c>
      <c r="K588" s="2" t="s">
        <v>636</v>
      </c>
      <c r="L588" s="2" t="s">
        <v>50</v>
      </c>
      <c r="M588" s="2" t="s">
        <v>121</v>
      </c>
      <c r="N588" s="2"/>
      <c r="O588" s="2"/>
      <c r="P588" s="2"/>
    </row>
    <row r="589" spans="1:16" ht="12.95" customHeight="1" x14ac:dyDescent="0.2">
      <c r="A589" s="4" t="s">
        <v>51</v>
      </c>
      <c r="B589" s="4" t="s">
        <v>31</v>
      </c>
      <c r="C589" s="4"/>
      <c r="D589" s="4"/>
      <c r="E589" s="3"/>
      <c r="F589" s="4"/>
      <c r="G589" s="4"/>
      <c r="H589" s="4"/>
      <c r="I589" s="35"/>
      <c r="J589" s="4"/>
      <c r="K589" s="4"/>
      <c r="L589" s="4"/>
      <c r="M589" s="4"/>
      <c r="N589" s="4"/>
      <c r="O589" s="4"/>
      <c r="P589" s="4"/>
    </row>
    <row r="590" spans="1:16" ht="12.95" customHeight="1" x14ac:dyDescent="0.2">
      <c r="A590" s="4" t="s">
        <v>52</v>
      </c>
      <c r="B590" s="4" t="s">
        <v>31</v>
      </c>
      <c r="C590" s="4"/>
      <c r="D590" s="4"/>
      <c r="E590" s="3"/>
      <c r="F590" s="4"/>
      <c r="G590" s="4"/>
      <c r="H590" s="4"/>
      <c r="I590" s="35"/>
      <c r="J590" s="4"/>
      <c r="K590" s="4"/>
      <c r="L590" s="4"/>
      <c r="M590" s="4"/>
      <c r="N590" s="4"/>
      <c r="O590" s="4"/>
      <c r="P590" s="4"/>
    </row>
    <row r="591" spans="1:16" x14ac:dyDescent="0.2">
      <c r="A591" s="4" t="s">
        <v>33</v>
      </c>
      <c r="B591" s="4" t="s">
        <v>34</v>
      </c>
      <c r="C591" s="4" t="s">
        <v>34</v>
      </c>
      <c r="D591" s="4" t="s">
        <v>34</v>
      </c>
      <c r="E591" s="4" t="s">
        <v>637</v>
      </c>
      <c r="F591" s="4" t="s">
        <v>46</v>
      </c>
      <c r="G591" s="4" t="s">
        <v>638</v>
      </c>
      <c r="H591" s="4" t="s">
        <v>303</v>
      </c>
      <c r="I591" s="35" t="s">
        <v>46</v>
      </c>
      <c r="J591" s="4" t="s">
        <v>63</v>
      </c>
      <c r="K591" s="4" t="s">
        <v>207</v>
      </c>
      <c r="L591" s="4" t="s">
        <v>50</v>
      </c>
      <c r="M591" s="4" t="s">
        <v>121</v>
      </c>
      <c r="N591" s="4"/>
      <c r="O591" s="4"/>
      <c r="P591" s="4"/>
    </row>
    <row r="592" spans="1:16" ht="12.95" customHeight="1" x14ac:dyDescent="0.2">
      <c r="A592" s="2" t="s">
        <v>54</v>
      </c>
      <c r="B592" s="2" t="s">
        <v>42</v>
      </c>
      <c r="C592" s="2"/>
      <c r="D592" s="2"/>
      <c r="E592" s="3"/>
      <c r="F592" s="2"/>
      <c r="G592" s="2"/>
      <c r="H592" s="2"/>
      <c r="I592" s="13"/>
      <c r="J592" s="2"/>
      <c r="K592" s="2"/>
      <c r="L592" s="2"/>
      <c r="M592" s="2"/>
      <c r="N592" s="2" t="s">
        <v>214</v>
      </c>
      <c r="O592" s="2"/>
      <c r="P592" s="2"/>
    </row>
    <row r="593" spans="1:16" ht="12.95" customHeight="1" x14ac:dyDescent="0.2">
      <c r="A593" s="2" t="s">
        <v>61</v>
      </c>
      <c r="B593" s="2" t="s">
        <v>42</v>
      </c>
      <c r="C593" s="2"/>
      <c r="D593" s="2"/>
      <c r="E593" s="3"/>
      <c r="F593" s="2"/>
      <c r="G593" s="2"/>
      <c r="H593" s="2"/>
      <c r="I593" s="13"/>
      <c r="J593" s="2"/>
      <c r="K593" s="2"/>
      <c r="L593" s="2"/>
      <c r="M593" s="2"/>
      <c r="N593" s="2" t="s">
        <v>214</v>
      </c>
      <c r="O593" s="2"/>
      <c r="P593" s="2"/>
    </row>
    <row r="594" spans="1:16" ht="12.95" customHeight="1" x14ac:dyDescent="0.2">
      <c r="A594" s="2" t="s">
        <v>68</v>
      </c>
      <c r="B594" s="2" t="s">
        <v>42</v>
      </c>
      <c r="C594" s="2"/>
      <c r="D594" s="2"/>
      <c r="E594" s="3"/>
      <c r="F594" s="2"/>
      <c r="G594" s="2"/>
      <c r="H594" s="2"/>
      <c r="I594" s="13"/>
      <c r="J594" s="2"/>
      <c r="K594" s="2"/>
      <c r="L594" s="2"/>
      <c r="M594" s="2"/>
      <c r="N594" s="2" t="s">
        <v>214</v>
      </c>
      <c r="O594" s="2"/>
      <c r="P594" s="2"/>
    </row>
    <row r="595" spans="1:16" ht="12.95" customHeight="1" x14ac:dyDescent="0.2">
      <c r="A595" s="2" t="s">
        <v>75</v>
      </c>
      <c r="B595" s="2" t="s">
        <v>42</v>
      </c>
      <c r="C595" s="2"/>
      <c r="D595" s="2"/>
      <c r="E595" s="3"/>
      <c r="F595" s="2"/>
      <c r="G595" s="2"/>
      <c r="H595" s="2"/>
      <c r="I595" s="13"/>
      <c r="J595" s="2"/>
      <c r="K595" s="2"/>
      <c r="L595" s="2"/>
      <c r="M595" s="2"/>
      <c r="N595" s="2" t="s">
        <v>214</v>
      </c>
      <c r="O595" s="2"/>
      <c r="P595" s="2"/>
    </row>
    <row r="596" spans="1:16" ht="12.95" customHeight="1" x14ac:dyDescent="0.2">
      <c r="A596" s="2" t="s">
        <v>81</v>
      </c>
      <c r="B596" s="2" t="s">
        <v>42</v>
      </c>
      <c r="C596" s="2"/>
      <c r="D596" s="2"/>
      <c r="E596" s="3"/>
      <c r="F596" s="2"/>
      <c r="G596" s="2"/>
      <c r="H596" s="2"/>
      <c r="I596" s="13"/>
      <c r="J596" s="2"/>
      <c r="K596" s="2"/>
      <c r="L596" s="2"/>
      <c r="M596" s="2"/>
      <c r="N596" s="2" t="s">
        <v>214</v>
      </c>
      <c r="O596" s="2"/>
      <c r="P596" s="2"/>
    </row>
    <row r="597" spans="1:16" ht="12.95" customHeight="1" x14ac:dyDescent="0.2">
      <c r="A597" s="4" t="s">
        <v>87</v>
      </c>
      <c r="B597" s="4" t="s">
        <v>31</v>
      </c>
      <c r="C597" s="4"/>
      <c r="D597" s="4"/>
      <c r="E597" s="3"/>
      <c r="F597" s="4"/>
      <c r="G597" s="4"/>
      <c r="H597" s="4"/>
      <c r="I597" s="35"/>
      <c r="J597" s="4"/>
      <c r="K597" s="4"/>
      <c r="L597" s="4"/>
      <c r="M597" s="4"/>
      <c r="N597" s="4" t="s">
        <v>214</v>
      </c>
      <c r="O597" s="4"/>
      <c r="P597" s="4"/>
    </row>
    <row r="598" spans="1:16" ht="12.95" customHeight="1" x14ac:dyDescent="0.2">
      <c r="A598" s="4" t="s">
        <v>88</v>
      </c>
      <c r="B598" s="4" t="s">
        <v>31</v>
      </c>
      <c r="C598" s="4"/>
      <c r="D598" s="4"/>
      <c r="E598" s="3"/>
      <c r="F598" s="4"/>
      <c r="G598" s="4"/>
      <c r="H598" s="4"/>
      <c r="I598" s="35"/>
      <c r="J598" s="4"/>
      <c r="K598" s="4"/>
      <c r="L598" s="4"/>
      <c r="M598" s="4"/>
      <c r="N598" s="4" t="s">
        <v>214</v>
      </c>
      <c r="O598" s="4"/>
      <c r="P598" s="4"/>
    </row>
    <row r="599" spans="1:16" x14ac:dyDescent="0.2">
      <c r="A599" s="4" t="s">
        <v>33</v>
      </c>
      <c r="B599" s="4" t="s">
        <v>34</v>
      </c>
      <c r="C599" s="4" t="s">
        <v>34</v>
      </c>
      <c r="D599" s="4" t="s">
        <v>34</v>
      </c>
      <c r="E599" s="4"/>
      <c r="F599" s="4"/>
      <c r="G599" s="4"/>
      <c r="H599" s="4"/>
      <c r="I599" s="35"/>
      <c r="J599" s="4"/>
      <c r="K599" s="4"/>
      <c r="L599" s="4"/>
      <c r="M599" s="4"/>
      <c r="N599" s="4"/>
      <c r="O599" s="4"/>
      <c r="P599" s="4"/>
    </row>
    <row r="600" spans="1:16" ht="12.95" customHeight="1" x14ac:dyDescent="0.2">
      <c r="A600" s="2" t="s">
        <v>97</v>
      </c>
      <c r="B600" s="2" t="s">
        <v>42</v>
      </c>
      <c r="C600" s="2"/>
      <c r="D600" s="2"/>
      <c r="E600" s="3"/>
      <c r="F600" s="2"/>
      <c r="G600" s="2"/>
      <c r="H600" s="2"/>
      <c r="I600" s="13"/>
      <c r="J600" s="2"/>
      <c r="K600" s="2"/>
      <c r="L600" s="2"/>
      <c r="M600" s="2"/>
      <c r="N600" s="2" t="s">
        <v>214</v>
      </c>
      <c r="O600" s="2"/>
      <c r="P600" s="2"/>
    </row>
    <row r="601" spans="1:16" ht="12.95" customHeight="1" x14ac:dyDescent="0.2">
      <c r="A601" s="2" t="s">
        <v>104</v>
      </c>
      <c r="B601" s="2" t="s">
        <v>42</v>
      </c>
      <c r="C601" s="2"/>
      <c r="D601" s="2"/>
      <c r="E601" s="3"/>
      <c r="F601" s="2"/>
      <c r="G601" s="2"/>
      <c r="H601" s="2"/>
      <c r="I601" s="13"/>
      <c r="J601" s="2"/>
      <c r="K601" s="2"/>
      <c r="L601" s="2"/>
      <c r="M601" s="2"/>
      <c r="N601" s="2" t="s">
        <v>214</v>
      </c>
      <c r="O601" s="2"/>
      <c r="P601" s="2"/>
    </row>
    <row r="602" spans="1:16" ht="12.95" customHeight="1" x14ac:dyDescent="0.2">
      <c r="A602" s="2" t="s">
        <v>112</v>
      </c>
      <c r="B602" s="2" t="s">
        <v>22</v>
      </c>
      <c r="C602" s="2"/>
      <c r="D602" s="2"/>
      <c r="E602" s="3"/>
      <c r="F602" s="2"/>
      <c r="G602" s="2"/>
      <c r="H602" s="2" t="s">
        <v>227</v>
      </c>
      <c r="I602" s="13" t="s">
        <v>227</v>
      </c>
      <c r="J602" s="2"/>
      <c r="K602" s="2"/>
      <c r="L602" s="2"/>
      <c r="M602" s="2"/>
      <c r="N602" s="2" t="s">
        <v>24</v>
      </c>
      <c r="O602" s="2" t="s">
        <v>111</v>
      </c>
      <c r="P602" s="2"/>
    </row>
    <row r="603" spans="1:16" ht="12.95" customHeight="1" x14ac:dyDescent="0.2">
      <c r="A603" s="2" t="s">
        <v>114</v>
      </c>
      <c r="B603" s="2" t="s">
        <v>27</v>
      </c>
      <c r="C603" s="2"/>
      <c r="D603" s="2"/>
      <c r="E603" s="3"/>
      <c r="F603" s="2"/>
      <c r="G603" s="2"/>
      <c r="H603" s="2"/>
      <c r="I603" s="13"/>
      <c r="J603" s="2"/>
      <c r="K603" s="2"/>
      <c r="L603" s="2"/>
      <c r="M603" s="2"/>
      <c r="N603" s="2" t="s">
        <v>28</v>
      </c>
      <c r="O603" s="2" t="s">
        <v>111</v>
      </c>
      <c r="P603" s="2"/>
    </row>
    <row r="604" spans="1:16" ht="12.95" customHeight="1" x14ac:dyDescent="0.2">
      <c r="A604" s="2" t="s">
        <v>115</v>
      </c>
      <c r="B604" s="2" t="s">
        <v>42</v>
      </c>
      <c r="C604" s="2"/>
      <c r="D604" s="2"/>
      <c r="E604" s="3"/>
      <c r="F604" s="2"/>
      <c r="G604" s="2"/>
      <c r="H604" s="2"/>
      <c r="I604" s="13"/>
      <c r="J604" s="2"/>
      <c r="K604" s="2"/>
      <c r="L604" s="2"/>
      <c r="M604" s="2"/>
      <c r="N604" s="2" t="s">
        <v>214</v>
      </c>
      <c r="O604" s="2"/>
      <c r="P604" s="2"/>
    </row>
    <row r="605" spans="1:16" ht="12.95" customHeight="1" x14ac:dyDescent="0.2">
      <c r="A605" s="4" t="s">
        <v>122</v>
      </c>
      <c r="B605" s="4" t="s">
        <v>31</v>
      </c>
      <c r="C605" s="4"/>
      <c r="D605" s="4"/>
      <c r="E605" s="3"/>
      <c r="F605" s="4"/>
      <c r="G605" s="4"/>
      <c r="H605" s="4"/>
      <c r="I605" s="35"/>
      <c r="J605" s="4"/>
      <c r="K605" s="4"/>
      <c r="L605" s="4"/>
      <c r="M605" s="4"/>
      <c r="N605" s="4" t="s">
        <v>214</v>
      </c>
      <c r="O605" s="4"/>
      <c r="P605" s="4"/>
    </row>
    <row r="606" spans="1:16" ht="12.95" customHeight="1" x14ac:dyDescent="0.2">
      <c r="A606" s="4" t="s">
        <v>123</v>
      </c>
      <c r="B606" s="4" t="s">
        <v>31</v>
      </c>
      <c r="C606" s="4"/>
      <c r="D606" s="4"/>
      <c r="E606" s="3"/>
      <c r="F606" s="4"/>
      <c r="G606" s="4"/>
      <c r="H606" s="4"/>
      <c r="I606" s="35"/>
      <c r="J606" s="4"/>
      <c r="K606" s="4"/>
      <c r="L606" s="4"/>
      <c r="M606" s="4"/>
      <c r="N606" s="4" t="s">
        <v>214</v>
      </c>
      <c r="O606" s="4"/>
      <c r="P606" s="4"/>
    </row>
    <row r="607" spans="1:16" x14ac:dyDescent="0.2">
      <c r="A607" s="4" t="s">
        <v>33</v>
      </c>
      <c r="B607" s="4" t="s">
        <v>34</v>
      </c>
      <c r="C607" s="4" t="s">
        <v>34</v>
      </c>
      <c r="D607" s="4" t="s">
        <v>34</v>
      </c>
      <c r="E607" s="4"/>
      <c r="F607" s="4"/>
      <c r="G607" s="4"/>
      <c r="H607" s="4" t="s">
        <v>227</v>
      </c>
      <c r="I607" s="35" t="s">
        <v>227</v>
      </c>
      <c r="J607" s="4"/>
      <c r="K607" s="4"/>
      <c r="L607" s="4"/>
      <c r="M607" s="4"/>
      <c r="N607" s="4"/>
      <c r="O607" s="4"/>
      <c r="P607" s="4"/>
    </row>
    <row r="608" spans="1:16" ht="12.95" customHeight="1" x14ac:dyDescent="0.2">
      <c r="A608" s="2" t="s">
        <v>131</v>
      </c>
      <c r="B608" s="2" t="s">
        <v>42</v>
      </c>
      <c r="C608" s="2"/>
      <c r="D608" s="2"/>
      <c r="E608" s="3"/>
      <c r="F608" s="2"/>
      <c r="G608" s="2"/>
      <c r="H608" s="2"/>
      <c r="I608" s="13"/>
      <c r="J608" s="2"/>
      <c r="K608" s="2"/>
      <c r="L608" s="2"/>
      <c r="M608" s="2"/>
      <c r="N608" s="2" t="s">
        <v>214</v>
      </c>
      <c r="O608" s="2"/>
      <c r="P608" s="2"/>
    </row>
    <row r="609" spans="1:16" ht="12.95" customHeight="1" x14ac:dyDescent="0.2">
      <c r="A609" s="153" t="s">
        <v>138</v>
      </c>
      <c r="B609" s="153" t="s">
        <v>42</v>
      </c>
      <c r="C609" s="153" t="s">
        <v>639</v>
      </c>
      <c r="D609" s="153" t="s">
        <v>640</v>
      </c>
      <c r="E609" s="152" t="s">
        <v>641</v>
      </c>
      <c r="F609" s="153"/>
      <c r="G609" s="153" t="s">
        <v>641</v>
      </c>
      <c r="H609" s="153"/>
      <c r="I609" s="153"/>
      <c r="J609" s="153" t="s">
        <v>641</v>
      </c>
      <c r="K609" s="153"/>
      <c r="L609" s="153"/>
      <c r="M609" s="153" t="s">
        <v>642</v>
      </c>
      <c r="N609" s="153" t="s">
        <v>214</v>
      </c>
      <c r="O609" s="153"/>
      <c r="P609" s="2"/>
    </row>
    <row r="610" spans="1:16" ht="12.95" customHeight="1" x14ac:dyDescent="0.2">
      <c r="A610" s="2" t="s">
        <v>143</v>
      </c>
      <c r="B610" s="2" t="s">
        <v>42</v>
      </c>
      <c r="C610" s="2"/>
      <c r="D610" s="2"/>
      <c r="E610" s="3"/>
      <c r="F610" s="2"/>
      <c r="G610" s="2"/>
      <c r="H610" s="2"/>
      <c r="I610" s="13"/>
      <c r="J610" s="2"/>
      <c r="K610" s="2"/>
      <c r="L610" s="2"/>
      <c r="M610" s="2"/>
      <c r="N610" s="2" t="s">
        <v>214</v>
      </c>
      <c r="O610" s="2"/>
      <c r="P610" s="2"/>
    </row>
    <row r="611" spans="1:16" ht="12.95" customHeight="1" x14ac:dyDescent="0.2">
      <c r="A611" s="2" t="s">
        <v>148</v>
      </c>
      <c r="B611" s="2" t="s">
        <v>42</v>
      </c>
      <c r="C611" s="2"/>
      <c r="D611" s="2"/>
      <c r="E611" s="3"/>
      <c r="F611" s="2"/>
      <c r="G611" s="2"/>
      <c r="H611" s="2"/>
      <c r="I611" s="13"/>
      <c r="J611" s="2"/>
      <c r="K611" s="2"/>
      <c r="L611" s="2"/>
      <c r="M611" s="2"/>
      <c r="N611" s="2" t="s">
        <v>214</v>
      </c>
      <c r="O611" s="2"/>
      <c r="P611" s="2"/>
    </row>
    <row r="612" spans="1:16" ht="12.95" customHeight="1" x14ac:dyDescent="0.2">
      <c r="A612" s="2" t="s">
        <v>155</v>
      </c>
      <c r="B612" s="2" t="s">
        <v>42</v>
      </c>
      <c r="C612" s="2" t="s">
        <v>643</v>
      </c>
      <c r="D612" s="2" t="s">
        <v>644</v>
      </c>
      <c r="E612" s="3" t="s">
        <v>597</v>
      </c>
      <c r="F612" s="2"/>
      <c r="G612" s="2" t="s">
        <v>597</v>
      </c>
      <c r="H612" s="2" t="s">
        <v>201</v>
      </c>
      <c r="I612" s="13"/>
      <c r="J612" s="2" t="s">
        <v>597</v>
      </c>
      <c r="K612" s="2"/>
      <c r="L612" s="2"/>
      <c r="M612" s="2"/>
      <c r="N612" s="2"/>
      <c r="O612" s="2"/>
      <c r="P612" s="2"/>
    </row>
    <row r="613" spans="1:16" ht="12.95" customHeight="1" x14ac:dyDescent="0.2">
      <c r="A613" s="2" t="s">
        <v>155</v>
      </c>
      <c r="B613" s="2" t="s">
        <v>42</v>
      </c>
      <c r="C613" s="2" t="s">
        <v>251</v>
      </c>
      <c r="D613" s="2" t="s">
        <v>252</v>
      </c>
      <c r="E613" s="3" t="s">
        <v>253</v>
      </c>
      <c r="F613" s="2" t="s">
        <v>46</v>
      </c>
      <c r="G613" s="2" t="s">
        <v>254</v>
      </c>
      <c r="H613" s="2"/>
      <c r="I613" s="13"/>
      <c r="J613" s="2" t="s">
        <v>80</v>
      </c>
      <c r="K613" s="2" t="s">
        <v>320</v>
      </c>
      <c r="L613" s="2" t="s">
        <v>645</v>
      </c>
      <c r="M613" s="2"/>
      <c r="N613" s="2"/>
      <c r="O613" s="2"/>
      <c r="P613" s="2"/>
    </row>
    <row r="614" spans="1:16" ht="12.95" customHeight="1" x14ac:dyDescent="0.2">
      <c r="A614" s="8" t="s">
        <v>161</v>
      </c>
      <c r="B614" s="8"/>
      <c r="C614" s="8"/>
      <c r="D614" s="8"/>
      <c r="E614" s="5" t="s">
        <v>646</v>
      </c>
      <c r="F614" s="5" t="s">
        <v>95</v>
      </c>
      <c r="G614" s="5" t="s">
        <v>647</v>
      </c>
      <c r="H614" s="5" t="s">
        <v>648</v>
      </c>
      <c r="I614" s="36" t="s">
        <v>201</v>
      </c>
      <c r="J614" s="5" t="s">
        <v>649</v>
      </c>
      <c r="K614" s="5" t="s">
        <v>650</v>
      </c>
      <c r="L614" s="5" t="s">
        <v>86</v>
      </c>
      <c r="M614" s="5" t="s">
        <v>624</v>
      </c>
      <c r="N614" s="5"/>
      <c r="O614" s="5"/>
      <c r="P614" s="5"/>
    </row>
    <row r="615" spans="1:16" ht="12.95" customHeight="1" x14ac:dyDescent="0.2">
      <c r="A615" s="8" t="s">
        <v>171</v>
      </c>
      <c r="B615" s="8"/>
      <c r="C615" s="8"/>
      <c r="D615" s="8"/>
      <c r="E615" s="5" t="s">
        <v>646</v>
      </c>
      <c r="F615" s="5" t="s">
        <v>95</v>
      </c>
      <c r="G615" s="5" t="s">
        <v>647</v>
      </c>
      <c r="H615" s="5" t="s">
        <v>648</v>
      </c>
      <c r="I615" s="36" t="s">
        <v>296</v>
      </c>
      <c r="J615" s="5" t="s">
        <v>649</v>
      </c>
      <c r="K615" s="5" t="s">
        <v>650</v>
      </c>
      <c r="L615" s="5" t="s">
        <v>86</v>
      </c>
      <c r="M615" s="5" t="s">
        <v>624</v>
      </c>
      <c r="N615" s="5"/>
      <c r="O615" s="5"/>
      <c r="P615" s="5"/>
    </row>
    <row r="616" spans="1:16" ht="12.95" customHeight="1" x14ac:dyDescent="0.2">
      <c r="A616" s="8" t="s">
        <v>173</v>
      </c>
      <c r="B616" s="8"/>
      <c r="C616" s="8"/>
      <c r="D616" s="8"/>
      <c r="E616" s="5">
        <v>30.63</v>
      </c>
      <c r="F616" s="5">
        <v>1</v>
      </c>
      <c r="G616" s="5">
        <v>29.63</v>
      </c>
      <c r="H616" s="5">
        <v>25.5</v>
      </c>
      <c r="I616" s="36">
        <v>0</v>
      </c>
      <c r="J616" s="5">
        <v>27.11</v>
      </c>
      <c r="K616" s="5">
        <v>2.5099999999999998</v>
      </c>
      <c r="L616" s="5">
        <v>1.1499999999999999</v>
      </c>
      <c r="M616" s="5">
        <v>2.41</v>
      </c>
      <c r="N616" s="5"/>
      <c r="O616" s="5"/>
      <c r="P616" s="5"/>
    </row>
    <row r="617" spans="1:16" x14ac:dyDescent="0.2">
      <c r="I617" s="37"/>
    </row>
    <row r="618" spans="1:16" ht="12.95" customHeight="1" x14ac:dyDescent="0.2">
      <c r="A618" s="9" t="s">
        <v>174</v>
      </c>
      <c r="B618" s="9"/>
      <c r="C618" s="9"/>
      <c r="E618" s="9" t="s">
        <v>180</v>
      </c>
      <c r="F618" s="9"/>
      <c r="G618" s="9"/>
      <c r="I618" s="9" t="s">
        <v>181</v>
      </c>
      <c r="J618" s="9"/>
      <c r="K618" s="9"/>
    </row>
    <row r="619" spans="1:16" ht="12.95" customHeight="1" x14ac:dyDescent="0.2">
      <c r="A619" s="10" t="s">
        <v>175</v>
      </c>
      <c r="B619" s="10"/>
      <c r="C619" s="6">
        <v>4</v>
      </c>
      <c r="E619" s="10" t="s">
        <v>14</v>
      </c>
      <c r="F619" s="10"/>
      <c r="G619" s="6">
        <v>27.11</v>
      </c>
      <c r="I619" s="10" t="s">
        <v>264</v>
      </c>
      <c r="J619" s="10"/>
      <c r="K619" s="43">
        <v>1</v>
      </c>
    </row>
    <row r="620" spans="1:16" ht="12.95" customHeight="1" x14ac:dyDescent="0.2">
      <c r="A620" s="10" t="s">
        <v>1531</v>
      </c>
      <c r="B620" s="10"/>
      <c r="C620" s="6">
        <v>22</v>
      </c>
      <c r="E620" s="10" t="s">
        <v>15</v>
      </c>
      <c r="F620" s="10"/>
      <c r="G620" s="6">
        <v>2.5099999999999998</v>
      </c>
      <c r="I620" s="10" t="s">
        <v>265</v>
      </c>
      <c r="J620" s="10"/>
      <c r="K620" s="6">
        <v>16</v>
      </c>
    </row>
    <row r="621" spans="1:16" ht="12.95" customHeight="1" x14ac:dyDescent="0.2">
      <c r="A621" s="10" t="s">
        <v>176</v>
      </c>
      <c r="B621" s="10"/>
      <c r="C621" s="6">
        <v>30.63</v>
      </c>
      <c r="I621" s="10" t="s">
        <v>27</v>
      </c>
      <c r="J621" s="10"/>
      <c r="K621" s="26">
        <v>3</v>
      </c>
    </row>
    <row r="622" spans="1:16" ht="12.95" customHeight="1" x14ac:dyDescent="0.2">
      <c r="A622" s="10" t="s">
        <v>177</v>
      </c>
      <c r="B622" s="10"/>
      <c r="C622" s="6">
        <v>25.5</v>
      </c>
      <c r="I622" s="10" t="s">
        <v>22</v>
      </c>
      <c r="J622" s="10"/>
      <c r="K622" s="26">
        <v>3</v>
      </c>
    </row>
    <row r="623" spans="1:16" ht="12.95" customHeight="1" x14ac:dyDescent="0.2">
      <c r="A623" s="10" t="s">
        <v>11</v>
      </c>
      <c r="B623" s="10"/>
      <c r="C623" s="6">
        <v>29.63</v>
      </c>
      <c r="I623" s="10" t="s">
        <v>36</v>
      </c>
      <c r="J623" s="10"/>
      <c r="K623" s="26">
        <v>2</v>
      </c>
    </row>
    <row r="624" spans="1:16" ht="12.95" customHeight="1" x14ac:dyDescent="0.2">
      <c r="A624" s="10" t="s">
        <v>178</v>
      </c>
      <c r="B624" s="10"/>
      <c r="C624" s="30">
        <v>8.5</v>
      </c>
      <c r="I624" s="39" t="s">
        <v>1591</v>
      </c>
      <c r="J624" s="19"/>
      <c r="K624" s="20">
        <v>1.5</v>
      </c>
    </row>
    <row r="625" spans="1:17" ht="12.95" customHeight="1" x14ac:dyDescent="0.2">
      <c r="A625" s="28" t="s">
        <v>1571</v>
      </c>
      <c r="B625" s="27"/>
      <c r="C625" s="31">
        <v>-1</v>
      </c>
      <c r="I625" s="39" t="s">
        <v>1592</v>
      </c>
      <c r="J625" s="19"/>
      <c r="K625" s="38">
        <v>0</v>
      </c>
    </row>
    <row r="626" spans="1:17" ht="12.95" customHeight="1" x14ac:dyDescent="0.25">
      <c r="A626" s="29" t="s">
        <v>1572</v>
      </c>
      <c r="B626" s="29"/>
      <c r="C626" s="32">
        <f>C624+C625</f>
        <v>7.5</v>
      </c>
      <c r="I626" s="41" t="s">
        <v>1593</v>
      </c>
      <c r="J626" s="40"/>
      <c r="K626" s="42">
        <f>K619+K624+K625</f>
        <v>2.5</v>
      </c>
    </row>
    <row r="627" spans="1:17" x14ac:dyDescent="0.2">
      <c r="A627" s="10" t="s">
        <v>10</v>
      </c>
      <c r="B627" s="10"/>
      <c r="C627" s="6">
        <v>1</v>
      </c>
    </row>
    <row r="628" spans="1:17" ht="15" x14ac:dyDescent="0.25">
      <c r="A628" s="154" t="s">
        <v>1615</v>
      </c>
      <c r="B628" s="154"/>
      <c r="C628" s="154" cm="1">
        <f t="array" ref="C628">IFERROR(SUMPRODUCT((ISNUMBER(SEARCH("מילואים",N579:N617))+ISNUMBER(SEARCH("מילואים",O579:O617))&gt;0)*(C579:C617&lt;&gt;"")*(J579:J617+0))*24,0)</f>
        <v>1.9166666666666665</v>
      </c>
    </row>
    <row r="629" spans="1:17" ht="12.95" customHeight="1" x14ac:dyDescent="0.2">
      <c r="A629" s="7" t="s">
        <v>651</v>
      </c>
      <c r="B629" s="7"/>
      <c r="C629" s="7"/>
      <c r="D629" s="7" t="s">
        <v>1</v>
      </c>
      <c r="E629" s="7"/>
      <c r="F629" s="7"/>
      <c r="G629" s="7"/>
      <c r="H629" s="7" t="s">
        <v>2</v>
      </c>
      <c r="I629" s="7"/>
      <c r="J629" s="7"/>
      <c r="K629" s="7"/>
      <c r="L629" s="7"/>
      <c r="M629" s="7"/>
      <c r="N629" s="7"/>
      <c r="O629" s="7"/>
      <c r="P629" s="7"/>
      <c r="Q629" s="7"/>
    </row>
    <row r="630" spans="1:17" ht="12.95" customHeight="1" x14ac:dyDescent="0.2">
      <c r="A630" s="7" t="s">
        <v>3</v>
      </c>
      <c r="B630" s="7"/>
      <c r="C630" s="7"/>
      <c r="D630" s="7"/>
      <c r="E630" s="7"/>
      <c r="F630" s="7">
        <v>105</v>
      </c>
      <c r="G630" s="7"/>
      <c r="H630" s="7" t="s">
        <v>183</v>
      </c>
      <c r="I630" s="7"/>
      <c r="J630" s="7"/>
      <c r="K630" s="7"/>
      <c r="L630" s="7"/>
      <c r="M630" s="7"/>
      <c r="N630" s="7"/>
      <c r="O630" s="7"/>
      <c r="P630" s="7"/>
      <c r="Q630" s="7"/>
    </row>
    <row r="631" spans="1:17" ht="22.5" customHeight="1" x14ac:dyDescent="0.2">
      <c r="A631" s="1" t="s">
        <v>5</v>
      </c>
      <c r="B631" s="1" t="s">
        <v>6</v>
      </c>
      <c r="C631" s="1" t="s">
        <v>7</v>
      </c>
      <c r="D631" s="1" t="s">
        <v>8</v>
      </c>
      <c r="E631" s="1" t="s">
        <v>9</v>
      </c>
      <c r="F631" s="1" t="s">
        <v>10</v>
      </c>
      <c r="G631" s="1" t="s">
        <v>11</v>
      </c>
      <c r="H631" s="1" t="s">
        <v>12</v>
      </c>
      <c r="I631" s="1" t="s">
        <v>13</v>
      </c>
      <c r="J631" s="1" t="s">
        <v>14</v>
      </c>
      <c r="K631" s="1" t="s">
        <v>15</v>
      </c>
      <c r="L631" s="1" t="s">
        <v>267</v>
      </c>
      <c r="M631" s="1" t="s">
        <v>16</v>
      </c>
      <c r="N631" s="1" t="s">
        <v>17</v>
      </c>
      <c r="O631" s="1" t="s">
        <v>18</v>
      </c>
      <c r="P631" s="1" t="s">
        <v>19</v>
      </c>
      <c r="Q631" s="1" t="s">
        <v>20</v>
      </c>
    </row>
    <row r="632" spans="1:17" ht="12.95" customHeight="1" x14ac:dyDescent="0.2">
      <c r="A632" s="2" t="s">
        <v>21</v>
      </c>
      <c r="B632" s="2" t="s">
        <v>22</v>
      </c>
      <c r="C632" s="2"/>
      <c r="D632" s="2"/>
      <c r="E632" s="3"/>
      <c r="F632" s="2"/>
      <c r="G632" s="2"/>
      <c r="H632" s="2" t="s">
        <v>46</v>
      </c>
      <c r="I632" s="12" t="s">
        <v>46</v>
      </c>
      <c r="J632" s="2"/>
      <c r="K632" s="2"/>
      <c r="L632" s="2"/>
      <c r="M632" s="2"/>
      <c r="N632" s="2"/>
      <c r="O632" s="2" t="s">
        <v>24</v>
      </c>
      <c r="P632" s="2" t="s">
        <v>25</v>
      </c>
      <c r="Q632" s="2"/>
    </row>
    <row r="633" spans="1:17" ht="12.95" customHeight="1" x14ac:dyDescent="0.2">
      <c r="A633" s="2" t="s">
        <v>26</v>
      </c>
      <c r="B633" s="2" t="s">
        <v>27</v>
      </c>
      <c r="C633" s="2"/>
      <c r="D633" s="2"/>
      <c r="E633" s="3"/>
      <c r="F633" s="2"/>
      <c r="G633" s="2"/>
      <c r="H633" s="2"/>
      <c r="I633" s="13"/>
      <c r="J633" s="2"/>
      <c r="K633" s="2"/>
      <c r="L633" s="2"/>
      <c r="M633" s="2"/>
      <c r="N633" s="2"/>
      <c r="O633" s="2" t="s">
        <v>28</v>
      </c>
      <c r="P633" s="2" t="s">
        <v>29</v>
      </c>
      <c r="Q633" s="2"/>
    </row>
    <row r="634" spans="1:17" ht="12.95" customHeight="1" x14ac:dyDescent="0.2">
      <c r="A634" s="4" t="s">
        <v>30</v>
      </c>
      <c r="B634" s="4" t="s">
        <v>31</v>
      </c>
      <c r="C634" s="4"/>
      <c r="D634" s="4"/>
      <c r="E634" s="3"/>
      <c r="F634" s="4"/>
      <c r="G634" s="4"/>
      <c r="H634" s="4"/>
      <c r="I634" s="35"/>
      <c r="J634" s="4"/>
      <c r="K634" s="4"/>
      <c r="L634" s="4"/>
      <c r="M634" s="4"/>
      <c r="N634" s="4"/>
      <c r="O634" s="4"/>
      <c r="P634" s="4"/>
      <c r="Q634" s="4"/>
    </row>
    <row r="635" spans="1:17" ht="12.95" customHeight="1" x14ac:dyDescent="0.2">
      <c r="A635" s="4" t="s">
        <v>32</v>
      </c>
      <c r="B635" s="4" t="s">
        <v>31</v>
      </c>
      <c r="C635" s="4"/>
      <c r="D635" s="4"/>
      <c r="E635" s="3"/>
      <c r="F635" s="4"/>
      <c r="G635" s="4"/>
      <c r="H635" s="4"/>
      <c r="I635" s="35"/>
      <c r="J635" s="4"/>
      <c r="K635" s="4"/>
      <c r="L635" s="4"/>
      <c r="M635" s="4"/>
      <c r="N635" s="4"/>
      <c r="O635" s="4"/>
      <c r="P635" s="4"/>
      <c r="Q635" s="4"/>
    </row>
    <row r="636" spans="1:17" x14ac:dyDescent="0.2">
      <c r="A636" s="4" t="s">
        <v>33</v>
      </c>
      <c r="B636" s="4" t="s">
        <v>34</v>
      </c>
      <c r="C636" s="4" t="s">
        <v>34</v>
      </c>
      <c r="D636" s="4" t="s">
        <v>34</v>
      </c>
      <c r="E636" s="4"/>
      <c r="F636" s="4"/>
      <c r="G636" s="4"/>
      <c r="H636" s="4" t="s">
        <v>46</v>
      </c>
      <c r="I636" s="35" t="s">
        <v>46</v>
      </c>
      <c r="J636" s="4"/>
      <c r="K636" s="4"/>
      <c r="L636" s="4"/>
      <c r="M636" s="4"/>
      <c r="N636" s="4"/>
      <c r="O636" s="4"/>
      <c r="P636" s="4"/>
      <c r="Q636" s="4"/>
    </row>
    <row r="637" spans="1:17" ht="12.95" customHeight="1" x14ac:dyDescent="0.2">
      <c r="A637" s="2" t="s">
        <v>35</v>
      </c>
      <c r="B637" s="2" t="s">
        <v>36</v>
      </c>
      <c r="C637" s="2" t="s">
        <v>652</v>
      </c>
      <c r="D637" s="2" t="s">
        <v>653</v>
      </c>
      <c r="E637" s="3" t="s">
        <v>654</v>
      </c>
      <c r="F637" s="2"/>
      <c r="G637" s="2" t="s">
        <v>654</v>
      </c>
      <c r="H637" s="2"/>
      <c r="I637" s="13"/>
      <c r="J637" s="2" t="s">
        <v>48</v>
      </c>
      <c r="K637" s="2" t="s">
        <v>655</v>
      </c>
      <c r="L637" s="2"/>
      <c r="M637" s="2"/>
      <c r="N637" s="2"/>
      <c r="O637" s="2"/>
      <c r="P637" s="2"/>
      <c r="Q637" s="2"/>
    </row>
    <row r="638" spans="1:17" ht="12.95" customHeight="1" x14ac:dyDescent="0.2">
      <c r="A638" s="2" t="s">
        <v>38</v>
      </c>
      <c r="B638" s="2" t="s">
        <v>36</v>
      </c>
      <c r="C638" s="2" t="s">
        <v>656</v>
      </c>
      <c r="D638" s="2" t="s">
        <v>487</v>
      </c>
      <c r="E638" s="3" t="s">
        <v>657</v>
      </c>
      <c r="F638" s="2"/>
      <c r="G638" s="2" t="s">
        <v>657</v>
      </c>
      <c r="H638" s="2"/>
      <c r="I638" s="13"/>
      <c r="J638" s="2" t="s">
        <v>48</v>
      </c>
      <c r="K638" s="2" t="s">
        <v>658</v>
      </c>
      <c r="L638" s="2"/>
      <c r="M638" s="2"/>
      <c r="N638" s="2"/>
      <c r="O638" s="2"/>
      <c r="P638" s="2"/>
      <c r="Q638" s="2"/>
    </row>
    <row r="639" spans="1:17" ht="12.95" customHeight="1" x14ac:dyDescent="0.2">
      <c r="A639" s="2" t="s">
        <v>39</v>
      </c>
      <c r="B639" s="2" t="s">
        <v>22</v>
      </c>
      <c r="C639" s="2"/>
      <c r="D639" s="2"/>
      <c r="E639" s="3"/>
      <c r="F639" s="2"/>
      <c r="G639" s="2"/>
      <c r="H639" s="2" t="s">
        <v>46</v>
      </c>
      <c r="I639" s="12" t="s">
        <v>46</v>
      </c>
      <c r="J639" s="2"/>
      <c r="K639" s="2"/>
      <c r="L639" s="2"/>
      <c r="M639" s="2"/>
      <c r="N639" s="2"/>
      <c r="O639" s="2" t="s">
        <v>24</v>
      </c>
      <c r="P639" s="2" t="s">
        <v>25</v>
      </c>
      <c r="Q639" s="2"/>
    </row>
    <row r="640" spans="1:17" ht="12.95" customHeight="1" x14ac:dyDescent="0.2">
      <c r="A640" s="2" t="s">
        <v>40</v>
      </c>
      <c r="B640" s="2" t="s">
        <v>27</v>
      </c>
      <c r="C640" s="2"/>
      <c r="D640" s="2"/>
      <c r="E640" s="3"/>
      <c r="F640" s="2"/>
      <c r="G640" s="2"/>
      <c r="H640" s="2"/>
      <c r="I640" s="13"/>
      <c r="J640" s="2"/>
      <c r="K640" s="2"/>
      <c r="L640" s="2"/>
      <c r="M640" s="2"/>
      <c r="N640" s="2"/>
      <c r="O640" s="2" t="s">
        <v>28</v>
      </c>
      <c r="P640" s="2" t="s">
        <v>25</v>
      </c>
      <c r="Q640" s="2"/>
    </row>
    <row r="641" spans="1:17" ht="12.95" customHeight="1" x14ac:dyDescent="0.2">
      <c r="A641" s="2" t="s">
        <v>41</v>
      </c>
      <c r="B641" s="2" t="s">
        <v>42</v>
      </c>
      <c r="C641" s="2" t="s">
        <v>659</v>
      </c>
      <c r="D641" s="2" t="s">
        <v>660</v>
      </c>
      <c r="E641" s="3" t="s">
        <v>661</v>
      </c>
      <c r="F641" s="2" t="s">
        <v>46</v>
      </c>
      <c r="G641" s="2" t="s">
        <v>100</v>
      </c>
      <c r="H641" s="2" t="s">
        <v>201</v>
      </c>
      <c r="I641" s="13"/>
      <c r="J641" s="2" t="s">
        <v>48</v>
      </c>
      <c r="K641" s="2" t="s">
        <v>560</v>
      </c>
      <c r="L641" s="2"/>
      <c r="M641" s="2" t="s">
        <v>490</v>
      </c>
      <c r="N641" s="2" t="s">
        <v>662</v>
      </c>
      <c r="O641" s="2"/>
      <c r="P641" s="2"/>
      <c r="Q641" s="2"/>
    </row>
    <row r="642" spans="1:17" ht="12.95" customHeight="1" x14ac:dyDescent="0.2">
      <c r="A642" s="4" t="s">
        <v>51</v>
      </c>
      <c r="B642" s="4" t="s">
        <v>31</v>
      </c>
      <c r="C642" s="4"/>
      <c r="D642" s="4"/>
      <c r="E642" s="3"/>
      <c r="F642" s="4"/>
      <c r="G642" s="4"/>
      <c r="H642" s="4"/>
      <c r="I642" s="35"/>
      <c r="J642" s="4"/>
      <c r="K642" s="4"/>
      <c r="L642" s="4"/>
      <c r="M642" s="4"/>
      <c r="N642" s="4"/>
      <c r="O642" s="4"/>
      <c r="P642" s="4"/>
      <c r="Q642" s="4"/>
    </row>
    <row r="643" spans="1:17" ht="12.95" customHeight="1" x14ac:dyDescent="0.2">
      <c r="A643" s="4" t="s">
        <v>52</v>
      </c>
      <c r="B643" s="4" t="s">
        <v>31</v>
      </c>
      <c r="C643" s="4"/>
      <c r="D643" s="4"/>
      <c r="E643" s="3"/>
      <c r="F643" s="4"/>
      <c r="G643" s="4"/>
      <c r="H643" s="4"/>
      <c r="I643" s="35"/>
      <c r="J643" s="4"/>
      <c r="K643" s="4"/>
      <c r="L643" s="4"/>
      <c r="M643" s="4"/>
      <c r="N643" s="4"/>
      <c r="O643" s="4"/>
      <c r="P643" s="4"/>
      <c r="Q643" s="4"/>
    </row>
    <row r="644" spans="1:17" x14ac:dyDescent="0.2">
      <c r="A644" s="4" t="s">
        <v>33</v>
      </c>
      <c r="B644" s="4" t="s">
        <v>34</v>
      </c>
      <c r="C644" s="4" t="s">
        <v>34</v>
      </c>
      <c r="D644" s="4" t="s">
        <v>34</v>
      </c>
      <c r="E644" s="4" t="s">
        <v>663</v>
      </c>
      <c r="F644" s="4" t="s">
        <v>46</v>
      </c>
      <c r="G644" s="4" t="s">
        <v>664</v>
      </c>
      <c r="H644" s="4" t="s">
        <v>303</v>
      </c>
      <c r="I644" s="35" t="s">
        <v>46</v>
      </c>
      <c r="J644" s="4" t="s">
        <v>352</v>
      </c>
      <c r="K644" s="4" t="s">
        <v>244</v>
      </c>
      <c r="L644" s="4"/>
      <c r="M644" s="4" t="s">
        <v>490</v>
      </c>
      <c r="N644" s="4" t="s">
        <v>662</v>
      </c>
      <c r="O644" s="4"/>
      <c r="P644" s="4"/>
      <c r="Q644" s="4"/>
    </row>
    <row r="645" spans="1:17" ht="12.95" customHeight="1" x14ac:dyDescent="0.2">
      <c r="A645" s="2" t="s">
        <v>54</v>
      </c>
      <c r="B645" s="2" t="s">
        <v>42</v>
      </c>
      <c r="C645" s="2" t="s">
        <v>472</v>
      </c>
      <c r="D645" s="2" t="s">
        <v>665</v>
      </c>
      <c r="E645" s="3" t="s">
        <v>286</v>
      </c>
      <c r="F645" s="2" t="s">
        <v>46</v>
      </c>
      <c r="G645" s="2" t="s">
        <v>666</v>
      </c>
      <c r="H645" s="2" t="s">
        <v>201</v>
      </c>
      <c r="I645" s="13" t="s">
        <v>49</v>
      </c>
      <c r="J645" s="2" t="s">
        <v>48</v>
      </c>
      <c r="K645" s="2" t="s">
        <v>662</v>
      </c>
      <c r="L645" s="2"/>
      <c r="M645" s="2"/>
      <c r="N645" s="2"/>
      <c r="O645" s="2"/>
      <c r="P645" s="2"/>
      <c r="Q645" s="2"/>
    </row>
    <row r="646" spans="1:17" ht="12.95" customHeight="1" x14ac:dyDescent="0.2">
      <c r="A646" s="2" t="s">
        <v>61</v>
      </c>
      <c r="B646" s="2" t="s">
        <v>42</v>
      </c>
      <c r="C646" s="2" t="s">
        <v>96</v>
      </c>
      <c r="D646" s="2" t="s">
        <v>198</v>
      </c>
      <c r="E646" s="3" t="s">
        <v>45</v>
      </c>
      <c r="F646" s="2" t="s">
        <v>46</v>
      </c>
      <c r="G646" s="2" t="s">
        <v>47</v>
      </c>
      <c r="H646" s="2" t="s">
        <v>201</v>
      </c>
      <c r="I646" s="13" t="s">
        <v>662</v>
      </c>
      <c r="J646" s="2" t="s">
        <v>48</v>
      </c>
      <c r="K646" s="2" t="s">
        <v>49</v>
      </c>
      <c r="L646" s="2"/>
      <c r="M646" s="2"/>
      <c r="N646" s="2" t="s">
        <v>110</v>
      </c>
      <c r="O646" s="2"/>
      <c r="P646" s="2"/>
      <c r="Q646" s="2"/>
    </row>
    <row r="647" spans="1:17" ht="12.95" customHeight="1" x14ac:dyDescent="0.2">
      <c r="A647" s="2" t="s">
        <v>68</v>
      </c>
      <c r="B647" s="2" t="s">
        <v>42</v>
      </c>
      <c r="C647" s="2" t="s">
        <v>437</v>
      </c>
      <c r="D647" s="2" t="s">
        <v>667</v>
      </c>
      <c r="E647" s="3" t="s">
        <v>668</v>
      </c>
      <c r="F647" s="2" t="s">
        <v>46</v>
      </c>
      <c r="G647" s="2" t="s">
        <v>669</v>
      </c>
      <c r="H647" s="2" t="s">
        <v>201</v>
      </c>
      <c r="I647" s="13"/>
      <c r="J647" s="2" t="s">
        <v>48</v>
      </c>
      <c r="K647" s="2" t="s">
        <v>459</v>
      </c>
      <c r="L647" s="2"/>
      <c r="M647" s="2" t="s">
        <v>278</v>
      </c>
      <c r="N647" s="2" t="s">
        <v>340</v>
      </c>
      <c r="O647" s="2"/>
      <c r="P647" s="2"/>
      <c r="Q647" s="2"/>
    </row>
    <row r="648" spans="1:17" ht="12.95" customHeight="1" x14ac:dyDescent="0.2">
      <c r="A648" s="2" t="s">
        <v>75</v>
      </c>
      <c r="B648" s="2" t="s">
        <v>42</v>
      </c>
      <c r="C648" s="2" t="s">
        <v>670</v>
      </c>
      <c r="D648" s="2" t="s">
        <v>671</v>
      </c>
      <c r="E648" s="3" t="s">
        <v>300</v>
      </c>
      <c r="F648" s="2" t="s">
        <v>46</v>
      </c>
      <c r="G648" s="2" t="s">
        <v>301</v>
      </c>
      <c r="H648" s="2" t="s">
        <v>201</v>
      </c>
      <c r="I648" s="13"/>
      <c r="J648" s="2" t="s">
        <v>48</v>
      </c>
      <c r="K648" s="2" t="s">
        <v>302</v>
      </c>
      <c r="L648" s="2"/>
      <c r="M648" s="2" t="s">
        <v>160</v>
      </c>
      <c r="N648" s="2" t="s">
        <v>369</v>
      </c>
      <c r="O648" s="2"/>
      <c r="P648" s="2"/>
      <c r="Q648" s="2"/>
    </row>
    <row r="649" spans="1:17" ht="12.95" customHeight="1" x14ac:dyDescent="0.2">
      <c r="A649" s="2" t="s">
        <v>81</v>
      </c>
      <c r="B649" s="2" t="s">
        <v>42</v>
      </c>
      <c r="C649" s="2" t="s">
        <v>672</v>
      </c>
      <c r="D649" s="2" t="s">
        <v>673</v>
      </c>
      <c r="E649" s="3" t="s">
        <v>71</v>
      </c>
      <c r="F649" s="2" t="s">
        <v>46</v>
      </c>
      <c r="G649" s="2" t="s">
        <v>72</v>
      </c>
      <c r="H649" s="2" t="s">
        <v>201</v>
      </c>
      <c r="I649" s="13"/>
      <c r="J649" s="2" t="s">
        <v>48</v>
      </c>
      <c r="K649" s="2" t="s">
        <v>73</v>
      </c>
      <c r="L649" s="2"/>
      <c r="M649" s="2" t="s">
        <v>512</v>
      </c>
      <c r="N649" s="2" t="s">
        <v>73</v>
      </c>
      <c r="O649" s="2"/>
      <c r="P649" s="2"/>
      <c r="Q649" s="2"/>
    </row>
    <row r="650" spans="1:17" ht="12.95" customHeight="1" x14ac:dyDescent="0.2">
      <c r="A650" s="4" t="s">
        <v>87</v>
      </c>
      <c r="B650" s="4" t="s">
        <v>31</v>
      </c>
      <c r="C650" s="4"/>
      <c r="D650" s="4"/>
      <c r="E650" s="3"/>
      <c r="F650" s="4"/>
      <c r="G650" s="4"/>
      <c r="H650" s="4"/>
      <c r="I650" s="35"/>
      <c r="J650" s="4"/>
      <c r="K650" s="4"/>
      <c r="L650" s="4"/>
      <c r="M650" s="4"/>
      <c r="N650" s="4"/>
      <c r="O650" s="4"/>
      <c r="P650" s="4"/>
      <c r="Q650" s="4"/>
    </row>
    <row r="651" spans="1:17" ht="12.95" customHeight="1" x14ac:dyDescent="0.2">
      <c r="A651" s="4" t="s">
        <v>88</v>
      </c>
      <c r="B651" s="4" t="s">
        <v>31</v>
      </c>
      <c r="C651" s="4"/>
      <c r="D651" s="4"/>
      <c r="E651" s="3"/>
      <c r="F651" s="4"/>
      <c r="G651" s="4"/>
      <c r="H651" s="4"/>
      <c r="I651" s="35"/>
      <c r="J651" s="4"/>
      <c r="K651" s="4"/>
      <c r="L651" s="4"/>
      <c r="M651" s="4"/>
      <c r="N651" s="4"/>
      <c r="O651" s="4"/>
      <c r="P651" s="4"/>
      <c r="Q651" s="4"/>
    </row>
    <row r="652" spans="1:17" x14ac:dyDescent="0.2">
      <c r="A652" s="4" t="s">
        <v>33</v>
      </c>
      <c r="B652" s="4" t="s">
        <v>34</v>
      </c>
      <c r="C652" s="4" t="s">
        <v>34</v>
      </c>
      <c r="D652" s="4" t="s">
        <v>34</v>
      </c>
      <c r="E652" s="4" t="s">
        <v>674</v>
      </c>
      <c r="F652" s="4" t="s">
        <v>90</v>
      </c>
      <c r="G652" s="4" t="s">
        <v>675</v>
      </c>
      <c r="H652" s="4" t="s">
        <v>331</v>
      </c>
      <c r="I652" s="35" t="s">
        <v>273</v>
      </c>
      <c r="J652" s="4" t="s">
        <v>92</v>
      </c>
      <c r="K652" s="4" t="s">
        <v>676</v>
      </c>
      <c r="L652" s="4"/>
      <c r="M652" s="4" t="s">
        <v>677</v>
      </c>
      <c r="N652" s="4" t="s">
        <v>678</v>
      </c>
      <c r="O652" s="4"/>
      <c r="P652" s="4"/>
      <c r="Q652" s="4"/>
    </row>
    <row r="653" spans="1:17" ht="12.95" customHeight="1" x14ac:dyDescent="0.2">
      <c r="A653" s="2" t="s">
        <v>97</v>
      </c>
      <c r="B653" s="2" t="s">
        <v>42</v>
      </c>
      <c r="C653" s="2" t="s">
        <v>101</v>
      </c>
      <c r="D653" s="2" t="s">
        <v>326</v>
      </c>
      <c r="E653" s="3" t="s">
        <v>339</v>
      </c>
      <c r="F653" s="2" t="s">
        <v>46</v>
      </c>
      <c r="G653" s="2" t="s">
        <v>71</v>
      </c>
      <c r="H653" s="2" t="s">
        <v>201</v>
      </c>
      <c r="I653" s="13"/>
      <c r="J653" s="2" t="s">
        <v>48</v>
      </c>
      <c r="K653" s="2" t="s">
        <v>340</v>
      </c>
      <c r="L653" s="2"/>
      <c r="M653" s="2" t="s">
        <v>368</v>
      </c>
      <c r="N653" s="2" t="s">
        <v>679</v>
      </c>
      <c r="O653" s="2"/>
      <c r="P653" s="2"/>
      <c r="Q653" s="2"/>
    </row>
    <row r="654" spans="1:17" ht="12.95" customHeight="1" x14ac:dyDescent="0.2">
      <c r="A654" s="2" t="s">
        <v>104</v>
      </c>
      <c r="B654" s="2" t="s">
        <v>42</v>
      </c>
      <c r="C654" s="2" t="s">
        <v>680</v>
      </c>
      <c r="D654" s="2" t="s">
        <v>681</v>
      </c>
      <c r="E654" s="3" t="s">
        <v>682</v>
      </c>
      <c r="F654" s="2" t="s">
        <v>46</v>
      </c>
      <c r="G654" s="2" t="s">
        <v>233</v>
      </c>
      <c r="H654" s="2" t="s">
        <v>125</v>
      </c>
      <c r="I654" s="13"/>
      <c r="J654" s="2" t="s">
        <v>48</v>
      </c>
      <c r="K654" s="2" t="s">
        <v>314</v>
      </c>
      <c r="L654" s="2"/>
      <c r="M654" s="2" t="s">
        <v>437</v>
      </c>
      <c r="N654" s="2" t="s">
        <v>342</v>
      </c>
      <c r="O654" s="2"/>
      <c r="P654" s="2" t="s">
        <v>111</v>
      </c>
      <c r="Q654" s="2"/>
    </row>
    <row r="655" spans="1:17" ht="12.95" customHeight="1" x14ac:dyDescent="0.2">
      <c r="A655" s="2" t="s">
        <v>112</v>
      </c>
      <c r="B655" s="2" t="s">
        <v>22</v>
      </c>
      <c r="C655" s="2"/>
      <c r="D655" s="2"/>
      <c r="E655" s="3"/>
      <c r="F655" s="2"/>
      <c r="G655" s="2"/>
      <c r="H655" s="2" t="s">
        <v>227</v>
      </c>
      <c r="I655" s="13" t="s">
        <v>227</v>
      </c>
      <c r="J655" s="2"/>
      <c r="K655" s="2"/>
      <c r="L655" s="2"/>
      <c r="M655" s="2"/>
      <c r="N655" s="2"/>
      <c r="O655" s="2" t="s">
        <v>24</v>
      </c>
      <c r="P655" s="2"/>
      <c r="Q655" s="2"/>
    </row>
    <row r="656" spans="1:17" ht="12.95" customHeight="1" x14ac:dyDescent="0.2">
      <c r="A656" s="2" t="s">
        <v>114</v>
      </c>
      <c r="B656" s="2" t="s">
        <v>27</v>
      </c>
      <c r="C656" s="2"/>
      <c r="D656" s="2"/>
      <c r="E656" s="3"/>
      <c r="F656" s="2"/>
      <c r="G656" s="2"/>
      <c r="H656" s="2"/>
      <c r="I656" s="13"/>
      <c r="J656" s="2"/>
      <c r="K656" s="2"/>
      <c r="L656" s="2"/>
      <c r="M656" s="2"/>
      <c r="N656" s="2"/>
      <c r="O656" s="2" t="s">
        <v>28</v>
      </c>
      <c r="P656" s="2" t="s">
        <v>111</v>
      </c>
      <c r="Q656" s="2"/>
    </row>
    <row r="657" spans="1:17" ht="12.95" customHeight="1" x14ac:dyDescent="0.2">
      <c r="A657" s="2" t="s">
        <v>115</v>
      </c>
      <c r="B657" s="2" t="s">
        <v>42</v>
      </c>
      <c r="C657" s="2" t="s">
        <v>683</v>
      </c>
      <c r="D657" s="2" t="s">
        <v>229</v>
      </c>
      <c r="E657" s="3" t="s">
        <v>684</v>
      </c>
      <c r="F657" s="2" t="s">
        <v>46</v>
      </c>
      <c r="G657" s="2" t="s">
        <v>685</v>
      </c>
      <c r="H657" s="2" t="s">
        <v>201</v>
      </c>
      <c r="I657" s="13"/>
      <c r="J657" s="2" t="s">
        <v>48</v>
      </c>
      <c r="K657" s="2" t="s">
        <v>677</v>
      </c>
      <c r="L657" s="2"/>
      <c r="M657" s="2" t="s">
        <v>686</v>
      </c>
      <c r="N657" s="2" t="s">
        <v>102</v>
      </c>
      <c r="O657" s="2"/>
      <c r="P657" s="2"/>
      <c r="Q657" s="2"/>
    </row>
    <row r="658" spans="1:17" ht="12.95" customHeight="1" x14ac:dyDescent="0.2">
      <c r="A658" s="4" t="s">
        <v>122</v>
      </c>
      <c r="B658" s="4" t="s">
        <v>31</v>
      </c>
      <c r="C658" s="4"/>
      <c r="D658" s="4"/>
      <c r="E658" s="3"/>
      <c r="F658" s="4"/>
      <c r="G658" s="4"/>
      <c r="H658" s="4"/>
      <c r="I658" s="35"/>
      <c r="J658" s="4"/>
      <c r="K658" s="4"/>
      <c r="L658" s="4"/>
      <c r="M658" s="4"/>
      <c r="N658" s="4"/>
      <c r="O658" s="4"/>
      <c r="P658" s="4"/>
      <c r="Q658" s="4"/>
    </row>
    <row r="659" spans="1:17" ht="12.95" customHeight="1" x14ac:dyDescent="0.2">
      <c r="A659" s="4" t="s">
        <v>123</v>
      </c>
      <c r="B659" s="4" t="s">
        <v>31</v>
      </c>
      <c r="C659" s="4"/>
      <c r="D659" s="4"/>
      <c r="E659" s="3"/>
      <c r="F659" s="4"/>
      <c r="G659" s="4"/>
      <c r="H659" s="4"/>
      <c r="I659" s="35"/>
      <c r="J659" s="4"/>
      <c r="K659" s="4"/>
      <c r="L659" s="4"/>
      <c r="M659" s="4"/>
      <c r="N659" s="4"/>
      <c r="O659" s="4"/>
      <c r="P659" s="4"/>
      <c r="Q659" s="4"/>
    </row>
    <row r="660" spans="1:17" x14ac:dyDescent="0.2">
      <c r="A660" s="4" t="s">
        <v>33</v>
      </c>
      <c r="B660" s="4" t="s">
        <v>34</v>
      </c>
      <c r="C660" s="4" t="s">
        <v>34</v>
      </c>
      <c r="D660" s="4" t="s">
        <v>34</v>
      </c>
      <c r="E660" s="4" t="s">
        <v>647</v>
      </c>
      <c r="F660" s="4" t="s">
        <v>125</v>
      </c>
      <c r="G660" s="4" t="s">
        <v>687</v>
      </c>
      <c r="H660" s="4" t="s">
        <v>230</v>
      </c>
      <c r="I660" s="35" t="s">
        <v>227</v>
      </c>
      <c r="J660" s="4" t="s">
        <v>352</v>
      </c>
      <c r="K660" s="4" t="s">
        <v>508</v>
      </c>
      <c r="L660" s="4"/>
      <c r="M660" s="4" t="s">
        <v>688</v>
      </c>
      <c r="N660" s="4" t="s">
        <v>624</v>
      </c>
      <c r="O660" s="4"/>
      <c r="P660" s="4"/>
      <c r="Q660" s="4"/>
    </row>
    <row r="661" spans="1:17" ht="12.95" customHeight="1" x14ac:dyDescent="0.2">
      <c r="A661" s="2" t="s">
        <v>131</v>
      </c>
      <c r="B661" s="2" t="s">
        <v>42</v>
      </c>
      <c r="C661" s="2" t="s">
        <v>527</v>
      </c>
      <c r="D661" s="2" t="s">
        <v>689</v>
      </c>
      <c r="E661" s="3" t="s">
        <v>233</v>
      </c>
      <c r="F661" s="2" t="s">
        <v>46</v>
      </c>
      <c r="G661" s="2" t="s">
        <v>220</v>
      </c>
      <c r="H661" s="2" t="s">
        <v>201</v>
      </c>
      <c r="I661" s="13"/>
      <c r="J661" s="2" t="s">
        <v>48</v>
      </c>
      <c r="K661" s="2" t="s">
        <v>315</v>
      </c>
      <c r="L661" s="2"/>
      <c r="M661" s="2" t="s">
        <v>73</v>
      </c>
      <c r="N661" s="2" t="s">
        <v>49</v>
      </c>
      <c r="O661" s="2"/>
      <c r="P661" s="2"/>
      <c r="Q661" s="2"/>
    </row>
    <row r="662" spans="1:17" ht="12.95" customHeight="1" x14ac:dyDescent="0.2">
      <c r="A662" s="2" t="s">
        <v>138</v>
      </c>
      <c r="B662" s="2" t="s">
        <v>42</v>
      </c>
      <c r="C662" s="2" t="s">
        <v>489</v>
      </c>
      <c r="D662" s="2" t="s">
        <v>690</v>
      </c>
      <c r="E662" s="3" t="s">
        <v>691</v>
      </c>
      <c r="F662" s="2" t="s">
        <v>46</v>
      </c>
      <c r="G662" s="2" t="s">
        <v>692</v>
      </c>
      <c r="H662" s="2" t="s">
        <v>201</v>
      </c>
      <c r="I662" s="13"/>
      <c r="J662" s="2" t="s">
        <v>48</v>
      </c>
      <c r="K662" s="2" t="s">
        <v>272</v>
      </c>
      <c r="L662" s="2" t="s">
        <v>59</v>
      </c>
      <c r="M662" s="2" t="s">
        <v>693</v>
      </c>
      <c r="N662" s="2" t="s">
        <v>314</v>
      </c>
      <c r="O662" s="2"/>
      <c r="P662" s="2"/>
      <c r="Q662" s="2"/>
    </row>
    <row r="663" spans="1:17" ht="12.95" customHeight="1" x14ac:dyDescent="0.2">
      <c r="A663" s="2" t="s">
        <v>143</v>
      </c>
      <c r="B663" s="2" t="s">
        <v>42</v>
      </c>
      <c r="C663" s="2" t="s">
        <v>426</v>
      </c>
      <c r="D663" s="2" t="s">
        <v>195</v>
      </c>
      <c r="E663" s="3" t="s">
        <v>694</v>
      </c>
      <c r="F663" s="2" t="s">
        <v>46</v>
      </c>
      <c r="G663" s="2" t="s">
        <v>668</v>
      </c>
      <c r="H663" s="2" t="s">
        <v>201</v>
      </c>
      <c r="I663" s="13"/>
      <c r="J663" s="2" t="s">
        <v>48</v>
      </c>
      <c r="K663" s="2" t="s">
        <v>212</v>
      </c>
      <c r="L663" s="2"/>
      <c r="M663" s="2" t="s">
        <v>539</v>
      </c>
      <c r="N663" s="2" t="s">
        <v>428</v>
      </c>
      <c r="O663" s="2"/>
      <c r="P663" s="2"/>
      <c r="Q663" s="2"/>
    </row>
    <row r="664" spans="1:17" ht="12.95" customHeight="1" x14ac:dyDescent="0.2">
      <c r="A664" s="2" t="s">
        <v>148</v>
      </c>
      <c r="B664" s="2" t="s">
        <v>42</v>
      </c>
      <c r="C664" s="2" t="s">
        <v>96</v>
      </c>
      <c r="D664" s="2" t="s">
        <v>150</v>
      </c>
      <c r="E664" s="3" t="s">
        <v>661</v>
      </c>
      <c r="F664" s="2" t="s">
        <v>46</v>
      </c>
      <c r="G664" s="2" t="s">
        <v>100</v>
      </c>
      <c r="H664" s="2" t="s">
        <v>201</v>
      </c>
      <c r="I664" s="13"/>
      <c r="J664" s="2" t="s">
        <v>48</v>
      </c>
      <c r="K664" s="2" t="s">
        <v>560</v>
      </c>
      <c r="L664" s="2"/>
      <c r="M664" s="2" t="s">
        <v>490</v>
      </c>
      <c r="N664" s="2" t="s">
        <v>110</v>
      </c>
      <c r="O664" s="2"/>
      <c r="P664" s="2"/>
      <c r="Q664" s="2"/>
    </row>
    <row r="665" spans="1:17" ht="12.95" customHeight="1" x14ac:dyDescent="0.2">
      <c r="A665" s="2" t="s">
        <v>155</v>
      </c>
      <c r="B665" s="2" t="s">
        <v>42</v>
      </c>
      <c r="C665" s="2" t="s">
        <v>695</v>
      </c>
      <c r="D665" s="2" t="s">
        <v>99</v>
      </c>
      <c r="E665" s="3" t="s">
        <v>276</v>
      </c>
      <c r="F665" s="2" t="s">
        <v>46</v>
      </c>
      <c r="G665" s="2" t="s">
        <v>277</v>
      </c>
      <c r="H665" s="2" t="s">
        <v>201</v>
      </c>
      <c r="I665" s="13"/>
      <c r="J665" s="2" t="s">
        <v>48</v>
      </c>
      <c r="K665" s="2" t="s">
        <v>278</v>
      </c>
      <c r="L665" s="2"/>
      <c r="M665" s="2" t="s">
        <v>120</v>
      </c>
      <c r="N665" s="2" t="s">
        <v>636</v>
      </c>
      <c r="O665" s="2"/>
      <c r="P665" s="2"/>
      <c r="Q665" s="2"/>
    </row>
    <row r="666" spans="1:17" ht="12.95" customHeight="1" x14ac:dyDescent="0.2">
      <c r="A666" s="8" t="s">
        <v>161</v>
      </c>
      <c r="B666" s="8"/>
      <c r="C666" s="8"/>
      <c r="D666" s="8"/>
      <c r="E666" s="5" t="s">
        <v>696</v>
      </c>
      <c r="F666" s="5" t="s">
        <v>163</v>
      </c>
      <c r="G666" s="5" t="s">
        <v>697</v>
      </c>
      <c r="H666" s="5" t="s">
        <v>379</v>
      </c>
      <c r="I666" s="36" t="s">
        <v>336</v>
      </c>
      <c r="J666" s="5" t="s">
        <v>698</v>
      </c>
      <c r="K666" s="5" t="s">
        <v>699</v>
      </c>
      <c r="L666" s="5" t="s">
        <v>59</v>
      </c>
      <c r="M666" s="5" t="s">
        <v>700</v>
      </c>
      <c r="N666" s="5" t="s">
        <v>119</v>
      </c>
      <c r="O666" s="5"/>
      <c r="P666" s="5"/>
      <c r="Q666" s="5"/>
    </row>
    <row r="667" spans="1:17" ht="12.95" customHeight="1" x14ac:dyDescent="0.2">
      <c r="A667" s="8" t="s">
        <v>171</v>
      </c>
      <c r="B667" s="8"/>
      <c r="C667" s="8"/>
      <c r="D667" s="8"/>
      <c r="E667" s="5" t="s">
        <v>696</v>
      </c>
      <c r="F667" s="5" t="s">
        <v>163</v>
      </c>
      <c r="G667" s="5" t="s">
        <v>697</v>
      </c>
      <c r="H667" s="5" t="s">
        <v>379</v>
      </c>
      <c r="I667" s="36" t="s">
        <v>296</v>
      </c>
      <c r="J667" s="5" t="s">
        <v>698</v>
      </c>
      <c r="K667" s="5" t="s">
        <v>699</v>
      </c>
      <c r="L667" s="5" t="s">
        <v>59</v>
      </c>
      <c r="M667" s="5" t="s">
        <v>700</v>
      </c>
      <c r="N667" s="5" t="s">
        <v>119</v>
      </c>
      <c r="O667" s="5"/>
      <c r="P667" s="5"/>
      <c r="Q667" s="5"/>
    </row>
    <row r="668" spans="1:17" ht="12.95" customHeight="1" x14ac:dyDescent="0.2">
      <c r="A668" s="8" t="s">
        <v>173</v>
      </c>
      <c r="B668" s="8"/>
      <c r="C668" s="8"/>
      <c r="D668" s="8"/>
      <c r="E668" s="5">
        <v>153.31</v>
      </c>
      <c r="F668" s="5">
        <v>7</v>
      </c>
      <c r="G668" s="5">
        <v>146.31</v>
      </c>
      <c r="H668" s="5">
        <v>120.5</v>
      </c>
      <c r="I668" s="36">
        <v>0</v>
      </c>
      <c r="J668" s="5">
        <v>134.4</v>
      </c>
      <c r="K668" s="5">
        <v>11.43</v>
      </c>
      <c r="L668" s="5">
        <v>0.48</v>
      </c>
      <c r="M668" s="5">
        <v>14.9</v>
      </c>
      <c r="N668" s="5">
        <v>8.4499999999999993</v>
      </c>
      <c r="O668" s="5"/>
      <c r="P668" s="5"/>
      <c r="Q668" s="5"/>
    </row>
    <row r="669" spans="1:17" x14ac:dyDescent="0.2">
      <c r="I669" s="37"/>
    </row>
    <row r="670" spans="1:17" ht="12.95" customHeight="1" x14ac:dyDescent="0.2">
      <c r="A670" s="9" t="s">
        <v>174</v>
      </c>
      <c r="B670" s="9"/>
      <c r="C670" s="9"/>
      <c r="E670" s="9" t="s">
        <v>180</v>
      </c>
      <c r="F670" s="9"/>
      <c r="G670" s="9"/>
      <c r="I670" s="9" t="s">
        <v>181</v>
      </c>
      <c r="J670" s="9"/>
      <c r="K670" s="9"/>
    </row>
    <row r="671" spans="1:17" ht="12.95" customHeight="1" x14ac:dyDescent="0.2">
      <c r="A671" s="10" t="s">
        <v>175</v>
      </c>
      <c r="B671" s="10"/>
      <c r="C671" s="6">
        <v>16</v>
      </c>
      <c r="E671" s="10" t="s">
        <v>14</v>
      </c>
      <c r="F671" s="10"/>
      <c r="G671" s="6">
        <v>134.4</v>
      </c>
      <c r="I671" s="10" t="s">
        <v>27</v>
      </c>
      <c r="J671" s="10"/>
      <c r="K671" s="26">
        <v>3</v>
      </c>
    </row>
    <row r="672" spans="1:17" ht="12.95" customHeight="1" x14ac:dyDescent="0.2">
      <c r="A672" s="10" t="s">
        <v>1531</v>
      </c>
      <c r="B672" s="10"/>
      <c r="C672" s="6">
        <v>22</v>
      </c>
      <c r="E672" s="10" t="s">
        <v>15</v>
      </c>
      <c r="F672" s="10"/>
      <c r="G672" s="6">
        <v>11.43</v>
      </c>
      <c r="I672" s="10" t="s">
        <v>22</v>
      </c>
      <c r="J672" s="10"/>
      <c r="K672" s="26">
        <v>3</v>
      </c>
    </row>
    <row r="673" spans="1:17" ht="12.95" customHeight="1" x14ac:dyDescent="0.2">
      <c r="A673" s="10" t="s">
        <v>176</v>
      </c>
      <c r="B673" s="10"/>
      <c r="C673" s="6">
        <v>153.31</v>
      </c>
      <c r="E673" s="10" t="s">
        <v>267</v>
      </c>
      <c r="F673" s="10"/>
      <c r="G673" s="6">
        <v>0.48</v>
      </c>
      <c r="I673" s="10" t="s">
        <v>36</v>
      </c>
      <c r="J673" s="10"/>
      <c r="K673" s="26">
        <v>2</v>
      </c>
    </row>
    <row r="674" spans="1:17" ht="12.95" customHeight="1" x14ac:dyDescent="0.2">
      <c r="A674" s="10" t="s">
        <v>177</v>
      </c>
      <c r="B674" s="10"/>
      <c r="C674" s="6">
        <v>120.5</v>
      </c>
      <c r="I674" s="39" t="s">
        <v>1591</v>
      </c>
      <c r="J674" s="19"/>
      <c r="K674" s="20">
        <v>1.5</v>
      </c>
    </row>
    <row r="675" spans="1:17" ht="12.95" customHeight="1" x14ac:dyDescent="0.2">
      <c r="A675" s="10" t="s">
        <v>11</v>
      </c>
      <c r="B675" s="10"/>
      <c r="C675" s="6">
        <v>146.31</v>
      </c>
      <c r="I675" s="39" t="s">
        <v>1592</v>
      </c>
      <c r="J675" s="19"/>
      <c r="K675" s="38">
        <v>0</v>
      </c>
    </row>
    <row r="676" spans="1:17" ht="12.95" customHeight="1" x14ac:dyDescent="0.25">
      <c r="A676" s="10" t="s">
        <v>178</v>
      </c>
      <c r="B676" s="10"/>
      <c r="C676" s="30">
        <v>8.6</v>
      </c>
      <c r="I676" s="41" t="s">
        <v>1593</v>
      </c>
      <c r="J676" s="40"/>
      <c r="K676" s="42">
        <f>K674+K675</f>
        <v>1.5</v>
      </c>
    </row>
    <row r="677" spans="1:17" ht="12.95" customHeight="1" x14ac:dyDescent="0.2">
      <c r="A677" s="28" t="s">
        <v>1571</v>
      </c>
      <c r="B677" s="27"/>
      <c r="C677" s="31">
        <v>-1</v>
      </c>
    </row>
    <row r="678" spans="1:17" ht="12.95" customHeight="1" x14ac:dyDescent="0.2">
      <c r="A678" s="29" t="s">
        <v>1572</v>
      </c>
      <c r="B678" s="29"/>
      <c r="C678" s="32">
        <f>C676+C677</f>
        <v>7.6</v>
      </c>
    </row>
    <row r="679" spans="1:17" x14ac:dyDescent="0.2">
      <c r="A679" s="10" t="s">
        <v>10</v>
      </c>
      <c r="B679" s="10"/>
      <c r="C679" s="6">
        <v>7</v>
      </c>
    </row>
    <row r="680" spans="1:17" x14ac:dyDescent="0.2">
      <c r="A680" t="s">
        <v>1615</v>
      </c>
      <c r="C680" cm="1">
        <f t="array" ref="C680">IFERROR(SUMPRODUCT(ISNUMBER(SEARCH("מילואים",O632:O669))*(C632:C669&lt;&gt;"")*(J632:J669+0))*24,0)</f>
        <v>0</v>
      </c>
    </row>
    <row r="681" spans="1:17" ht="12.95" customHeight="1" x14ac:dyDescent="0.2">
      <c r="A681" s="7" t="s">
        <v>701</v>
      </c>
      <c r="B681" s="7"/>
      <c r="C681" s="7"/>
      <c r="D681" s="7" t="s">
        <v>1</v>
      </c>
      <c r="E681" s="7"/>
      <c r="F681" s="7"/>
      <c r="G681" s="7"/>
      <c r="H681" s="7" t="s">
        <v>2</v>
      </c>
      <c r="I681" s="7"/>
      <c r="J681" s="7"/>
      <c r="K681" s="7"/>
      <c r="L681" s="7"/>
      <c r="M681" s="7"/>
      <c r="N681" s="7"/>
      <c r="O681" s="7"/>
      <c r="P681" s="7"/>
      <c r="Q681" s="7"/>
    </row>
    <row r="682" spans="1:17" ht="12.95" customHeight="1" x14ac:dyDescent="0.2">
      <c r="A682" s="7" t="s">
        <v>3</v>
      </c>
      <c r="B682" s="7"/>
      <c r="C682" s="7"/>
      <c r="D682" s="7"/>
      <c r="E682" s="7"/>
      <c r="F682" s="7">
        <v>101</v>
      </c>
      <c r="G682" s="7"/>
      <c r="H682" s="7" t="s">
        <v>183</v>
      </c>
      <c r="I682" s="7"/>
      <c r="J682" s="7"/>
      <c r="K682" s="7"/>
      <c r="L682" s="7"/>
      <c r="M682" s="7"/>
      <c r="N682" s="7"/>
      <c r="O682" s="7"/>
      <c r="P682" s="7"/>
      <c r="Q682" s="7"/>
    </row>
    <row r="683" spans="1:17" ht="22.5" customHeight="1" x14ac:dyDescent="0.2">
      <c r="A683" s="1" t="s">
        <v>5</v>
      </c>
      <c r="B683" s="1" t="s">
        <v>6</v>
      </c>
      <c r="C683" s="1" t="s">
        <v>7</v>
      </c>
      <c r="D683" s="1" t="s">
        <v>8</v>
      </c>
      <c r="E683" s="1" t="s">
        <v>9</v>
      </c>
      <c r="F683" s="1" t="s">
        <v>10</v>
      </c>
      <c r="G683" s="1" t="s">
        <v>11</v>
      </c>
      <c r="H683" s="1" t="s">
        <v>12</v>
      </c>
      <c r="I683" s="1" t="s">
        <v>13</v>
      </c>
      <c r="J683" s="1" t="s">
        <v>14</v>
      </c>
      <c r="K683" s="1" t="s">
        <v>15</v>
      </c>
      <c r="L683" s="1" t="s">
        <v>267</v>
      </c>
      <c r="M683" s="1" t="s">
        <v>16</v>
      </c>
      <c r="N683" s="1" t="s">
        <v>17</v>
      </c>
      <c r="O683" s="109" t="s">
        <v>1718</v>
      </c>
      <c r="P683" s="1" t="s">
        <v>19</v>
      </c>
      <c r="Q683" s="1" t="s">
        <v>20</v>
      </c>
    </row>
    <row r="684" spans="1:17" ht="12.95" customHeight="1" x14ac:dyDescent="0.2">
      <c r="A684" s="2" t="s">
        <v>21</v>
      </c>
      <c r="B684" s="2" t="s">
        <v>22</v>
      </c>
      <c r="C684" s="2"/>
      <c r="D684" s="2"/>
      <c r="E684" s="3"/>
      <c r="F684" s="2"/>
      <c r="G684" s="2"/>
      <c r="H684" s="2"/>
      <c r="I684" s="13"/>
      <c r="J684" s="2"/>
      <c r="K684" s="2"/>
      <c r="L684" s="2"/>
      <c r="M684" s="2"/>
      <c r="N684" s="2"/>
      <c r="O684" s="2" t="s">
        <v>214</v>
      </c>
      <c r="P684" s="2" t="s">
        <v>25</v>
      </c>
      <c r="Q684" s="2"/>
    </row>
    <row r="685" spans="1:17" ht="12.95" customHeight="1" x14ac:dyDescent="0.2">
      <c r="A685" s="2" t="s">
        <v>26</v>
      </c>
      <c r="B685" s="2" t="s">
        <v>27</v>
      </c>
      <c r="C685" s="2"/>
      <c r="D685" s="2"/>
      <c r="E685" s="3"/>
      <c r="F685" s="2"/>
      <c r="G685" s="2"/>
      <c r="H685" s="2"/>
      <c r="I685" s="13"/>
      <c r="J685" s="2"/>
      <c r="K685" s="2"/>
      <c r="L685" s="2"/>
      <c r="M685" s="2"/>
      <c r="N685" s="2"/>
      <c r="O685" s="2" t="s">
        <v>214</v>
      </c>
      <c r="P685" s="2" t="s">
        <v>29</v>
      </c>
      <c r="Q685" s="2"/>
    </row>
    <row r="686" spans="1:17" ht="12.95" customHeight="1" x14ac:dyDescent="0.2">
      <c r="A686" s="155" t="s">
        <v>30</v>
      </c>
      <c r="B686" s="155" t="s">
        <v>31</v>
      </c>
      <c r="C686" s="155" t="s">
        <v>702</v>
      </c>
      <c r="D686" s="155" t="s">
        <v>541</v>
      </c>
      <c r="E686" s="152" t="s">
        <v>136</v>
      </c>
      <c r="F686" s="155"/>
      <c r="G686" s="155" t="s">
        <v>136</v>
      </c>
      <c r="H686" s="155"/>
      <c r="I686" s="155"/>
      <c r="J686" s="155"/>
      <c r="K686" s="155" t="s">
        <v>136</v>
      </c>
      <c r="L686" s="155"/>
      <c r="M686" s="155"/>
      <c r="N686" s="155"/>
      <c r="O686" s="155" t="s">
        <v>214</v>
      </c>
      <c r="P686" s="4"/>
      <c r="Q686" s="4"/>
    </row>
    <row r="687" spans="1:17" ht="12.95" customHeight="1" x14ac:dyDescent="0.2">
      <c r="A687" s="4" t="s">
        <v>32</v>
      </c>
      <c r="B687" s="4" t="s">
        <v>31</v>
      </c>
      <c r="C687" s="4"/>
      <c r="D687" s="4"/>
      <c r="E687" s="3"/>
      <c r="F687" s="4"/>
      <c r="G687" s="4"/>
      <c r="H687" s="4"/>
      <c r="I687" s="35"/>
      <c r="J687" s="4"/>
      <c r="K687" s="4"/>
      <c r="L687" s="4"/>
      <c r="M687" s="4"/>
      <c r="N687" s="4"/>
      <c r="O687" s="4" t="s">
        <v>214</v>
      </c>
      <c r="P687" s="4"/>
      <c r="Q687" s="4"/>
    </row>
    <row r="688" spans="1:17" x14ac:dyDescent="0.2">
      <c r="A688" s="4" t="s">
        <v>33</v>
      </c>
      <c r="B688" s="4" t="s">
        <v>34</v>
      </c>
      <c r="C688" s="4" t="s">
        <v>34</v>
      </c>
      <c r="D688" s="4" t="s">
        <v>34</v>
      </c>
      <c r="E688" s="4" t="s">
        <v>136</v>
      </c>
      <c r="F688" s="4"/>
      <c r="G688" s="4" t="s">
        <v>136</v>
      </c>
      <c r="H688" s="4"/>
      <c r="I688" s="35"/>
      <c r="J688" s="4"/>
      <c r="K688" s="4" t="s">
        <v>136</v>
      </c>
      <c r="L688" s="4"/>
      <c r="M688" s="4"/>
      <c r="N688" s="4"/>
      <c r="O688" s="4"/>
      <c r="P688" s="4"/>
      <c r="Q688" s="4"/>
    </row>
    <row r="689" spans="1:17" ht="12.95" customHeight="1" x14ac:dyDescent="0.2">
      <c r="A689" s="2" t="s">
        <v>35</v>
      </c>
      <c r="B689" s="2" t="s">
        <v>36</v>
      </c>
      <c r="C689" s="2"/>
      <c r="D689" s="2"/>
      <c r="E689" s="3"/>
      <c r="F689" s="2"/>
      <c r="G689" s="2"/>
      <c r="H689" s="2"/>
      <c r="I689" s="13"/>
      <c r="J689" s="2"/>
      <c r="K689" s="2"/>
      <c r="L689" s="2"/>
      <c r="M689" s="2"/>
      <c r="N689" s="2"/>
      <c r="O689" s="2" t="s">
        <v>214</v>
      </c>
      <c r="P689" s="2"/>
      <c r="Q689" s="2"/>
    </row>
    <row r="690" spans="1:17" ht="12.95" customHeight="1" x14ac:dyDescent="0.2">
      <c r="A690" s="2" t="s">
        <v>38</v>
      </c>
      <c r="B690" s="2" t="s">
        <v>36</v>
      </c>
      <c r="C690" s="2"/>
      <c r="D690" s="2"/>
      <c r="E690" s="3"/>
      <c r="F690" s="2"/>
      <c r="G690" s="2"/>
      <c r="H690" s="2"/>
      <c r="I690" s="13"/>
      <c r="J690" s="2"/>
      <c r="K690" s="2"/>
      <c r="L690" s="2"/>
      <c r="M690" s="2"/>
      <c r="N690" s="2"/>
      <c r="O690" s="2" t="s">
        <v>214</v>
      </c>
      <c r="P690" s="2"/>
      <c r="Q690" s="2"/>
    </row>
    <row r="691" spans="1:17" ht="12.95" customHeight="1" x14ac:dyDescent="0.2">
      <c r="A691" s="2" t="s">
        <v>39</v>
      </c>
      <c r="B691" s="2" t="s">
        <v>22</v>
      </c>
      <c r="C691" s="2"/>
      <c r="D691" s="2"/>
      <c r="E691" s="3"/>
      <c r="F691" s="2"/>
      <c r="G691" s="2"/>
      <c r="H691" s="2"/>
      <c r="I691" s="13"/>
      <c r="J691" s="2"/>
      <c r="K691" s="2"/>
      <c r="L691" s="2"/>
      <c r="M691" s="2"/>
      <c r="N691" s="2"/>
      <c r="O691" s="2" t="s">
        <v>214</v>
      </c>
      <c r="P691" s="2" t="s">
        <v>25</v>
      </c>
      <c r="Q691" s="2"/>
    </row>
    <row r="692" spans="1:17" ht="12.95" customHeight="1" x14ac:dyDescent="0.2">
      <c r="A692" s="2" t="s">
        <v>40</v>
      </c>
      <c r="B692" s="2" t="s">
        <v>27</v>
      </c>
      <c r="C692" s="2"/>
      <c r="D692" s="2"/>
      <c r="E692" s="3"/>
      <c r="F692" s="2"/>
      <c r="G692" s="2"/>
      <c r="H692" s="2"/>
      <c r="I692" s="13"/>
      <c r="J692" s="2"/>
      <c r="K692" s="2"/>
      <c r="L692" s="2"/>
      <c r="M692" s="2"/>
      <c r="N692" s="2"/>
      <c r="O692" s="2" t="s">
        <v>214</v>
      </c>
      <c r="P692" s="2" t="s">
        <v>25</v>
      </c>
      <c r="Q692" s="2"/>
    </row>
    <row r="693" spans="1:17" ht="12.95" customHeight="1" x14ac:dyDescent="0.2">
      <c r="A693" s="2" t="s">
        <v>41</v>
      </c>
      <c r="B693" s="2" t="s">
        <v>42</v>
      </c>
      <c r="C693" s="2"/>
      <c r="D693" s="2"/>
      <c r="E693" s="3"/>
      <c r="F693" s="2"/>
      <c r="G693" s="2"/>
      <c r="H693" s="2"/>
      <c r="I693" s="13"/>
      <c r="J693" s="2"/>
      <c r="K693" s="2"/>
      <c r="L693" s="2"/>
      <c r="M693" s="2"/>
      <c r="N693" s="2"/>
      <c r="O693" s="2" t="s">
        <v>214</v>
      </c>
      <c r="P693" s="2"/>
      <c r="Q693" s="2"/>
    </row>
    <row r="694" spans="1:17" ht="12.95" customHeight="1" x14ac:dyDescent="0.2">
      <c r="A694" s="4" t="s">
        <v>51</v>
      </c>
      <c r="B694" s="4" t="s">
        <v>31</v>
      </c>
      <c r="C694" s="4"/>
      <c r="D694" s="4"/>
      <c r="E694" s="3"/>
      <c r="F694" s="4"/>
      <c r="G694" s="4"/>
      <c r="H694" s="4"/>
      <c r="I694" s="35"/>
      <c r="J694" s="4"/>
      <c r="K694" s="4"/>
      <c r="L694" s="4"/>
      <c r="M694" s="4"/>
      <c r="N694" s="4"/>
      <c r="O694" s="4" t="s">
        <v>214</v>
      </c>
      <c r="P694" s="4"/>
      <c r="Q694" s="4"/>
    </row>
    <row r="695" spans="1:17" ht="12.95" customHeight="1" x14ac:dyDescent="0.2">
      <c r="A695" s="4" t="s">
        <v>52</v>
      </c>
      <c r="B695" s="4" t="s">
        <v>31</v>
      </c>
      <c r="C695" s="4"/>
      <c r="D695" s="4"/>
      <c r="E695" s="3"/>
      <c r="F695" s="4"/>
      <c r="G695" s="4"/>
      <c r="H695" s="4"/>
      <c r="I695" s="35"/>
      <c r="J695" s="4"/>
      <c r="K695" s="4"/>
      <c r="L695" s="4"/>
      <c r="M695" s="4"/>
      <c r="N695" s="4"/>
      <c r="O695" s="4" t="s">
        <v>214</v>
      </c>
      <c r="P695" s="4"/>
      <c r="Q695" s="4"/>
    </row>
    <row r="696" spans="1:17" x14ac:dyDescent="0.2">
      <c r="A696" s="4" t="s">
        <v>33</v>
      </c>
      <c r="B696" s="4" t="s">
        <v>34</v>
      </c>
      <c r="C696" s="4" t="s">
        <v>34</v>
      </c>
      <c r="D696" s="4" t="s">
        <v>34</v>
      </c>
      <c r="E696" s="4"/>
      <c r="F696" s="4"/>
      <c r="G696" s="4"/>
      <c r="H696" s="4"/>
      <c r="I696" s="35"/>
      <c r="J696" s="4"/>
      <c r="K696" s="4"/>
      <c r="L696" s="4"/>
      <c r="M696" s="4"/>
      <c r="N696" s="4"/>
      <c r="O696" s="4"/>
      <c r="P696" s="4"/>
      <c r="Q696" s="4"/>
    </row>
    <row r="697" spans="1:17" ht="12.95" customHeight="1" x14ac:dyDescent="0.2">
      <c r="A697" s="2" t="s">
        <v>54</v>
      </c>
      <c r="B697" s="2" t="s">
        <v>42</v>
      </c>
      <c r="C697" s="2" t="s">
        <v>703</v>
      </c>
      <c r="D697" s="2" t="s">
        <v>704</v>
      </c>
      <c r="E697" s="3" t="s">
        <v>71</v>
      </c>
      <c r="F697" s="2" t="s">
        <v>46</v>
      </c>
      <c r="G697" s="2" t="s">
        <v>72</v>
      </c>
      <c r="H697" s="2" t="s">
        <v>201</v>
      </c>
      <c r="I697" s="13"/>
      <c r="J697" s="2" t="s">
        <v>48</v>
      </c>
      <c r="K697" s="2" t="s">
        <v>73</v>
      </c>
      <c r="L697" s="2"/>
      <c r="M697" s="2" t="s">
        <v>512</v>
      </c>
      <c r="N697" s="2" t="s">
        <v>705</v>
      </c>
      <c r="O697" s="2"/>
      <c r="P697" s="2"/>
      <c r="Q697" s="2"/>
    </row>
    <row r="698" spans="1:17" ht="12.95" customHeight="1" x14ac:dyDescent="0.2">
      <c r="A698" s="2" t="s">
        <v>61</v>
      </c>
      <c r="B698" s="2" t="s">
        <v>42</v>
      </c>
      <c r="C698" s="2" t="s">
        <v>706</v>
      </c>
      <c r="D698" s="2" t="s">
        <v>519</v>
      </c>
      <c r="E698" s="3" t="s">
        <v>640</v>
      </c>
      <c r="F698" s="2" t="s">
        <v>46</v>
      </c>
      <c r="G698" s="2" t="s">
        <v>538</v>
      </c>
      <c r="H698" s="2" t="s">
        <v>201</v>
      </c>
      <c r="I698" s="13"/>
      <c r="J698" s="2" t="s">
        <v>48</v>
      </c>
      <c r="K698" s="2" t="s">
        <v>86</v>
      </c>
      <c r="L698" s="2"/>
      <c r="M698" s="2" t="s">
        <v>384</v>
      </c>
      <c r="N698" s="2" t="s">
        <v>59</v>
      </c>
      <c r="O698" s="2"/>
      <c r="P698" s="2"/>
      <c r="Q698" s="2"/>
    </row>
    <row r="699" spans="1:17" ht="12.95" customHeight="1" x14ac:dyDescent="0.2">
      <c r="A699" s="2" t="s">
        <v>68</v>
      </c>
      <c r="B699" s="2" t="s">
        <v>42</v>
      </c>
      <c r="C699" s="2" t="s">
        <v>707</v>
      </c>
      <c r="D699" s="2" t="s">
        <v>708</v>
      </c>
      <c r="E699" s="3" t="s">
        <v>709</v>
      </c>
      <c r="F699" s="2"/>
      <c r="G699" s="2" t="s">
        <v>709</v>
      </c>
      <c r="H699" s="2" t="s">
        <v>201</v>
      </c>
      <c r="I699" s="13" t="s">
        <v>710</v>
      </c>
      <c r="J699" s="2" t="s">
        <v>709</v>
      </c>
      <c r="K699" s="2"/>
      <c r="L699" s="2"/>
      <c r="M699" s="2"/>
      <c r="N699" s="2" t="s">
        <v>541</v>
      </c>
      <c r="O699" s="2"/>
      <c r="P699" s="2" t="s">
        <v>711</v>
      </c>
      <c r="Q699" s="2"/>
    </row>
    <row r="700" spans="1:17" ht="12.95" customHeight="1" x14ac:dyDescent="0.2">
      <c r="A700" s="2" t="s">
        <v>75</v>
      </c>
      <c r="B700" s="2" t="s">
        <v>42</v>
      </c>
      <c r="C700" s="2" t="s">
        <v>592</v>
      </c>
      <c r="D700" s="2" t="s">
        <v>144</v>
      </c>
      <c r="E700" s="3" t="s">
        <v>712</v>
      </c>
      <c r="F700" s="2" t="s">
        <v>46</v>
      </c>
      <c r="G700" s="2" t="s">
        <v>306</v>
      </c>
      <c r="H700" s="2" t="s">
        <v>201</v>
      </c>
      <c r="I700" s="13"/>
      <c r="J700" s="2" t="s">
        <v>48</v>
      </c>
      <c r="K700" s="2" t="s">
        <v>147</v>
      </c>
      <c r="L700" s="2"/>
      <c r="M700" s="2" t="s">
        <v>154</v>
      </c>
      <c r="N700" s="2" t="s">
        <v>146</v>
      </c>
      <c r="O700" s="2"/>
      <c r="P700" s="2"/>
      <c r="Q700" s="2"/>
    </row>
    <row r="701" spans="1:17" ht="12.95" customHeight="1" x14ac:dyDescent="0.2">
      <c r="A701" s="2" t="s">
        <v>81</v>
      </c>
      <c r="B701" s="2" t="s">
        <v>42</v>
      </c>
      <c r="C701" s="2" t="s">
        <v>43</v>
      </c>
      <c r="D701" s="2" t="s">
        <v>713</v>
      </c>
      <c r="E701" s="3" t="s">
        <v>714</v>
      </c>
      <c r="F701" s="2"/>
      <c r="G701" s="2" t="s">
        <v>714</v>
      </c>
      <c r="H701" s="2" t="s">
        <v>201</v>
      </c>
      <c r="I701" s="13" t="s">
        <v>715</v>
      </c>
      <c r="J701" s="2" t="s">
        <v>714</v>
      </c>
      <c r="K701" s="2"/>
      <c r="L701" s="2"/>
      <c r="M701" s="2"/>
      <c r="N701" s="2" t="s">
        <v>50</v>
      </c>
      <c r="O701" s="2"/>
      <c r="P701" s="2"/>
      <c r="Q701" s="2"/>
    </row>
    <row r="702" spans="1:17" ht="12.95" customHeight="1" x14ac:dyDescent="0.2">
      <c r="A702" s="4" t="s">
        <v>87</v>
      </c>
      <c r="B702" s="4" t="s">
        <v>31</v>
      </c>
      <c r="C702" s="4"/>
      <c r="D702" s="4"/>
      <c r="E702" s="3"/>
      <c r="F702" s="4"/>
      <c r="G702" s="4"/>
      <c r="H702" s="4"/>
      <c r="I702" s="35"/>
      <c r="J702" s="4"/>
      <c r="K702" s="4"/>
      <c r="L702" s="4"/>
      <c r="M702" s="4"/>
      <c r="N702" s="4"/>
      <c r="O702" s="4"/>
      <c r="P702" s="4"/>
      <c r="Q702" s="4"/>
    </row>
    <row r="703" spans="1:17" ht="12.95" customHeight="1" x14ac:dyDescent="0.2">
      <c r="A703" s="4" t="s">
        <v>88</v>
      </c>
      <c r="B703" s="4" t="s">
        <v>31</v>
      </c>
      <c r="C703" s="4"/>
      <c r="D703" s="4"/>
      <c r="E703" s="3"/>
      <c r="F703" s="4"/>
      <c r="G703" s="4"/>
      <c r="H703" s="4"/>
      <c r="I703" s="35"/>
      <c r="J703" s="4"/>
      <c r="K703" s="4"/>
      <c r="L703" s="4"/>
      <c r="M703" s="4"/>
      <c r="N703" s="4"/>
      <c r="O703" s="4"/>
      <c r="P703" s="4"/>
      <c r="Q703" s="4"/>
    </row>
    <row r="704" spans="1:17" x14ac:dyDescent="0.2">
      <c r="A704" s="4" t="s">
        <v>33</v>
      </c>
      <c r="B704" s="4" t="s">
        <v>34</v>
      </c>
      <c r="C704" s="4" t="s">
        <v>34</v>
      </c>
      <c r="D704" s="4" t="s">
        <v>34</v>
      </c>
      <c r="E704" s="4" t="s">
        <v>716</v>
      </c>
      <c r="F704" s="4" t="s">
        <v>125</v>
      </c>
      <c r="G704" s="4" t="s">
        <v>717</v>
      </c>
      <c r="H704" s="4" t="s">
        <v>331</v>
      </c>
      <c r="I704" s="35" t="s">
        <v>718</v>
      </c>
      <c r="J704" s="4" t="s">
        <v>546</v>
      </c>
      <c r="K704" s="4" t="s">
        <v>719</v>
      </c>
      <c r="L704" s="4"/>
      <c r="M704" s="4" t="s">
        <v>720</v>
      </c>
      <c r="N704" s="4" t="s">
        <v>98</v>
      </c>
      <c r="O704" s="4"/>
      <c r="P704" s="4"/>
      <c r="Q704" s="4"/>
    </row>
    <row r="705" spans="1:17" ht="12.95" customHeight="1" x14ac:dyDescent="0.2">
      <c r="A705" s="2" t="s">
        <v>97</v>
      </c>
      <c r="B705" s="2" t="s">
        <v>42</v>
      </c>
      <c r="C705" s="2" t="s">
        <v>721</v>
      </c>
      <c r="D705" s="2" t="s">
        <v>722</v>
      </c>
      <c r="E705" s="3" t="s">
        <v>394</v>
      </c>
      <c r="F705" s="2" t="s">
        <v>46</v>
      </c>
      <c r="G705" s="2" t="s">
        <v>208</v>
      </c>
      <c r="H705" s="2" t="s">
        <v>201</v>
      </c>
      <c r="I705" s="13"/>
      <c r="J705" s="2" t="s">
        <v>48</v>
      </c>
      <c r="K705" s="2" t="s">
        <v>634</v>
      </c>
      <c r="L705" s="2"/>
      <c r="M705" s="2" t="s">
        <v>67</v>
      </c>
      <c r="N705" s="2" t="s">
        <v>85</v>
      </c>
      <c r="O705" s="2"/>
      <c r="P705" s="2"/>
      <c r="Q705" s="2"/>
    </row>
    <row r="706" spans="1:17" ht="12.95" customHeight="1" x14ac:dyDescent="0.2">
      <c r="A706" s="2" t="s">
        <v>104</v>
      </c>
      <c r="B706" s="2" t="s">
        <v>42</v>
      </c>
      <c r="C706" s="2" t="s">
        <v>723</v>
      </c>
      <c r="D706" s="2" t="s">
        <v>724</v>
      </c>
      <c r="E706" s="3" t="s">
        <v>725</v>
      </c>
      <c r="F706" s="2" t="s">
        <v>46</v>
      </c>
      <c r="G706" s="2" t="s">
        <v>726</v>
      </c>
      <c r="H706" s="2" t="s">
        <v>201</v>
      </c>
      <c r="I706" s="13"/>
      <c r="J706" s="2" t="s">
        <v>48</v>
      </c>
      <c r="K706" s="2" t="s">
        <v>154</v>
      </c>
      <c r="L706" s="2"/>
      <c r="M706" s="2" t="s">
        <v>95</v>
      </c>
      <c r="N706" s="2"/>
      <c r="O706" s="2"/>
      <c r="P706" s="2"/>
      <c r="Q706" s="2"/>
    </row>
    <row r="707" spans="1:17" ht="12.95" customHeight="1" x14ac:dyDescent="0.2">
      <c r="A707" s="2" t="s">
        <v>112</v>
      </c>
      <c r="B707" s="2" t="s">
        <v>22</v>
      </c>
      <c r="C707" s="2"/>
      <c r="D707" s="2"/>
      <c r="E707" s="3"/>
      <c r="F707" s="2"/>
      <c r="G707" s="2"/>
      <c r="H707" s="2" t="s">
        <v>227</v>
      </c>
      <c r="I707" s="13" t="s">
        <v>227</v>
      </c>
      <c r="J707" s="2"/>
      <c r="K707" s="2"/>
      <c r="L707" s="2"/>
      <c r="M707" s="2"/>
      <c r="N707" s="2"/>
      <c r="O707" s="2" t="s">
        <v>24</v>
      </c>
      <c r="P707" s="2"/>
      <c r="Q707" s="2"/>
    </row>
    <row r="708" spans="1:17" ht="12.95" customHeight="1" x14ac:dyDescent="0.2">
      <c r="A708" s="2" t="s">
        <v>114</v>
      </c>
      <c r="B708" s="2" t="s">
        <v>27</v>
      </c>
      <c r="C708" s="2"/>
      <c r="D708" s="2"/>
      <c r="E708" s="3"/>
      <c r="F708" s="2"/>
      <c r="G708" s="2"/>
      <c r="H708" s="2"/>
      <c r="I708" s="13"/>
      <c r="J708" s="2"/>
      <c r="K708" s="2"/>
      <c r="L708" s="2"/>
      <c r="M708" s="2"/>
      <c r="N708" s="2"/>
      <c r="O708" s="2" t="s">
        <v>28</v>
      </c>
      <c r="P708" s="2" t="s">
        <v>111</v>
      </c>
      <c r="Q708" s="2"/>
    </row>
    <row r="709" spans="1:17" ht="12.95" customHeight="1" x14ac:dyDescent="0.2">
      <c r="A709" s="2" t="s">
        <v>115</v>
      </c>
      <c r="B709" s="2" t="s">
        <v>42</v>
      </c>
      <c r="C709" s="2" t="s">
        <v>592</v>
      </c>
      <c r="D709" s="2" t="s">
        <v>727</v>
      </c>
      <c r="E709" s="3" t="s">
        <v>394</v>
      </c>
      <c r="F709" s="2" t="s">
        <v>46</v>
      </c>
      <c r="G709" s="2" t="s">
        <v>208</v>
      </c>
      <c r="H709" s="2" t="s">
        <v>201</v>
      </c>
      <c r="I709" s="13"/>
      <c r="J709" s="2" t="s">
        <v>48</v>
      </c>
      <c r="K709" s="2" t="s">
        <v>634</v>
      </c>
      <c r="L709" s="2"/>
      <c r="M709" s="2" t="s">
        <v>67</v>
      </c>
      <c r="N709" s="2" t="s">
        <v>146</v>
      </c>
      <c r="O709" s="2"/>
      <c r="P709" s="2"/>
      <c r="Q709" s="2"/>
    </row>
    <row r="710" spans="1:17" ht="12.95" customHeight="1" x14ac:dyDescent="0.2">
      <c r="A710" s="4" t="s">
        <v>122</v>
      </c>
      <c r="B710" s="4" t="s">
        <v>31</v>
      </c>
      <c r="C710" s="4"/>
      <c r="D710" s="4"/>
      <c r="E710" s="3"/>
      <c r="F710" s="4"/>
      <c r="G710" s="4"/>
      <c r="H710" s="4"/>
      <c r="I710" s="35"/>
      <c r="J710" s="4"/>
      <c r="K710" s="4"/>
      <c r="L710" s="4"/>
      <c r="M710" s="4"/>
      <c r="N710" s="4"/>
      <c r="O710" s="4"/>
      <c r="P710" s="4"/>
      <c r="Q710" s="4"/>
    </row>
    <row r="711" spans="1:17" ht="12.95" customHeight="1" x14ac:dyDescent="0.2">
      <c r="A711" s="4" t="s">
        <v>123</v>
      </c>
      <c r="B711" s="4" t="s">
        <v>31</v>
      </c>
      <c r="C711" s="4"/>
      <c r="D711" s="4"/>
      <c r="E711" s="3"/>
      <c r="F711" s="4"/>
      <c r="G711" s="4"/>
      <c r="H711" s="4"/>
      <c r="I711" s="35"/>
      <c r="J711" s="4"/>
      <c r="K711" s="4"/>
      <c r="L711" s="4"/>
      <c r="M711" s="4"/>
      <c r="N711" s="4"/>
      <c r="O711" s="4"/>
      <c r="P711" s="4"/>
      <c r="Q711" s="4"/>
    </row>
    <row r="712" spans="1:17" x14ac:dyDescent="0.2">
      <c r="A712" s="4" t="s">
        <v>33</v>
      </c>
      <c r="B712" s="4" t="s">
        <v>34</v>
      </c>
      <c r="C712" s="4" t="s">
        <v>34</v>
      </c>
      <c r="D712" s="4" t="s">
        <v>34</v>
      </c>
      <c r="E712" s="4" t="s">
        <v>728</v>
      </c>
      <c r="F712" s="4" t="s">
        <v>125</v>
      </c>
      <c r="G712" s="4" t="s">
        <v>729</v>
      </c>
      <c r="H712" s="4" t="s">
        <v>730</v>
      </c>
      <c r="I712" s="35" t="s">
        <v>227</v>
      </c>
      <c r="J712" s="4" t="s">
        <v>352</v>
      </c>
      <c r="K712" s="4" t="s">
        <v>731</v>
      </c>
      <c r="L712" s="4"/>
      <c r="M712" s="4" t="s">
        <v>192</v>
      </c>
      <c r="N712" s="4" t="s">
        <v>360</v>
      </c>
      <c r="O712" s="4"/>
      <c r="P712" s="4"/>
      <c r="Q712" s="4"/>
    </row>
    <row r="713" spans="1:17" ht="12.95" customHeight="1" x14ac:dyDescent="0.2">
      <c r="A713" s="2" t="s">
        <v>131</v>
      </c>
      <c r="B713" s="2" t="s">
        <v>42</v>
      </c>
      <c r="C713" s="2" t="s">
        <v>732</v>
      </c>
      <c r="D713" s="2" t="s">
        <v>733</v>
      </c>
      <c r="E713" s="3" t="s">
        <v>734</v>
      </c>
      <c r="F713" s="2" t="s">
        <v>46</v>
      </c>
      <c r="G713" s="2" t="s">
        <v>262</v>
      </c>
      <c r="H713" s="2" t="s">
        <v>201</v>
      </c>
      <c r="I713" s="13"/>
      <c r="J713" s="2" t="s">
        <v>48</v>
      </c>
      <c r="K713" s="2" t="s">
        <v>272</v>
      </c>
      <c r="L713" s="2" t="s">
        <v>290</v>
      </c>
      <c r="M713" s="2" t="s">
        <v>610</v>
      </c>
      <c r="N713" s="2" t="s">
        <v>159</v>
      </c>
      <c r="O713" s="2"/>
      <c r="P713" s="2"/>
      <c r="Q713" s="2"/>
    </row>
    <row r="714" spans="1:17" ht="12.95" customHeight="1" x14ac:dyDescent="0.2">
      <c r="A714" s="2" t="s">
        <v>138</v>
      </c>
      <c r="B714" s="2" t="s">
        <v>42</v>
      </c>
      <c r="C714" s="2" t="s">
        <v>735</v>
      </c>
      <c r="D714" s="2" t="s">
        <v>736</v>
      </c>
      <c r="E714" s="3" t="s">
        <v>737</v>
      </c>
      <c r="F714" s="2" t="s">
        <v>46</v>
      </c>
      <c r="G714" s="2" t="s">
        <v>738</v>
      </c>
      <c r="H714" s="2" t="s">
        <v>201</v>
      </c>
      <c r="I714" s="13"/>
      <c r="J714" s="2" t="s">
        <v>48</v>
      </c>
      <c r="K714" s="2" t="s">
        <v>272</v>
      </c>
      <c r="L714" s="2" t="s">
        <v>281</v>
      </c>
      <c r="M714" s="2" t="s">
        <v>739</v>
      </c>
      <c r="N714" s="2" t="s">
        <v>222</v>
      </c>
      <c r="O714" s="2"/>
      <c r="P714" s="2"/>
      <c r="Q714" s="2"/>
    </row>
    <row r="715" spans="1:17" ht="12.95" customHeight="1" x14ac:dyDescent="0.2">
      <c r="A715" s="2" t="s">
        <v>143</v>
      </c>
      <c r="B715" s="2" t="s">
        <v>42</v>
      </c>
      <c r="C715" s="2" t="s">
        <v>740</v>
      </c>
      <c r="D715" s="2" t="s">
        <v>309</v>
      </c>
      <c r="E715" s="3" t="s">
        <v>430</v>
      </c>
      <c r="F715" s="2" t="s">
        <v>46</v>
      </c>
      <c r="G715" s="2" t="s">
        <v>431</v>
      </c>
      <c r="H715" s="2" t="s">
        <v>201</v>
      </c>
      <c r="I715" s="13"/>
      <c r="J715" s="2" t="s">
        <v>48</v>
      </c>
      <c r="K715" s="2" t="s">
        <v>272</v>
      </c>
      <c r="L715" s="2" t="s">
        <v>102</v>
      </c>
      <c r="M715" s="2" t="s">
        <v>432</v>
      </c>
      <c r="N715" s="2" t="s">
        <v>315</v>
      </c>
      <c r="O715" s="2"/>
      <c r="P715" s="2"/>
      <c r="Q715" s="2"/>
    </row>
    <row r="716" spans="1:17" ht="12.95" customHeight="1" x14ac:dyDescent="0.2">
      <c r="A716" s="2" t="s">
        <v>148</v>
      </c>
      <c r="B716" s="2" t="s">
        <v>42</v>
      </c>
      <c r="C716" s="2" t="s">
        <v>652</v>
      </c>
      <c r="D716" s="2" t="s">
        <v>741</v>
      </c>
      <c r="E716" s="3" t="s">
        <v>346</v>
      </c>
      <c r="F716" s="2" t="s">
        <v>46</v>
      </c>
      <c r="G716" s="2" t="s">
        <v>427</v>
      </c>
      <c r="H716" s="2" t="s">
        <v>201</v>
      </c>
      <c r="I716" s="13"/>
      <c r="J716" s="2" t="s">
        <v>48</v>
      </c>
      <c r="K716" s="2" t="s">
        <v>222</v>
      </c>
      <c r="L716" s="2"/>
      <c r="M716" s="2" t="s">
        <v>742</v>
      </c>
      <c r="N716" s="2" t="s">
        <v>397</v>
      </c>
      <c r="O716" s="2"/>
      <c r="P716" s="2"/>
      <c r="Q716" s="2"/>
    </row>
    <row r="717" spans="1:17" ht="12.95" customHeight="1" x14ac:dyDescent="0.2">
      <c r="A717" s="2" t="s">
        <v>155</v>
      </c>
      <c r="B717" s="2" t="s">
        <v>42</v>
      </c>
      <c r="C717" s="2" t="s">
        <v>391</v>
      </c>
      <c r="D717" s="2" t="s">
        <v>743</v>
      </c>
      <c r="E717" s="3" t="s">
        <v>744</v>
      </c>
      <c r="F717" s="2" t="s">
        <v>46</v>
      </c>
      <c r="G717" s="2" t="s">
        <v>238</v>
      </c>
      <c r="H717" s="2" t="s">
        <v>201</v>
      </c>
      <c r="I717" s="13"/>
      <c r="J717" s="2" t="s">
        <v>48</v>
      </c>
      <c r="K717" s="2" t="s">
        <v>250</v>
      </c>
      <c r="L717" s="2"/>
      <c r="M717" s="2" t="s">
        <v>249</v>
      </c>
      <c r="N717" s="2" t="s">
        <v>742</v>
      </c>
      <c r="O717" s="2"/>
      <c r="P717" s="2"/>
      <c r="Q717" s="2"/>
    </row>
    <row r="718" spans="1:17" ht="12.95" customHeight="1" x14ac:dyDescent="0.2">
      <c r="A718" s="8" t="s">
        <v>161</v>
      </c>
      <c r="B718" s="8"/>
      <c r="C718" s="8"/>
      <c r="D718" s="8"/>
      <c r="E718" s="5" t="s">
        <v>745</v>
      </c>
      <c r="F718" s="5" t="s">
        <v>570</v>
      </c>
      <c r="G718" s="5" t="s">
        <v>746</v>
      </c>
      <c r="H718" s="5" t="s">
        <v>747</v>
      </c>
      <c r="I718" s="36" t="s">
        <v>573</v>
      </c>
      <c r="J718" s="5" t="s">
        <v>748</v>
      </c>
      <c r="K718" s="5" t="s">
        <v>749</v>
      </c>
      <c r="L718" s="5" t="s">
        <v>261</v>
      </c>
      <c r="M718" s="5" t="s">
        <v>750</v>
      </c>
      <c r="N718" s="5" t="s">
        <v>412</v>
      </c>
      <c r="O718" s="5"/>
      <c r="P718" s="5"/>
      <c r="Q718" s="5"/>
    </row>
    <row r="719" spans="1:17" ht="12.95" customHeight="1" x14ac:dyDescent="0.2">
      <c r="A719" s="8" t="s">
        <v>171</v>
      </c>
      <c r="B719" s="8"/>
      <c r="C719" s="8"/>
      <c r="D719" s="8"/>
      <c r="E719" s="5" t="s">
        <v>745</v>
      </c>
      <c r="F719" s="5" t="s">
        <v>570</v>
      </c>
      <c r="G719" s="5" t="s">
        <v>746</v>
      </c>
      <c r="H719" s="5" t="s">
        <v>747</v>
      </c>
      <c r="I719" s="36" t="s">
        <v>308</v>
      </c>
      <c r="J719" s="5" t="s">
        <v>748</v>
      </c>
      <c r="K719" s="5" t="s">
        <v>749</v>
      </c>
      <c r="L719" s="5" t="s">
        <v>261</v>
      </c>
      <c r="M719" s="5" t="s">
        <v>750</v>
      </c>
      <c r="N719" s="5" t="s">
        <v>412</v>
      </c>
      <c r="O719" s="5"/>
      <c r="P719" s="5"/>
      <c r="Q719" s="5"/>
    </row>
    <row r="720" spans="1:17" ht="12.95" customHeight="1" x14ac:dyDescent="0.2">
      <c r="A720" s="8" t="s">
        <v>173</v>
      </c>
      <c r="B720" s="8"/>
      <c r="C720" s="8"/>
      <c r="D720" s="8"/>
      <c r="E720" s="5">
        <v>122.9</v>
      </c>
      <c r="F720" s="5">
        <v>5.5</v>
      </c>
      <c r="G720" s="5">
        <v>117.4</v>
      </c>
      <c r="H720" s="5">
        <v>118</v>
      </c>
      <c r="I720" s="36">
        <v>0.6</v>
      </c>
      <c r="J720" s="5">
        <v>103.36</v>
      </c>
      <c r="K720" s="5">
        <v>12.85</v>
      </c>
      <c r="L720" s="5">
        <v>1.18</v>
      </c>
      <c r="M720" s="5">
        <v>12.91</v>
      </c>
      <c r="N720" s="5">
        <v>10.45</v>
      </c>
      <c r="O720" s="5"/>
      <c r="P720" s="5"/>
      <c r="Q720" s="5"/>
    </row>
    <row r="721" spans="1:17" x14ac:dyDescent="0.2">
      <c r="I721" s="37"/>
    </row>
    <row r="722" spans="1:17" ht="12.95" customHeight="1" x14ac:dyDescent="0.2">
      <c r="A722" s="9" t="s">
        <v>174</v>
      </c>
      <c r="B722" s="9"/>
      <c r="C722" s="9"/>
      <c r="E722" s="9" t="s">
        <v>180</v>
      </c>
      <c r="F722" s="9"/>
      <c r="G722" s="9"/>
      <c r="I722" s="9" t="s">
        <v>181</v>
      </c>
      <c r="J722" s="9"/>
      <c r="K722" s="9"/>
    </row>
    <row r="723" spans="1:17" ht="12.95" customHeight="1" x14ac:dyDescent="0.2">
      <c r="A723" s="10" t="s">
        <v>175</v>
      </c>
      <c r="B723" s="10"/>
      <c r="C723" s="6">
        <v>14</v>
      </c>
      <c r="E723" s="10" t="s">
        <v>14</v>
      </c>
      <c r="F723" s="10"/>
      <c r="G723" s="6">
        <v>103.36</v>
      </c>
      <c r="I723" s="10" t="s">
        <v>265</v>
      </c>
      <c r="J723" s="10"/>
      <c r="K723" s="6">
        <v>11</v>
      </c>
    </row>
    <row r="724" spans="1:17" ht="12.95" customHeight="1" x14ac:dyDescent="0.2">
      <c r="A724" s="10" t="s">
        <v>1531</v>
      </c>
      <c r="B724" s="10"/>
      <c r="C724" s="6">
        <v>22</v>
      </c>
      <c r="E724" s="10" t="s">
        <v>15</v>
      </c>
      <c r="F724" s="10"/>
      <c r="G724" s="6">
        <v>12.85</v>
      </c>
      <c r="I724" s="10" t="s">
        <v>27</v>
      </c>
      <c r="J724" s="10"/>
      <c r="K724" s="26">
        <v>3</v>
      </c>
    </row>
    <row r="725" spans="1:17" ht="12.95" customHeight="1" x14ac:dyDescent="0.2">
      <c r="A725" s="10" t="s">
        <v>176</v>
      </c>
      <c r="B725" s="10"/>
      <c r="C725" s="6">
        <v>122.9</v>
      </c>
      <c r="E725" s="10" t="s">
        <v>267</v>
      </c>
      <c r="F725" s="10"/>
      <c r="G725" s="6">
        <v>1.18</v>
      </c>
      <c r="I725" s="39" t="s">
        <v>1591</v>
      </c>
      <c r="J725" s="19"/>
      <c r="K725" s="20">
        <v>0.5</v>
      </c>
    </row>
    <row r="726" spans="1:17" ht="12.95" customHeight="1" x14ac:dyDescent="0.2">
      <c r="A726" s="10" t="s">
        <v>177</v>
      </c>
      <c r="B726" s="10"/>
      <c r="C726" s="6">
        <v>118</v>
      </c>
      <c r="I726" s="39" t="s">
        <v>1592</v>
      </c>
      <c r="J726" s="19"/>
      <c r="K726" s="20">
        <v>0</v>
      </c>
    </row>
    <row r="727" spans="1:17" ht="12.95" customHeight="1" x14ac:dyDescent="0.25">
      <c r="A727" s="10" t="s">
        <v>11</v>
      </c>
      <c r="B727" s="10"/>
      <c r="C727" s="6">
        <v>117.4</v>
      </c>
      <c r="I727" s="41" t="s">
        <v>1593</v>
      </c>
      <c r="J727" s="40"/>
      <c r="K727" s="42">
        <f>K725+K726</f>
        <v>0.5</v>
      </c>
    </row>
    <row r="728" spans="1:17" ht="12.95" customHeight="1" x14ac:dyDescent="0.2">
      <c r="A728" s="10" t="s">
        <v>178</v>
      </c>
      <c r="B728" s="10"/>
      <c r="C728" s="6">
        <v>13.53</v>
      </c>
    </row>
    <row r="729" spans="1:17" ht="12.95" customHeight="1" x14ac:dyDescent="0.2">
      <c r="A729" s="10" t="s">
        <v>17</v>
      </c>
      <c r="B729" s="10"/>
      <c r="C729" s="6">
        <v>10.45</v>
      </c>
    </row>
    <row r="730" spans="1:17" ht="12.95" customHeight="1" x14ac:dyDescent="0.2">
      <c r="A730" s="10" t="s">
        <v>179</v>
      </c>
      <c r="B730" s="10"/>
      <c r="C730" s="6">
        <v>0</v>
      </c>
    </row>
    <row r="731" spans="1:17" x14ac:dyDescent="0.2">
      <c r="A731" s="10" t="s">
        <v>10</v>
      </c>
      <c r="B731" s="10"/>
      <c r="C731" s="6">
        <v>5.5</v>
      </c>
    </row>
    <row r="732" spans="1:17" ht="15" x14ac:dyDescent="0.25">
      <c r="A732" s="154" t="s">
        <v>1615</v>
      </c>
      <c r="B732" s="154"/>
      <c r="C732" s="154" cm="1">
        <f t="array" ref="C732">IFERROR(SUMPRODUCT(ISNUMBER(SEARCH("מילואים",O684:O721))*(C684:C721&lt;&gt;"")*(J684:J721+0))*24,0)</f>
        <v>0</v>
      </c>
    </row>
    <row r="733" spans="1:17" ht="12.95" customHeight="1" x14ac:dyDescent="0.2">
      <c r="A733" s="7" t="s">
        <v>751</v>
      </c>
      <c r="B733" s="7"/>
      <c r="C733" s="7"/>
      <c r="D733" s="7" t="s">
        <v>1</v>
      </c>
      <c r="E733" s="7"/>
      <c r="F733" s="7"/>
      <c r="G733" s="7"/>
      <c r="H733" s="7" t="s">
        <v>2</v>
      </c>
      <c r="I733" s="7"/>
      <c r="J733" s="7"/>
      <c r="K733" s="7"/>
      <c r="L733" s="7"/>
      <c r="M733" s="7" t="s">
        <v>752</v>
      </c>
      <c r="N733" s="7"/>
      <c r="O733" s="7"/>
      <c r="P733" s="7"/>
      <c r="Q733" s="7"/>
    </row>
    <row r="734" spans="1:17" ht="12.95" customHeight="1" x14ac:dyDescent="0.2">
      <c r="A734" s="7" t="s">
        <v>3</v>
      </c>
      <c r="B734" s="7"/>
      <c r="C734" s="7"/>
      <c r="D734" s="7"/>
      <c r="E734" s="7"/>
      <c r="F734" s="7">
        <v>65</v>
      </c>
      <c r="G734" s="7"/>
      <c r="H734" s="7" t="s">
        <v>183</v>
      </c>
      <c r="I734" s="7"/>
      <c r="J734" s="7"/>
      <c r="K734" s="7"/>
      <c r="L734" s="7"/>
      <c r="M734" s="7"/>
      <c r="N734" s="7"/>
      <c r="O734" s="7"/>
      <c r="P734" s="7"/>
      <c r="Q734" s="7"/>
    </row>
    <row r="735" spans="1:17" ht="22.5" customHeight="1" x14ac:dyDescent="0.2">
      <c r="A735" s="1" t="s">
        <v>5</v>
      </c>
      <c r="B735" s="1" t="s">
        <v>6</v>
      </c>
      <c r="C735" s="1" t="s">
        <v>7</v>
      </c>
      <c r="D735" s="1" t="s">
        <v>8</v>
      </c>
      <c r="E735" s="1" t="s">
        <v>9</v>
      </c>
      <c r="F735" s="1" t="s">
        <v>10</v>
      </c>
      <c r="G735" s="1" t="s">
        <v>11</v>
      </c>
      <c r="H735" s="1" t="s">
        <v>12</v>
      </c>
      <c r="I735" s="1" t="s">
        <v>13</v>
      </c>
      <c r="J735" s="1" t="s">
        <v>14</v>
      </c>
      <c r="K735" s="1" t="s">
        <v>15</v>
      </c>
      <c r="L735" s="1" t="s">
        <v>267</v>
      </c>
      <c r="M735" s="1" t="s">
        <v>16</v>
      </c>
      <c r="N735" s="1" t="s">
        <v>17</v>
      </c>
      <c r="O735" s="1" t="s">
        <v>18</v>
      </c>
      <c r="P735" s="1" t="s">
        <v>19</v>
      </c>
      <c r="Q735" s="1" t="s">
        <v>20</v>
      </c>
    </row>
    <row r="736" spans="1:17" ht="12.95" customHeight="1" x14ac:dyDescent="0.2">
      <c r="A736" s="2" t="s">
        <v>21</v>
      </c>
      <c r="B736" s="2" t="s">
        <v>22</v>
      </c>
      <c r="C736" s="2" t="s">
        <v>683</v>
      </c>
      <c r="D736" s="2" t="s">
        <v>753</v>
      </c>
      <c r="E736" s="3" t="s">
        <v>754</v>
      </c>
      <c r="F736" s="2" t="s">
        <v>46</v>
      </c>
      <c r="G736" s="2" t="s">
        <v>755</v>
      </c>
      <c r="H736" s="2" t="s">
        <v>46</v>
      </c>
      <c r="I736" s="13"/>
      <c r="J736" s="2" t="s">
        <v>755</v>
      </c>
      <c r="K736" s="2"/>
      <c r="L736" s="2"/>
      <c r="M736" s="2" t="s">
        <v>756</v>
      </c>
      <c r="N736" s="2"/>
      <c r="O736" s="2" t="s">
        <v>24</v>
      </c>
      <c r="P736" s="2" t="s">
        <v>25</v>
      </c>
      <c r="Q736" s="2"/>
    </row>
    <row r="737" spans="1:17" ht="12.95" customHeight="1" x14ac:dyDescent="0.2">
      <c r="A737" s="2" t="s">
        <v>26</v>
      </c>
      <c r="B737" s="2" t="s">
        <v>27</v>
      </c>
      <c r="C737" s="2"/>
      <c r="D737" s="2"/>
      <c r="E737" s="3"/>
      <c r="F737" s="2"/>
      <c r="G737" s="2"/>
      <c r="H737" s="2"/>
      <c r="I737" s="13"/>
      <c r="J737" s="2"/>
      <c r="K737" s="2"/>
      <c r="L737" s="2"/>
      <c r="M737" s="2"/>
      <c r="N737" s="2"/>
      <c r="O737" s="2" t="s">
        <v>28</v>
      </c>
      <c r="P737" s="2" t="s">
        <v>29</v>
      </c>
      <c r="Q737" s="2"/>
    </row>
    <row r="738" spans="1:17" ht="12.95" customHeight="1" x14ac:dyDescent="0.2">
      <c r="A738" s="4" t="s">
        <v>30</v>
      </c>
      <c r="B738" s="4" t="s">
        <v>31</v>
      </c>
      <c r="C738" s="4"/>
      <c r="D738" s="4"/>
      <c r="E738" s="3"/>
      <c r="F738" s="4"/>
      <c r="G738" s="4"/>
      <c r="H738" s="4"/>
      <c r="I738" s="35"/>
      <c r="J738" s="4"/>
      <c r="K738" s="4"/>
      <c r="L738" s="4"/>
      <c r="M738" s="4"/>
      <c r="N738" s="4"/>
      <c r="O738" s="4"/>
      <c r="P738" s="4"/>
      <c r="Q738" s="4"/>
    </row>
    <row r="739" spans="1:17" ht="12.95" customHeight="1" x14ac:dyDescent="0.2">
      <c r="A739" s="4" t="s">
        <v>32</v>
      </c>
      <c r="B739" s="4" t="s">
        <v>31</v>
      </c>
      <c r="C739" s="4"/>
      <c r="D739" s="4"/>
      <c r="E739" s="3"/>
      <c r="F739" s="4"/>
      <c r="G739" s="4"/>
      <c r="H739" s="4"/>
      <c r="I739" s="35"/>
      <c r="J739" s="4"/>
      <c r="K739" s="4"/>
      <c r="L739" s="4"/>
      <c r="M739" s="4"/>
      <c r="N739" s="4"/>
      <c r="O739" s="4"/>
      <c r="P739" s="4"/>
      <c r="Q739" s="4"/>
    </row>
    <row r="740" spans="1:17" x14ac:dyDescent="0.2">
      <c r="A740" s="4" t="s">
        <v>33</v>
      </c>
      <c r="B740" s="4" t="s">
        <v>34</v>
      </c>
      <c r="C740" s="4" t="s">
        <v>34</v>
      </c>
      <c r="D740" s="4" t="s">
        <v>34</v>
      </c>
      <c r="E740" s="4" t="s">
        <v>754</v>
      </c>
      <c r="F740" s="4" t="s">
        <v>46</v>
      </c>
      <c r="G740" s="4" t="s">
        <v>755</v>
      </c>
      <c r="H740" s="4" t="s">
        <v>46</v>
      </c>
      <c r="I740" s="35"/>
      <c r="J740" s="4" t="s">
        <v>755</v>
      </c>
      <c r="K740" s="4"/>
      <c r="L740" s="4"/>
      <c r="M740" s="4" t="s">
        <v>756</v>
      </c>
      <c r="N740" s="4"/>
      <c r="O740" s="4"/>
      <c r="P740" s="4"/>
      <c r="Q740" s="4"/>
    </row>
    <row r="741" spans="1:17" ht="12.95" customHeight="1" x14ac:dyDescent="0.2">
      <c r="A741" s="2" t="s">
        <v>35</v>
      </c>
      <c r="B741" s="2" t="s">
        <v>36</v>
      </c>
      <c r="C741" s="2" t="s">
        <v>757</v>
      </c>
      <c r="D741" s="2" t="s">
        <v>367</v>
      </c>
      <c r="E741" s="3" t="s">
        <v>758</v>
      </c>
      <c r="F741" s="2"/>
      <c r="G741" s="2" t="s">
        <v>758</v>
      </c>
      <c r="H741" s="2"/>
      <c r="I741" s="13"/>
      <c r="J741" s="2" t="s">
        <v>48</v>
      </c>
      <c r="K741" s="2" t="s">
        <v>414</v>
      </c>
      <c r="L741" s="2"/>
      <c r="M741" s="2"/>
      <c r="N741" s="2"/>
      <c r="O741" s="2"/>
      <c r="P741" s="2"/>
      <c r="Q741" s="2"/>
    </row>
    <row r="742" spans="1:17" ht="12.95" customHeight="1" x14ac:dyDescent="0.2">
      <c r="A742" s="2" t="s">
        <v>38</v>
      </c>
      <c r="B742" s="2" t="s">
        <v>36</v>
      </c>
      <c r="C742" s="2" t="s">
        <v>219</v>
      </c>
      <c r="D742" s="2" t="s">
        <v>492</v>
      </c>
      <c r="E742" s="3" t="s">
        <v>420</v>
      </c>
      <c r="F742" s="2"/>
      <c r="G742" s="2" t="s">
        <v>420</v>
      </c>
      <c r="H742" s="2"/>
      <c r="I742" s="13"/>
      <c r="J742" s="2" t="s">
        <v>48</v>
      </c>
      <c r="K742" s="2" t="s">
        <v>522</v>
      </c>
      <c r="L742" s="2"/>
      <c r="M742" s="2"/>
      <c r="N742" s="2"/>
      <c r="O742" s="2"/>
      <c r="P742" s="2"/>
      <c r="Q742" s="2"/>
    </row>
    <row r="743" spans="1:17" ht="12.95" customHeight="1" x14ac:dyDescent="0.2">
      <c r="A743" s="2" t="s">
        <v>39</v>
      </c>
      <c r="B743" s="2" t="s">
        <v>22</v>
      </c>
      <c r="C743" s="2"/>
      <c r="D743" s="2"/>
      <c r="E743" s="3"/>
      <c r="F743" s="2"/>
      <c r="G743" s="2"/>
      <c r="H743" s="2" t="s">
        <v>46</v>
      </c>
      <c r="I743" s="12" t="s">
        <v>46</v>
      </c>
      <c r="J743" s="2"/>
      <c r="K743" s="2"/>
      <c r="L743" s="2"/>
      <c r="M743" s="2"/>
      <c r="N743" s="2"/>
      <c r="O743" s="2" t="s">
        <v>24</v>
      </c>
      <c r="P743" s="2" t="s">
        <v>25</v>
      </c>
      <c r="Q743" s="2"/>
    </row>
    <row r="744" spans="1:17" ht="12.95" customHeight="1" x14ac:dyDescent="0.2">
      <c r="A744" s="2" t="s">
        <v>40</v>
      </c>
      <c r="B744" s="2" t="s">
        <v>27</v>
      </c>
      <c r="C744" s="2"/>
      <c r="D744" s="2"/>
      <c r="E744" s="3"/>
      <c r="F744" s="2"/>
      <c r="G744" s="2"/>
      <c r="H744" s="2"/>
      <c r="I744" s="13"/>
      <c r="J744" s="2"/>
      <c r="K744" s="2"/>
      <c r="L744" s="2"/>
      <c r="M744" s="2"/>
      <c r="N744" s="2"/>
      <c r="O744" s="2" t="s">
        <v>28</v>
      </c>
      <c r="P744" s="2" t="s">
        <v>25</v>
      </c>
      <c r="Q744" s="2"/>
    </row>
    <row r="745" spans="1:17" ht="12.95" customHeight="1" x14ac:dyDescent="0.2">
      <c r="A745" s="2" t="s">
        <v>41</v>
      </c>
      <c r="B745" s="2" t="s">
        <v>42</v>
      </c>
      <c r="C745" s="2" t="s">
        <v>706</v>
      </c>
      <c r="D745" s="2" t="s">
        <v>759</v>
      </c>
      <c r="E745" s="3" t="s">
        <v>760</v>
      </c>
      <c r="F745" s="2" t="s">
        <v>46</v>
      </c>
      <c r="G745" s="2" t="s">
        <v>761</v>
      </c>
      <c r="H745" s="2" t="s">
        <v>201</v>
      </c>
      <c r="I745" s="13"/>
      <c r="J745" s="2" t="s">
        <v>48</v>
      </c>
      <c r="K745" s="2" t="s">
        <v>272</v>
      </c>
      <c r="L745" s="2" t="s">
        <v>324</v>
      </c>
      <c r="M745" s="2" t="s">
        <v>762</v>
      </c>
      <c r="N745" s="2" t="s">
        <v>59</v>
      </c>
      <c r="O745" s="2"/>
      <c r="P745" s="2"/>
      <c r="Q745" s="2"/>
    </row>
    <row r="746" spans="1:17" ht="12.95" customHeight="1" x14ac:dyDescent="0.2">
      <c r="A746" s="4" t="s">
        <v>51</v>
      </c>
      <c r="B746" s="4" t="s">
        <v>31</v>
      </c>
      <c r="C746" s="4"/>
      <c r="D746" s="4"/>
      <c r="E746" s="3"/>
      <c r="F746" s="4"/>
      <c r="G746" s="4"/>
      <c r="H746" s="4"/>
      <c r="I746" s="35"/>
      <c r="J746" s="4"/>
      <c r="K746" s="4"/>
      <c r="L746" s="4"/>
      <c r="M746" s="4"/>
      <c r="N746" s="4"/>
      <c r="O746" s="4"/>
      <c r="P746" s="4"/>
      <c r="Q746" s="4"/>
    </row>
    <row r="747" spans="1:17" ht="12.95" customHeight="1" x14ac:dyDescent="0.2">
      <c r="A747" s="4" t="s">
        <v>52</v>
      </c>
      <c r="B747" s="4" t="s">
        <v>31</v>
      </c>
      <c r="C747" s="4"/>
      <c r="D747" s="4"/>
      <c r="E747" s="3"/>
      <c r="F747" s="4"/>
      <c r="G747" s="4"/>
      <c r="H747" s="4"/>
      <c r="I747" s="35"/>
      <c r="J747" s="4"/>
      <c r="K747" s="4"/>
      <c r="L747" s="4"/>
      <c r="M747" s="4"/>
      <c r="N747" s="4"/>
      <c r="O747" s="4"/>
      <c r="P747" s="4"/>
      <c r="Q747" s="4"/>
    </row>
    <row r="748" spans="1:17" x14ac:dyDescent="0.2">
      <c r="A748" s="4" t="s">
        <v>33</v>
      </c>
      <c r="B748" s="4" t="s">
        <v>34</v>
      </c>
      <c r="C748" s="4" t="s">
        <v>34</v>
      </c>
      <c r="D748" s="4" t="s">
        <v>34</v>
      </c>
      <c r="E748" s="4" t="s">
        <v>763</v>
      </c>
      <c r="F748" s="4" t="s">
        <v>46</v>
      </c>
      <c r="G748" s="4" t="s">
        <v>764</v>
      </c>
      <c r="H748" s="4" t="s">
        <v>303</v>
      </c>
      <c r="I748" s="35" t="s">
        <v>46</v>
      </c>
      <c r="J748" s="4" t="s">
        <v>352</v>
      </c>
      <c r="K748" s="4" t="s">
        <v>765</v>
      </c>
      <c r="L748" s="4" t="s">
        <v>324</v>
      </c>
      <c r="M748" s="4" t="s">
        <v>762</v>
      </c>
      <c r="N748" s="4" t="s">
        <v>59</v>
      </c>
      <c r="O748" s="4"/>
      <c r="P748" s="4"/>
      <c r="Q748" s="4"/>
    </row>
    <row r="749" spans="1:17" ht="12.95" customHeight="1" x14ac:dyDescent="0.2">
      <c r="A749" s="2" t="s">
        <v>54</v>
      </c>
      <c r="B749" s="2" t="s">
        <v>42</v>
      </c>
      <c r="C749" s="2" t="s">
        <v>766</v>
      </c>
      <c r="D749" s="2" t="s">
        <v>767</v>
      </c>
      <c r="E749" s="3" t="s">
        <v>310</v>
      </c>
      <c r="F749" s="2" t="s">
        <v>46</v>
      </c>
      <c r="G749" s="2" t="s">
        <v>394</v>
      </c>
      <c r="H749" s="2" t="s">
        <v>201</v>
      </c>
      <c r="I749" s="13"/>
      <c r="J749" s="2" t="s">
        <v>48</v>
      </c>
      <c r="K749" s="2" t="s">
        <v>395</v>
      </c>
      <c r="L749" s="2"/>
      <c r="M749" s="2" t="s">
        <v>396</v>
      </c>
      <c r="N749" s="2" t="s">
        <v>278</v>
      </c>
      <c r="O749" s="2"/>
      <c r="P749" s="2"/>
      <c r="Q749" s="2"/>
    </row>
    <row r="750" spans="1:17" ht="12.95" customHeight="1" x14ac:dyDescent="0.2">
      <c r="A750" s="2" t="s">
        <v>61</v>
      </c>
      <c r="B750" s="2" t="s">
        <v>42</v>
      </c>
      <c r="C750" s="2" t="s">
        <v>768</v>
      </c>
      <c r="D750" s="2" t="s">
        <v>769</v>
      </c>
      <c r="E750" s="3" t="s">
        <v>770</v>
      </c>
      <c r="F750" s="2" t="s">
        <v>46</v>
      </c>
      <c r="G750" s="2" t="s">
        <v>737</v>
      </c>
      <c r="H750" s="2" t="s">
        <v>201</v>
      </c>
      <c r="I750" s="13"/>
      <c r="J750" s="2" t="s">
        <v>48</v>
      </c>
      <c r="K750" s="2" t="s">
        <v>272</v>
      </c>
      <c r="L750" s="2" t="s">
        <v>607</v>
      </c>
      <c r="M750" s="2" t="s">
        <v>771</v>
      </c>
      <c r="N750" s="2" t="s">
        <v>120</v>
      </c>
      <c r="O750" s="2"/>
      <c r="P750" s="2"/>
      <c r="Q750" s="2"/>
    </row>
    <row r="751" spans="1:17" ht="12.95" customHeight="1" x14ac:dyDescent="0.2">
      <c r="A751" s="2" t="s">
        <v>68</v>
      </c>
      <c r="B751" s="2" t="s">
        <v>42</v>
      </c>
      <c r="C751" s="2" t="s">
        <v>695</v>
      </c>
      <c r="D751" s="2" t="s">
        <v>772</v>
      </c>
      <c r="E751" s="3" t="s">
        <v>773</v>
      </c>
      <c r="F751" s="2" t="s">
        <v>46</v>
      </c>
      <c r="G751" s="2" t="s">
        <v>644</v>
      </c>
      <c r="H751" s="2" t="s">
        <v>201</v>
      </c>
      <c r="I751" s="13"/>
      <c r="J751" s="2" t="s">
        <v>48</v>
      </c>
      <c r="K751" s="2" t="s">
        <v>272</v>
      </c>
      <c r="L751" s="2" t="s">
        <v>103</v>
      </c>
      <c r="M751" s="2" t="s">
        <v>774</v>
      </c>
      <c r="N751" s="2" t="s">
        <v>636</v>
      </c>
      <c r="O751" s="2"/>
      <c r="P751" s="2"/>
      <c r="Q751" s="2"/>
    </row>
    <row r="752" spans="1:17" ht="12.95" customHeight="1" x14ac:dyDescent="0.2">
      <c r="A752" s="2" t="s">
        <v>75</v>
      </c>
      <c r="B752" s="2" t="s">
        <v>42</v>
      </c>
      <c r="C752" s="2" t="s">
        <v>592</v>
      </c>
      <c r="D752" s="2" t="s">
        <v>775</v>
      </c>
      <c r="E752" s="3" t="s">
        <v>776</v>
      </c>
      <c r="F752" s="2" t="s">
        <v>46</v>
      </c>
      <c r="G752" s="2" t="s">
        <v>777</v>
      </c>
      <c r="H752" s="2" t="s">
        <v>201</v>
      </c>
      <c r="I752" s="13"/>
      <c r="J752" s="2" t="s">
        <v>48</v>
      </c>
      <c r="K752" s="2" t="s">
        <v>778</v>
      </c>
      <c r="L752" s="2"/>
      <c r="M752" s="2" t="s">
        <v>607</v>
      </c>
      <c r="N752" s="2" t="s">
        <v>146</v>
      </c>
      <c r="O752" s="2"/>
      <c r="P752" s="2"/>
      <c r="Q752" s="2"/>
    </row>
    <row r="753" spans="1:17" ht="12.95" customHeight="1" x14ac:dyDescent="0.2">
      <c r="A753" s="2" t="s">
        <v>81</v>
      </c>
      <c r="B753" s="2" t="s">
        <v>42</v>
      </c>
      <c r="C753" s="2" t="s">
        <v>779</v>
      </c>
      <c r="D753" s="2" t="s">
        <v>638</v>
      </c>
      <c r="E753" s="3" t="s">
        <v>780</v>
      </c>
      <c r="F753" s="2" t="s">
        <v>46</v>
      </c>
      <c r="G753" s="2" t="s">
        <v>781</v>
      </c>
      <c r="H753" s="2" t="s">
        <v>201</v>
      </c>
      <c r="I753" s="13"/>
      <c r="J753" s="2" t="s">
        <v>48</v>
      </c>
      <c r="K753" s="2" t="s">
        <v>272</v>
      </c>
      <c r="L753" s="2" t="s">
        <v>642</v>
      </c>
      <c r="M753" s="2" t="s">
        <v>782</v>
      </c>
      <c r="N753" s="2"/>
      <c r="O753" s="2"/>
      <c r="P753" s="2"/>
      <c r="Q753" s="2"/>
    </row>
    <row r="754" spans="1:17" ht="12.95" customHeight="1" x14ac:dyDescent="0.2">
      <c r="A754" s="4" t="s">
        <v>87</v>
      </c>
      <c r="B754" s="4" t="s">
        <v>31</v>
      </c>
      <c r="C754" s="4"/>
      <c r="D754" s="4"/>
      <c r="E754" s="3"/>
      <c r="F754" s="4"/>
      <c r="G754" s="4"/>
      <c r="H754" s="4"/>
      <c r="I754" s="35"/>
      <c r="J754" s="4"/>
      <c r="K754" s="4"/>
      <c r="L754" s="4"/>
      <c r="M754" s="4"/>
      <c r="N754" s="4"/>
      <c r="O754" s="4"/>
      <c r="P754" s="4"/>
      <c r="Q754" s="4"/>
    </row>
    <row r="755" spans="1:17" ht="12.95" customHeight="1" x14ac:dyDescent="0.2">
      <c r="A755" s="4" t="s">
        <v>88</v>
      </c>
      <c r="B755" s="4" t="s">
        <v>31</v>
      </c>
      <c r="C755" s="4"/>
      <c r="D755" s="4"/>
      <c r="E755" s="3"/>
      <c r="F755" s="4"/>
      <c r="G755" s="4"/>
      <c r="H755" s="4"/>
      <c r="I755" s="35"/>
      <c r="J755" s="4"/>
      <c r="K755" s="4"/>
      <c r="L755" s="4"/>
      <c r="M755" s="4"/>
      <c r="N755" s="4"/>
      <c r="O755" s="4"/>
      <c r="P755" s="4"/>
      <c r="Q755" s="4"/>
    </row>
    <row r="756" spans="1:17" x14ac:dyDescent="0.2">
      <c r="A756" s="4" t="s">
        <v>33</v>
      </c>
      <c r="B756" s="4" t="s">
        <v>34</v>
      </c>
      <c r="C756" s="4" t="s">
        <v>34</v>
      </c>
      <c r="D756" s="4" t="s">
        <v>34</v>
      </c>
      <c r="E756" s="4" t="s">
        <v>783</v>
      </c>
      <c r="F756" s="4" t="s">
        <v>90</v>
      </c>
      <c r="G756" s="4" t="s">
        <v>784</v>
      </c>
      <c r="H756" s="4" t="s">
        <v>331</v>
      </c>
      <c r="I756" s="35"/>
      <c r="J756" s="4" t="s">
        <v>92</v>
      </c>
      <c r="K756" s="4" t="s">
        <v>365</v>
      </c>
      <c r="L756" s="4" t="s">
        <v>785</v>
      </c>
      <c r="M756" s="4" t="s">
        <v>761</v>
      </c>
      <c r="N756" s="4" t="s">
        <v>74</v>
      </c>
      <c r="O756" s="4"/>
      <c r="P756" s="4"/>
      <c r="Q756" s="4"/>
    </row>
    <row r="757" spans="1:17" ht="12.95" customHeight="1" x14ac:dyDescent="0.2">
      <c r="A757" s="2" t="s">
        <v>97</v>
      </c>
      <c r="B757" s="2" t="s">
        <v>42</v>
      </c>
      <c r="C757" s="2" t="s">
        <v>683</v>
      </c>
      <c r="D757" s="2" t="s">
        <v>786</v>
      </c>
      <c r="E757" s="3" t="s">
        <v>550</v>
      </c>
      <c r="F757" s="2" t="s">
        <v>46</v>
      </c>
      <c r="G757" s="2" t="s">
        <v>444</v>
      </c>
      <c r="H757" s="2" t="s">
        <v>201</v>
      </c>
      <c r="I757" s="13"/>
      <c r="J757" s="2" t="s">
        <v>48</v>
      </c>
      <c r="K757" s="2" t="s">
        <v>272</v>
      </c>
      <c r="L757" s="2" t="s">
        <v>540</v>
      </c>
      <c r="M757" s="2" t="s">
        <v>551</v>
      </c>
      <c r="N757" s="2" t="s">
        <v>102</v>
      </c>
      <c r="O757" s="2"/>
      <c r="P757" s="2"/>
      <c r="Q757" s="2"/>
    </row>
    <row r="758" spans="1:17" ht="12.95" customHeight="1" x14ac:dyDescent="0.2">
      <c r="A758" s="2" t="s">
        <v>104</v>
      </c>
      <c r="B758" s="2" t="s">
        <v>42</v>
      </c>
      <c r="C758" s="2" t="s">
        <v>623</v>
      </c>
      <c r="D758" s="2" t="s">
        <v>787</v>
      </c>
      <c r="E758" s="3" t="s">
        <v>788</v>
      </c>
      <c r="F758" s="2" t="s">
        <v>46</v>
      </c>
      <c r="G758" s="2" t="s">
        <v>789</v>
      </c>
      <c r="H758" s="2" t="s">
        <v>125</v>
      </c>
      <c r="I758" s="13"/>
      <c r="J758" s="2" t="s">
        <v>48</v>
      </c>
      <c r="K758" s="2" t="s">
        <v>272</v>
      </c>
      <c r="L758" s="2" t="s">
        <v>147</v>
      </c>
      <c r="M758" s="2" t="s">
        <v>712</v>
      </c>
      <c r="N758" s="2"/>
      <c r="O758" s="2"/>
      <c r="P758" s="2" t="s">
        <v>111</v>
      </c>
      <c r="Q758" s="2"/>
    </row>
    <row r="759" spans="1:17" ht="12.95" customHeight="1" x14ac:dyDescent="0.2">
      <c r="A759" s="2" t="s">
        <v>112</v>
      </c>
      <c r="B759" s="2" t="s">
        <v>22</v>
      </c>
      <c r="C759" s="2" t="s">
        <v>659</v>
      </c>
      <c r="D759" s="2" t="s">
        <v>790</v>
      </c>
      <c r="E759" s="3" t="s">
        <v>791</v>
      </c>
      <c r="F759" s="2" t="s">
        <v>46</v>
      </c>
      <c r="G759" s="2" t="s">
        <v>792</v>
      </c>
      <c r="H759" s="2" t="s">
        <v>227</v>
      </c>
      <c r="I759" s="111" t="s">
        <v>793</v>
      </c>
      <c r="J759" s="2" t="s">
        <v>792</v>
      </c>
      <c r="K759" s="2"/>
      <c r="L759" s="2"/>
      <c r="M759" s="2"/>
      <c r="N759" s="2"/>
      <c r="O759" s="2" t="s">
        <v>24</v>
      </c>
      <c r="P759" s="2"/>
      <c r="Q759" s="2"/>
    </row>
    <row r="760" spans="1:17" ht="12.95" customHeight="1" x14ac:dyDescent="0.2">
      <c r="A760" s="2" t="s">
        <v>114</v>
      </c>
      <c r="B760" s="2" t="s">
        <v>27</v>
      </c>
      <c r="C760" s="2"/>
      <c r="D760" s="2"/>
      <c r="E760" s="3"/>
      <c r="F760" s="2"/>
      <c r="G760" s="2"/>
      <c r="H760" s="2"/>
      <c r="I760" s="13"/>
      <c r="J760" s="2"/>
      <c r="K760" s="2"/>
      <c r="L760" s="2"/>
      <c r="M760" s="2"/>
      <c r="N760" s="2"/>
      <c r="O760" s="2" t="s">
        <v>28</v>
      </c>
      <c r="P760" s="2" t="s">
        <v>111</v>
      </c>
      <c r="Q760" s="2"/>
    </row>
    <row r="761" spans="1:17" ht="12.95" customHeight="1" x14ac:dyDescent="0.2">
      <c r="A761" s="2" t="s">
        <v>115</v>
      </c>
      <c r="B761" s="2" t="s">
        <v>42</v>
      </c>
      <c r="C761" s="2" t="s">
        <v>119</v>
      </c>
      <c r="D761" s="2" t="s">
        <v>614</v>
      </c>
      <c r="E761" s="3" t="s">
        <v>712</v>
      </c>
      <c r="F761" s="2" t="s">
        <v>46</v>
      </c>
      <c r="G761" s="2" t="s">
        <v>306</v>
      </c>
      <c r="H761" s="2" t="s">
        <v>201</v>
      </c>
      <c r="I761" s="13"/>
      <c r="J761" s="2" t="s">
        <v>48</v>
      </c>
      <c r="K761" s="2" t="s">
        <v>147</v>
      </c>
      <c r="L761" s="2"/>
      <c r="M761" s="2" t="s">
        <v>154</v>
      </c>
      <c r="N761" s="2" t="s">
        <v>414</v>
      </c>
      <c r="O761" s="2"/>
      <c r="P761" s="2"/>
      <c r="Q761" s="2"/>
    </row>
    <row r="762" spans="1:17" ht="12.95" customHeight="1" x14ac:dyDescent="0.2">
      <c r="A762" s="4" t="s">
        <v>122</v>
      </c>
      <c r="B762" s="4" t="s">
        <v>31</v>
      </c>
      <c r="C762" s="4"/>
      <c r="D762" s="4"/>
      <c r="E762" s="3"/>
      <c r="F762" s="4"/>
      <c r="G762" s="4"/>
      <c r="H762" s="4"/>
      <c r="I762" s="35"/>
      <c r="J762" s="4"/>
      <c r="K762" s="4"/>
      <c r="L762" s="4"/>
      <c r="M762" s="4"/>
      <c r="N762" s="4"/>
      <c r="O762" s="4"/>
      <c r="P762" s="4"/>
      <c r="Q762" s="4"/>
    </row>
    <row r="763" spans="1:17" ht="12.95" customHeight="1" x14ac:dyDescent="0.2">
      <c r="A763" s="4" t="s">
        <v>123</v>
      </c>
      <c r="B763" s="4" t="s">
        <v>31</v>
      </c>
      <c r="C763" s="4"/>
      <c r="D763" s="4"/>
      <c r="E763" s="3"/>
      <c r="F763" s="4"/>
      <c r="G763" s="4"/>
      <c r="H763" s="4"/>
      <c r="I763" s="35"/>
      <c r="J763" s="4"/>
      <c r="K763" s="4"/>
      <c r="L763" s="4"/>
      <c r="M763" s="4"/>
      <c r="N763" s="4"/>
      <c r="O763" s="4"/>
      <c r="P763" s="4"/>
      <c r="Q763" s="4"/>
    </row>
    <row r="764" spans="1:17" x14ac:dyDescent="0.2">
      <c r="A764" s="4" t="s">
        <v>33</v>
      </c>
      <c r="B764" s="4" t="s">
        <v>34</v>
      </c>
      <c r="C764" s="4" t="s">
        <v>34</v>
      </c>
      <c r="D764" s="4" t="s">
        <v>34</v>
      </c>
      <c r="E764" s="4" t="s">
        <v>794</v>
      </c>
      <c r="F764" s="4" t="s">
        <v>272</v>
      </c>
      <c r="G764" s="4" t="s">
        <v>795</v>
      </c>
      <c r="H764" s="4" t="s">
        <v>230</v>
      </c>
      <c r="I764" s="35" t="s">
        <v>793</v>
      </c>
      <c r="J764" s="4" t="s">
        <v>796</v>
      </c>
      <c r="K764" s="4" t="s">
        <v>797</v>
      </c>
      <c r="L764" s="4" t="s">
        <v>484</v>
      </c>
      <c r="M764" s="4" t="s">
        <v>798</v>
      </c>
      <c r="N764" s="4" t="s">
        <v>799</v>
      </c>
      <c r="O764" s="4"/>
      <c r="P764" s="4"/>
      <c r="Q764" s="4"/>
    </row>
    <row r="765" spans="1:17" ht="12.95" customHeight="1" x14ac:dyDescent="0.2">
      <c r="A765" s="2" t="s">
        <v>131</v>
      </c>
      <c r="B765" s="2" t="s">
        <v>42</v>
      </c>
      <c r="C765" s="2" t="s">
        <v>800</v>
      </c>
      <c r="D765" s="2" t="s">
        <v>514</v>
      </c>
      <c r="E765" s="3" t="s">
        <v>483</v>
      </c>
      <c r="F765" s="2" t="s">
        <v>46</v>
      </c>
      <c r="G765" s="2" t="s">
        <v>694</v>
      </c>
      <c r="H765" s="2" t="s">
        <v>201</v>
      </c>
      <c r="I765" s="13"/>
      <c r="J765" s="2" t="s">
        <v>48</v>
      </c>
      <c r="K765" s="2" t="s">
        <v>625</v>
      </c>
      <c r="L765" s="2"/>
      <c r="M765" s="2" t="s">
        <v>86</v>
      </c>
      <c r="N765" s="2"/>
      <c r="O765" s="2"/>
      <c r="P765" s="2"/>
      <c r="Q765" s="2"/>
    </row>
    <row r="766" spans="1:17" ht="12.95" customHeight="1" x14ac:dyDescent="0.2">
      <c r="A766" s="2" t="s">
        <v>138</v>
      </c>
      <c r="B766" s="2" t="s">
        <v>42</v>
      </c>
      <c r="C766" s="2" t="s">
        <v>366</v>
      </c>
      <c r="D766" s="2" t="s">
        <v>429</v>
      </c>
      <c r="E766" s="3" t="s">
        <v>270</v>
      </c>
      <c r="F766" s="2" t="s">
        <v>46</v>
      </c>
      <c r="G766" s="2" t="s">
        <v>271</v>
      </c>
      <c r="H766" s="2" t="s">
        <v>201</v>
      </c>
      <c r="I766" s="13"/>
      <c r="J766" s="2" t="s">
        <v>48</v>
      </c>
      <c r="K766" s="2" t="s">
        <v>272</v>
      </c>
      <c r="L766" s="2" t="s">
        <v>273</v>
      </c>
      <c r="M766" s="2" t="s">
        <v>272</v>
      </c>
      <c r="N766" s="2" t="s">
        <v>369</v>
      </c>
      <c r="O766" s="2"/>
      <c r="P766" s="2"/>
      <c r="Q766" s="2"/>
    </row>
    <row r="767" spans="1:17" ht="12.95" customHeight="1" x14ac:dyDescent="0.2">
      <c r="A767" s="2" t="s">
        <v>143</v>
      </c>
      <c r="B767" s="2" t="s">
        <v>42</v>
      </c>
      <c r="C767" s="2" t="s">
        <v>768</v>
      </c>
      <c r="D767" s="2" t="s">
        <v>492</v>
      </c>
      <c r="E767" s="3" t="s">
        <v>801</v>
      </c>
      <c r="F767" s="2" t="s">
        <v>46</v>
      </c>
      <c r="G767" s="2" t="s">
        <v>345</v>
      </c>
      <c r="H767" s="2" t="s">
        <v>201</v>
      </c>
      <c r="I767" s="13"/>
      <c r="J767" s="2" t="s">
        <v>48</v>
      </c>
      <c r="K767" s="2" t="s">
        <v>517</v>
      </c>
      <c r="L767" s="2"/>
      <c r="M767" s="2" t="s">
        <v>522</v>
      </c>
      <c r="N767" s="2" t="s">
        <v>120</v>
      </c>
      <c r="O767" s="2"/>
      <c r="P767" s="2"/>
      <c r="Q767" s="2"/>
    </row>
    <row r="768" spans="1:17" ht="12.95" customHeight="1" x14ac:dyDescent="0.2">
      <c r="A768" s="2" t="s">
        <v>148</v>
      </c>
      <c r="B768" s="2" t="s">
        <v>42</v>
      </c>
      <c r="C768" s="2" t="s">
        <v>802</v>
      </c>
      <c r="D768" s="2" t="s">
        <v>313</v>
      </c>
      <c r="E768" s="3" t="s">
        <v>803</v>
      </c>
      <c r="F768" s="2" t="s">
        <v>46</v>
      </c>
      <c r="G768" s="2" t="s">
        <v>804</v>
      </c>
      <c r="H768" s="2" t="s">
        <v>201</v>
      </c>
      <c r="I768" s="13"/>
      <c r="J768" s="2" t="s">
        <v>48</v>
      </c>
      <c r="K768" s="2" t="s">
        <v>272</v>
      </c>
      <c r="L768" s="2" t="s">
        <v>302</v>
      </c>
      <c r="M768" s="2" t="s">
        <v>805</v>
      </c>
      <c r="N768" s="2" t="s">
        <v>290</v>
      </c>
      <c r="O768" s="2"/>
      <c r="P768" s="2"/>
      <c r="Q768" s="2"/>
    </row>
    <row r="769" spans="1:17" ht="12.95" customHeight="1" x14ac:dyDescent="0.2">
      <c r="A769" s="2" t="s">
        <v>155</v>
      </c>
      <c r="B769" s="2" t="s">
        <v>42</v>
      </c>
      <c r="C769" s="2" t="s">
        <v>48</v>
      </c>
      <c r="D769" s="2" t="s">
        <v>806</v>
      </c>
      <c r="E769" s="3" t="s">
        <v>807</v>
      </c>
      <c r="F769" s="2" t="s">
        <v>46</v>
      </c>
      <c r="G769" s="2" t="s">
        <v>808</v>
      </c>
      <c r="H769" s="2" t="s">
        <v>201</v>
      </c>
      <c r="I769" s="13"/>
      <c r="J769" s="2" t="s">
        <v>48</v>
      </c>
      <c r="K769" s="2" t="s">
        <v>272</v>
      </c>
      <c r="L769" s="2" t="s">
        <v>160</v>
      </c>
      <c r="M769" s="2" t="s">
        <v>192</v>
      </c>
      <c r="N769" s="2" t="s">
        <v>108</v>
      </c>
      <c r="O769" s="2"/>
      <c r="P769" s="2"/>
      <c r="Q769" s="2"/>
    </row>
    <row r="770" spans="1:17" ht="12.95" customHeight="1" x14ac:dyDescent="0.2">
      <c r="A770" s="8" t="s">
        <v>161</v>
      </c>
      <c r="B770" s="8"/>
      <c r="C770" s="8"/>
      <c r="D770" s="8"/>
      <c r="E770" s="5" t="s">
        <v>809</v>
      </c>
      <c r="F770" s="5" t="s">
        <v>810</v>
      </c>
      <c r="G770" s="5" t="s">
        <v>811</v>
      </c>
      <c r="H770" s="5" t="s">
        <v>379</v>
      </c>
      <c r="I770" s="36" t="s">
        <v>812</v>
      </c>
      <c r="J770" s="5" t="s">
        <v>813</v>
      </c>
      <c r="K770" s="5" t="s">
        <v>814</v>
      </c>
      <c r="L770" s="5" t="s">
        <v>682</v>
      </c>
      <c r="M770" s="5" t="s">
        <v>815</v>
      </c>
      <c r="N770" s="5" t="s">
        <v>603</v>
      </c>
      <c r="O770" s="5"/>
      <c r="P770" s="5"/>
      <c r="Q770" s="5"/>
    </row>
    <row r="771" spans="1:17" ht="12.95" customHeight="1" x14ac:dyDescent="0.2">
      <c r="A771" s="8" t="s">
        <v>171</v>
      </c>
      <c r="B771" s="8"/>
      <c r="C771" s="8"/>
      <c r="D771" s="8"/>
      <c r="E771" s="5" t="s">
        <v>809</v>
      </c>
      <c r="F771" s="5" t="s">
        <v>810</v>
      </c>
      <c r="G771" s="5" t="s">
        <v>811</v>
      </c>
      <c r="H771" s="5" t="s">
        <v>379</v>
      </c>
      <c r="I771" s="36" t="s">
        <v>296</v>
      </c>
      <c r="J771" s="5" t="s">
        <v>813</v>
      </c>
      <c r="K771" s="5" t="s">
        <v>814</v>
      </c>
      <c r="L771" s="5" t="s">
        <v>682</v>
      </c>
      <c r="M771" s="5" t="s">
        <v>815</v>
      </c>
      <c r="N771" s="5" t="s">
        <v>603</v>
      </c>
      <c r="O771" s="5"/>
      <c r="P771" s="5"/>
      <c r="Q771" s="5"/>
    </row>
    <row r="772" spans="1:17" ht="12.95" customHeight="1" x14ac:dyDescent="0.2">
      <c r="A772" s="8" t="s">
        <v>173</v>
      </c>
      <c r="B772" s="8"/>
      <c r="C772" s="8"/>
      <c r="D772" s="8"/>
      <c r="E772" s="5">
        <v>189.98</v>
      </c>
      <c r="F772" s="5">
        <v>8</v>
      </c>
      <c r="G772" s="5">
        <v>181.98</v>
      </c>
      <c r="H772" s="5">
        <v>120.5</v>
      </c>
      <c r="I772" s="36">
        <v>0</v>
      </c>
      <c r="J772" s="5">
        <v>144.46</v>
      </c>
      <c r="K772" s="5">
        <v>27.83</v>
      </c>
      <c r="L772" s="5">
        <v>9.68</v>
      </c>
      <c r="M772" s="5">
        <v>44.76</v>
      </c>
      <c r="N772" s="5">
        <v>5.86</v>
      </c>
      <c r="O772" s="5"/>
      <c r="P772" s="5"/>
      <c r="Q772" s="5"/>
    </row>
    <row r="773" spans="1:17" x14ac:dyDescent="0.2">
      <c r="I773" s="37"/>
    </row>
    <row r="774" spans="1:17" ht="12.95" customHeight="1" x14ac:dyDescent="0.2">
      <c r="A774" s="9" t="s">
        <v>174</v>
      </c>
      <c r="B774" s="9"/>
      <c r="C774" s="9"/>
      <c r="E774" s="9" t="s">
        <v>180</v>
      </c>
      <c r="F774" s="9"/>
      <c r="G774" s="9"/>
      <c r="I774" s="9" t="s">
        <v>181</v>
      </c>
      <c r="J774" s="9"/>
      <c r="K774" s="9"/>
    </row>
    <row r="775" spans="1:17" ht="12.95" customHeight="1" x14ac:dyDescent="0.2">
      <c r="A775" s="10" t="s">
        <v>175</v>
      </c>
      <c r="B775" s="10"/>
      <c r="C775" s="6">
        <v>18</v>
      </c>
      <c r="E775" s="10" t="s">
        <v>14</v>
      </c>
      <c r="F775" s="10"/>
      <c r="G775" s="6">
        <v>144.46</v>
      </c>
      <c r="I775" s="10" t="s">
        <v>27</v>
      </c>
      <c r="J775" s="10"/>
      <c r="K775" s="26">
        <v>3</v>
      </c>
    </row>
    <row r="776" spans="1:17" ht="12.95" customHeight="1" x14ac:dyDescent="0.2">
      <c r="A776" s="10" t="s">
        <v>1531</v>
      </c>
      <c r="B776" s="10"/>
      <c r="C776" s="6">
        <v>22</v>
      </c>
      <c r="E776" s="10" t="s">
        <v>15</v>
      </c>
      <c r="F776" s="10"/>
      <c r="G776" s="6">
        <v>27.83</v>
      </c>
      <c r="I776" s="10" t="s">
        <v>22</v>
      </c>
      <c r="J776" s="10"/>
      <c r="K776" s="26">
        <v>1</v>
      </c>
    </row>
    <row r="777" spans="1:17" ht="12.95" customHeight="1" x14ac:dyDescent="0.2">
      <c r="A777" s="10" t="s">
        <v>176</v>
      </c>
      <c r="B777" s="10"/>
      <c r="C777" s="6">
        <v>189.98</v>
      </c>
      <c r="E777" s="10" t="s">
        <v>267</v>
      </c>
      <c r="F777" s="10"/>
      <c r="G777" s="6">
        <v>9.68</v>
      </c>
      <c r="I777" s="10" t="s">
        <v>36</v>
      </c>
      <c r="J777" s="10"/>
      <c r="K777" s="26">
        <v>2</v>
      </c>
    </row>
    <row r="778" spans="1:17" ht="12.95" customHeight="1" x14ac:dyDescent="0.2">
      <c r="A778" s="10" t="s">
        <v>177</v>
      </c>
      <c r="B778" s="10"/>
      <c r="C778" s="6">
        <v>120.5</v>
      </c>
      <c r="I778" s="39" t="s">
        <v>1591</v>
      </c>
      <c r="J778" s="19"/>
      <c r="K778" s="20">
        <v>0.5</v>
      </c>
    </row>
    <row r="779" spans="1:17" ht="12.95" customHeight="1" x14ac:dyDescent="0.2">
      <c r="A779" s="10" t="s">
        <v>11</v>
      </c>
      <c r="B779" s="10"/>
      <c r="C779" s="6">
        <v>181.98</v>
      </c>
      <c r="I779" s="39" t="s">
        <v>1592</v>
      </c>
      <c r="J779" s="19"/>
      <c r="K779" s="38">
        <v>0</v>
      </c>
    </row>
    <row r="780" spans="1:17" ht="12.95" customHeight="1" x14ac:dyDescent="0.25">
      <c r="A780" s="10" t="s">
        <v>178</v>
      </c>
      <c r="B780" s="10"/>
      <c r="C780" s="30">
        <v>2.85</v>
      </c>
      <c r="I780" s="41" t="s">
        <v>1593</v>
      </c>
      <c r="J780" s="40"/>
      <c r="K780" s="42">
        <f>K778+K779</f>
        <v>0.5</v>
      </c>
    </row>
    <row r="781" spans="1:17" ht="12.95" customHeight="1" x14ac:dyDescent="0.2">
      <c r="A781" s="28" t="s">
        <v>1571</v>
      </c>
      <c r="B781" s="27"/>
      <c r="C781" s="112">
        <v>-2.85</v>
      </c>
    </row>
    <row r="782" spans="1:17" ht="12.95" customHeight="1" x14ac:dyDescent="0.2">
      <c r="A782" s="29" t="s">
        <v>1572</v>
      </c>
      <c r="B782" s="29"/>
      <c r="C782" s="32">
        <f>C780+C781</f>
        <v>0</v>
      </c>
    </row>
    <row r="783" spans="1:17" x14ac:dyDescent="0.2">
      <c r="A783" s="10" t="s">
        <v>10</v>
      </c>
      <c r="B783" s="10"/>
      <c r="C783" s="6">
        <v>8</v>
      </c>
    </row>
    <row r="784" spans="1:17" x14ac:dyDescent="0.2">
      <c r="A784" t="s">
        <v>1615</v>
      </c>
      <c r="C784" cm="1">
        <f t="array" ref="C784">IFERROR(SUMPRODUCT(ISNUMBER(SEARCH("מילואים",O736:O773))*(C736:C773&lt;&gt;"")*(J736:J773+0))*24,0)</f>
        <v>0</v>
      </c>
    </row>
    <row r="785" spans="1:17" ht="12.95" customHeight="1" x14ac:dyDescent="0.2">
      <c r="A785" s="7" t="s">
        <v>816</v>
      </c>
      <c r="B785" s="7"/>
      <c r="C785" s="7"/>
      <c r="D785" s="7" t="s">
        <v>1</v>
      </c>
      <c r="E785" s="7"/>
      <c r="F785" s="7"/>
      <c r="G785" s="7"/>
      <c r="H785" s="7" t="s">
        <v>2</v>
      </c>
      <c r="I785" s="7"/>
      <c r="J785" s="7"/>
      <c r="K785" s="7"/>
      <c r="L785" s="7"/>
      <c r="M785" s="7"/>
      <c r="N785" s="7"/>
      <c r="O785" s="7"/>
      <c r="P785" s="7"/>
      <c r="Q785" s="7"/>
    </row>
    <row r="786" spans="1:17" ht="12.95" customHeight="1" x14ac:dyDescent="0.2">
      <c r="A786" s="7" t="s">
        <v>3</v>
      </c>
      <c r="B786" s="7"/>
      <c r="C786" s="7"/>
      <c r="D786" s="7"/>
      <c r="E786" s="7"/>
      <c r="F786" s="7">
        <v>127</v>
      </c>
      <c r="G786" s="7"/>
      <c r="H786" s="7" t="s">
        <v>183</v>
      </c>
      <c r="I786" s="7"/>
      <c r="J786" s="7"/>
      <c r="K786" s="7"/>
      <c r="L786" s="7"/>
      <c r="M786" s="7"/>
      <c r="N786" s="7"/>
      <c r="O786" s="103"/>
      <c r="P786" s="7"/>
      <c r="Q786" s="7"/>
    </row>
    <row r="787" spans="1:17" ht="22.5" customHeight="1" x14ac:dyDescent="0.2">
      <c r="A787" s="1" t="s">
        <v>5</v>
      </c>
      <c r="B787" s="1" t="s">
        <v>6</v>
      </c>
      <c r="C787" s="1" t="s">
        <v>7</v>
      </c>
      <c r="D787" s="1" t="s">
        <v>8</v>
      </c>
      <c r="E787" s="1" t="s">
        <v>9</v>
      </c>
      <c r="F787" s="1" t="s">
        <v>10</v>
      </c>
      <c r="G787" s="1" t="s">
        <v>11</v>
      </c>
      <c r="H787" s="1" t="s">
        <v>12</v>
      </c>
      <c r="I787" s="1" t="s">
        <v>13</v>
      </c>
      <c r="J787" s="1" t="s">
        <v>14</v>
      </c>
      <c r="K787" s="1" t="s">
        <v>15</v>
      </c>
      <c r="L787" s="1" t="s">
        <v>267</v>
      </c>
      <c r="M787" s="1" t="s">
        <v>16</v>
      </c>
      <c r="N787" s="1" t="s">
        <v>17</v>
      </c>
      <c r="O787" s="1" t="s">
        <v>18</v>
      </c>
      <c r="P787" s="1" t="s">
        <v>19</v>
      </c>
      <c r="Q787" s="1" t="s">
        <v>20</v>
      </c>
    </row>
    <row r="788" spans="1:17" ht="12.95" customHeight="1" x14ac:dyDescent="0.2">
      <c r="A788" s="2" t="s">
        <v>21</v>
      </c>
      <c r="B788" s="2" t="s">
        <v>22</v>
      </c>
      <c r="C788" s="2"/>
      <c r="D788" s="2"/>
      <c r="E788" s="3"/>
      <c r="F788" s="2"/>
      <c r="G788" s="2"/>
      <c r="H788" s="2"/>
      <c r="I788" s="130">
        <v>0</v>
      </c>
      <c r="J788" s="2"/>
      <c r="K788" s="2"/>
      <c r="L788" s="2"/>
      <c r="M788" s="2"/>
      <c r="N788" s="2"/>
      <c r="O788" s="129" t="s">
        <v>1749</v>
      </c>
      <c r="P788" s="2"/>
      <c r="Q788" s="2"/>
    </row>
    <row r="789" spans="1:17" ht="12.95" customHeight="1" x14ac:dyDescent="0.2">
      <c r="A789" s="2" t="s">
        <v>26</v>
      </c>
      <c r="B789" s="2" t="s">
        <v>27</v>
      </c>
      <c r="C789" s="2"/>
      <c r="D789" s="2"/>
      <c r="E789" s="3"/>
      <c r="F789" s="2"/>
      <c r="G789" s="2"/>
      <c r="H789" s="2"/>
      <c r="I789" s="130">
        <v>0</v>
      </c>
      <c r="J789" s="2"/>
      <c r="K789" s="2"/>
      <c r="L789" s="2"/>
      <c r="M789" s="2"/>
      <c r="N789" s="2"/>
      <c r="O789" s="129" t="s">
        <v>1749</v>
      </c>
      <c r="P789" s="2"/>
      <c r="Q789" s="2"/>
    </row>
    <row r="790" spans="1:17" ht="12.95" customHeight="1" x14ac:dyDescent="0.2">
      <c r="A790" s="4" t="s">
        <v>30</v>
      </c>
      <c r="B790" s="4" t="s">
        <v>31</v>
      </c>
      <c r="C790" s="4"/>
      <c r="D790" s="4"/>
      <c r="E790" s="3"/>
      <c r="F790" s="4"/>
      <c r="G790" s="4"/>
      <c r="H790" s="4"/>
      <c r="I790" s="35"/>
      <c r="J790" s="4"/>
      <c r="K790" s="4"/>
      <c r="L790" s="4"/>
      <c r="M790" s="4"/>
      <c r="N790" s="4"/>
      <c r="O790" s="4"/>
      <c r="P790" s="4"/>
      <c r="Q790" s="4"/>
    </row>
    <row r="791" spans="1:17" ht="12.95" customHeight="1" x14ac:dyDescent="0.2">
      <c r="A791" s="4" t="s">
        <v>32</v>
      </c>
      <c r="B791" s="4" t="s">
        <v>31</v>
      </c>
      <c r="C791" s="4"/>
      <c r="D791" s="4"/>
      <c r="E791" s="3"/>
      <c r="F791" s="4"/>
      <c r="G791" s="4"/>
      <c r="H791" s="4"/>
      <c r="I791" s="35"/>
      <c r="J791" s="4"/>
      <c r="K791" s="4"/>
      <c r="L791" s="4"/>
      <c r="M791" s="4"/>
      <c r="N791" s="4"/>
      <c r="O791" s="4"/>
      <c r="P791" s="4"/>
      <c r="Q791" s="4"/>
    </row>
    <row r="792" spans="1:17" x14ac:dyDescent="0.2">
      <c r="A792" s="4" t="s">
        <v>33</v>
      </c>
      <c r="B792" s="4" t="s">
        <v>34</v>
      </c>
      <c r="C792" s="4" t="s">
        <v>34</v>
      </c>
      <c r="D792" s="4" t="s">
        <v>34</v>
      </c>
      <c r="E792" s="4"/>
      <c r="F792" s="4"/>
      <c r="G792" s="4"/>
      <c r="H792" s="4"/>
      <c r="I792" s="35"/>
      <c r="J792" s="4"/>
      <c r="K792" s="4"/>
      <c r="L792" s="4"/>
      <c r="M792" s="4"/>
      <c r="N792" s="4"/>
      <c r="O792" s="4"/>
      <c r="P792" s="4"/>
      <c r="Q792" s="4"/>
    </row>
    <row r="793" spans="1:17" ht="12.95" customHeight="1" x14ac:dyDescent="0.2">
      <c r="A793" s="2" t="s">
        <v>35</v>
      </c>
      <c r="B793" s="2" t="s">
        <v>36</v>
      </c>
      <c r="C793" s="2"/>
      <c r="D793" s="2"/>
      <c r="E793" s="3"/>
      <c r="F793" s="2"/>
      <c r="G793" s="2"/>
      <c r="H793" s="2"/>
      <c r="I793" s="130">
        <v>0</v>
      </c>
      <c r="J793" s="2"/>
      <c r="K793" s="2"/>
      <c r="L793" s="2"/>
      <c r="M793" s="2"/>
      <c r="N793" s="2"/>
      <c r="O793" s="129" t="s">
        <v>1749</v>
      </c>
      <c r="P793" s="2"/>
      <c r="Q793" s="2"/>
    </row>
    <row r="794" spans="1:17" ht="12.95" customHeight="1" x14ac:dyDescent="0.2">
      <c r="A794" s="2" t="s">
        <v>38</v>
      </c>
      <c r="B794" s="2" t="s">
        <v>36</v>
      </c>
      <c r="C794" s="2"/>
      <c r="D794" s="2"/>
      <c r="E794" s="3"/>
      <c r="F794" s="2"/>
      <c r="G794" s="2"/>
      <c r="H794" s="2"/>
      <c r="I794" s="130">
        <v>0</v>
      </c>
      <c r="J794" s="2"/>
      <c r="K794" s="2"/>
      <c r="L794" s="2"/>
      <c r="M794" s="2"/>
      <c r="N794" s="2"/>
      <c r="O794" s="129" t="s">
        <v>1749</v>
      </c>
      <c r="P794" s="2"/>
      <c r="Q794" s="2"/>
    </row>
    <row r="795" spans="1:17" ht="12.95" customHeight="1" x14ac:dyDescent="0.2">
      <c r="A795" s="2" t="s">
        <v>39</v>
      </c>
      <c r="B795" s="2" t="s">
        <v>22</v>
      </c>
      <c r="C795" s="2"/>
      <c r="D795" s="2"/>
      <c r="E795" s="3"/>
      <c r="F795" s="2"/>
      <c r="G795" s="2"/>
      <c r="H795" s="2"/>
      <c r="I795" s="130">
        <v>0</v>
      </c>
      <c r="J795" s="2"/>
      <c r="K795" s="2"/>
      <c r="L795" s="2"/>
      <c r="M795" s="2"/>
      <c r="N795" s="2"/>
      <c r="O795" s="129" t="s">
        <v>1749</v>
      </c>
      <c r="P795" s="2"/>
      <c r="Q795" s="2"/>
    </row>
    <row r="796" spans="1:17" ht="12.95" customHeight="1" x14ac:dyDescent="0.2">
      <c r="A796" s="2" t="s">
        <v>40</v>
      </c>
      <c r="B796" s="2" t="s">
        <v>27</v>
      </c>
      <c r="C796" s="2"/>
      <c r="D796" s="2"/>
      <c r="E796" s="3"/>
      <c r="F796" s="2"/>
      <c r="G796" s="2"/>
      <c r="H796" s="2"/>
      <c r="I796" s="130">
        <v>0</v>
      </c>
      <c r="J796" s="2"/>
      <c r="K796" s="2"/>
      <c r="L796" s="2"/>
      <c r="M796" s="2"/>
      <c r="N796" s="2"/>
      <c r="O796" s="129" t="s">
        <v>1749</v>
      </c>
      <c r="P796" s="2"/>
      <c r="Q796" s="2"/>
    </row>
    <row r="797" spans="1:17" ht="12.95" customHeight="1" x14ac:dyDescent="0.2">
      <c r="A797" s="2" t="s">
        <v>41</v>
      </c>
      <c r="B797" s="2" t="s">
        <v>42</v>
      </c>
      <c r="C797" s="2"/>
      <c r="D797" s="2"/>
      <c r="E797" s="3"/>
      <c r="F797" s="2"/>
      <c r="G797" s="2"/>
      <c r="H797" s="2"/>
      <c r="I797" s="130">
        <v>0</v>
      </c>
      <c r="J797" s="2"/>
      <c r="K797" s="2"/>
      <c r="L797" s="2"/>
      <c r="M797" s="2"/>
      <c r="N797" s="2"/>
      <c r="O797" s="129" t="s">
        <v>1749</v>
      </c>
      <c r="P797" s="2"/>
      <c r="Q797" s="2"/>
    </row>
    <row r="798" spans="1:17" ht="12.95" customHeight="1" x14ac:dyDescent="0.2">
      <c r="A798" s="4" t="s">
        <v>51</v>
      </c>
      <c r="B798" s="4" t="s">
        <v>31</v>
      </c>
      <c r="C798" s="4"/>
      <c r="D798" s="4"/>
      <c r="E798" s="3"/>
      <c r="F798" s="4"/>
      <c r="G798" s="4"/>
      <c r="H798" s="4"/>
      <c r="I798" s="35"/>
      <c r="J798" s="4"/>
      <c r="K798" s="4"/>
      <c r="L798" s="4"/>
      <c r="M798" s="4"/>
      <c r="N798" s="4"/>
      <c r="O798" s="4"/>
      <c r="P798" s="4"/>
      <c r="Q798" s="4"/>
    </row>
    <row r="799" spans="1:17" ht="12.95" customHeight="1" x14ac:dyDescent="0.2">
      <c r="A799" s="4" t="s">
        <v>52</v>
      </c>
      <c r="B799" s="4" t="s">
        <v>31</v>
      </c>
      <c r="C799" s="4"/>
      <c r="D799" s="4"/>
      <c r="E799" s="3"/>
      <c r="F799" s="4"/>
      <c r="G799" s="4"/>
      <c r="H799" s="4"/>
      <c r="I799" s="35"/>
      <c r="J799" s="4"/>
      <c r="K799" s="4"/>
      <c r="L799" s="4"/>
      <c r="M799" s="4"/>
      <c r="N799" s="4"/>
      <c r="O799" s="4"/>
      <c r="P799" s="4"/>
      <c r="Q799" s="4"/>
    </row>
    <row r="800" spans="1:17" x14ac:dyDescent="0.2">
      <c r="A800" s="4" t="s">
        <v>33</v>
      </c>
      <c r="B800" s="4" t="s">
        <v>34</v>
      </c>
      <c r="C800" s="4" t="s">
        <v>34</v>
      </c>
      <c r="D800" s="4" t="s">
        <v>34</v>
      </c>
      <c r="E800" s="4"/>
      <c r="F800" s="4"/>
      <c r="G800" s="4"/>
      <c r="H800" s="4"/>
      <c r="I800" s="35"/>
      <c r="J800" s="4"/>
      <c r="K800" s="4"/>
      <c r="L800" s="4"/>
      <c r="M800" s="4"/>
      <c r="N800" s="4"/>
      <c r="O800" s="4"/>
      <c r="P800" s="4"/>
      <c r="Q800" s="4"/>
    </row>
    <row r="801" spans="1:17" ht="12.95" customHeight="1" x14ac:dyDescent="0.2">
      <c r="A801" s="2" t="s">
        <v>54</v>
      </c>
      <c r="B801" s="2" t="s">
        <v>42</v>
      </c>
      <c r="C801" s="2"/>
      <c r="D801" s="2"/>
      <c r="E801" s="3"/>
      <c r="F801" s="2"/>
      <c r="G801" s="2"/>
      <c r="H801" s="2"/>
      <c r="I801" s="130">
        <v>0</v>
      </c>
      <c r="J801" s="2"/>
      <c r="K801" s="2"/>
      <c r="L801" s="2"/>
      <c r="M801" s="2"/>
      <c r="N801" s="2"/>
      <c r="O801" s="129" t="s">
        <v>1749</v>
      </c>
      <c r="P801" s="2"/>
      <c r="Q801" s="2"/>
    </row>
    <row r="802" spans="1:17" ht="12.95" customHeight="1" x14ac:dyDescent="0.2">
      <c r="A802" s="2" t="s">
        <v>61</v>
      </c>
      <c r="B802" s="2" t="s">
        <v>42</v>
      </c>
      <c r="C802" s="2"/>
      <c r="D802" s="2"/>
      <c r="E802" s="3"/>
      <c r="F802" s="2"/>
      <c r="G802" s="2"/>
      <c r="H802" s="2"/>
      <c r="I802" s="130">
        <v>0</v>
      </c>
      <c r="J802" s="2"/>
      <c r="K802" s="2"/>
      <c r="L802" s="2"/>
      <c r="M802" s="2"/>
      <c r="N802" s="2"/>
      <c r="O802" s="129" t="s">
        <v>1749</v>
      </c>
      <c r="P802" s="2"/>
      <c r="Q802" s="2"/>
    </row>
    <row r="803" spans="1:17" ht="12.95" customHeight="1" x14ac:dyDescent="0.2">
      <c r="A803" s="2" t="s">
        <v>68</v>
      </c>
      <c r="B803" s="2" t="s">
        <v>42</v>
      </c>
      <c r="C803" s="2"/>
      <c r="D803" s="2"/>
      <c r="E803" s="3"/>
      <c r="F803" s="2"/>
      <c r="G803" s="2"/>
      <c r="H803" s="2"/>
      <c r="I803" s="130">
        <v>0</v>
      </c>
      <c r="J803" s="2"/>
      <c r="K803" s="2"/>
      <c r="L803" s="2"/>
      <c r="M803" s="2"/>
      <c r="N803" s="2"/>
      <c r="O803" s="129" t="s">
        <v>1749</v>
      </c>
      <c r="P803" s="2"/>
      <c r="Q803" s="2"/>
    </row>
    <row r="804" spans="1:17" ht="12.95" customHeight="1" x14ac:dyDescent="0.2">
      <c r="A804" s="2" t="s">
        <v>75</v>
      </c>
      <c r="B804" s="2" t="s">
        <v>42</v>
      </c>
      <c r="C804" s="2"/>
      <c r="D804" s="2"/>
      <c r="E804" s="3"/>
      <c r="F804" s="2"/>
      <c r="G804" s="2"/>
      <c r="H804" s="2"/>
      <c r="I804" s="130">
        <v>0</v>
      </c>
      <c r="J804" s="2"/>
      <c r="K804" s="2"/>
      <c r="L804" s="2"/>
      <c r="M804" s="2"/>
      <c r="N804" s="2"/>
      <c r="O804" s="129" t="s">
        <v>1749</v>
      </c>
      <c r="P804" s="2"/>
      <c r="Q804" s="2"/>
    </row>
    <row r="805" spans="1:17" ht="12.95" customHeight="1" x14ac:dyDescent="0.2">
      <c r="A805" s="2" t="s">
        <v>81</v>
      </c>
      <c r="B805" s="2" t="s">
        <v>42</v>
      </c>
      <c r="C805" s="2"/>
      <c r="D805" s="2"/>
      <c r="E805" s="3"/>
      <c r="F805" s="2"/>
      <c r="G805" s="2"/>
      <c r="H805" s="2"/>
      <c r="I805" s="130">
        <v>0</v>
      </c>
      <c r="J805" s="2"/>
      <c r="K805" s="2"/>
      <c r="L805" s="2"/>
      <c r="M805" s="2"/>
      <c r="N805" s="2"/>
      <c r="O805" s="129" t="s">
        <v>1749</v>
      </c>
      <c r="P805" s="2"/>
      <c r="Q805" s="2"/>
    </row>
    <row r="806" spans="1:17" ht="12.95" customHeight="1" x14ac:dyDescent="0.2">
      <c r="A806" s="4" t="s">
        <v>87</v>
      </c>
      <c r="B806" s="4" t="s">
        <v>31</v>
      </c>
      <c r="C806" s="4"/>
      <c r="D806" s="4"/>
      <c r="E806" s="3"/>
      <c r="F806" s="4"/>
      <c r="G806" s="4"/>
      <c r="H806" s="4"/>
      <c r="I806" s="35"/>
      <c r="J806" s="4"/>
      <c r="K806" s="4"/>
      <c r="L806" s="4"/>
      <c r="M806" s="4"/>
      <c r="N806" s="4"/>
      <c r="O806" s="4"/>
      <c r="P806" s="4"/>
      <c r="Q806" s="4"/>
    </row>
    <row r="807" spans="1:17" ht="12.95" customHeight="1" x14ac:dyDescent="0.2">
      <c r="A807" s="4" t="s">
        <v>88</v>
      </c>
      <c r="B807" s="4" t="s">
        <v>31</v>
      </c>
      <c r="C807" s="4"/>
      <c r="D807" s="4"/>
      <c r="E807" s="3"/>
      <c r="F807" s="4"/>
      <c r="G807" s="4"/>
      <c r="H807" s="4"/>
      <c r="I807" s="35"/>
      <c r="J807" s="4"/>
      <c r="K807" s="4"/>
      <c r="L807" s="4"/>
      <c r="M807" s="4"/>
      <c r="N807" s="4"/>
      <c r="O807" s="4"/>
      <c r="P807" s="4"/>
      <c r="Q807" s="4"/>
    </row>
    <row r="808" spans="1:17" x14ac:dyDescent="0.2">
      <c r="A808" s="4" t="s">
        <v>33</v>
      </c>
      <c r="B808" s="4" t="s">
        <v>34</v>
      </c>
      <c r="C808" s="4" t="s">
        <v>34</v>
      </c>
      <c r="D808" s="4" t="s">
        <v>34</v>
      </c>
      <c r="E808" s="4"/>
      <c r="F808" s="4"/>
      <c r="G808" s="4"/>
      <c r="H808" s="4"/>
      <c r="I808" s="35"/>
      <c r="J808" s="4"/>
      <c r="K808" s="4"/>
      <c r="L808" s="4"/>
      <c r="M808" s="4"/>
      <c r="N808" s="4"/>
      <c r="O808" s="4"/>
      <c r="P808" s="4"/>
      <c r="Q808" s="4"/>
    </row>
    <row r="809" spans="1:17" ht="12.95" customHeight="1" x14ac:dyDescent="0.2">
      <c r="A809" s="2" t="s">
        <v>97</v>
      </c>
      <c r="B809" s="2" t="s">
        <v>42</v>
      </c>
      <c r="C809" s="2"/>
      <c r="D809" s="2"/>
      <c r="E809" s="3"/>
      <c r="F809" s="2"/>
      <c r="G809" s="2"/>
      <c r="H809" s="2"/>
      <c r="I809" s="130">
        <v>0</v>
      </c>
      <c r="J809" s="2"/>
      <c r="K809" s="2"/>
      <c r="L809" s="2"/>
      <c r="M809" s="2"/>
      <c r="N809" s="2"/>
      <c r="O809" s="129" t="s">
        <v>1749</v>
      </c>
      <c r="P809" s="2"/>
      <c r="Q809" s="2"/>
    </row>
    <row r="810" spans="1:17" ht="12.95" customHeight="1" x14ac:dyDescent="0.2">
      <c r="A810" s="2" t="s">
        <v>104</v>
      </c>
      <c r="B810" s="2" t="s">
        <v>42</v>
      </c>
      <c r="C810" s="2"/>
      <c r="D810" s="2"/>
      <c r="E810" s="3"/>
      <c r="F810" s="2"/>
      <c r="G810" s="2"/>
      <c r="H810" s="2"/>
      <c r="I810" s="130">
        <v>0</v>
      </c>
      <c r="J810" s="2"/>
      <c r="K810" s="2"/>
      <c r="L810" s="2"/>
      <c r="M810" s="2"/>
      <c r="N810" s="2"/>
      <c r="O810" s="129" t="s">
        <v>1749</v>
      </c>
      <c r="P810" s="2"/>
      <c r="Q810" s="2"/>
    </row>
    <row r="811" spans="1:17" ht="12.95" customHeight="1" x14ac:dyDescent="0.2">
      <c r="A811" s="2" t="s">
        <v>112</v>
      </c>
      <c r="B811" s="2" t="s">
        <v>22</v>
      </c>
      <c r="C811" s="2"/>
      <c r="D811" s="2"/>
      <c r="E811" s="3"/>
      <c r="F811" s="2"/>
      <c r="G811" s="2"/>
      <c r="H811" s="2"/>
      <c r="I811" s="130">
        <v>0</v>
      </c>
      <c r="J811" s="2"/>
      <c r="K811" s="2"/>
      <c r="L811" s="2"/>
      <c r="M811" s="2"/>
      <c r="N811" s="2"/>
      <c r="O811" s="129" t="s">
        <v>1749</v>
      </c>
      <c r="P811" s="2"/>
      <c r="Q811" s="2"/>
    </row>
    <row r="812" spans="1:17" ht="12.95" customHeight="1" x14ac:dyDescent="0.2">
      <c r="A812" s="2" t="s">
        <v>114</v>
      </c>
      <c r="B812" s="2" t="s">
        <v>27</v>
      </c>
      <c r="C812" s="2"/>
      <c r="D812" s="2"/>
      <c r="E812" s="3"/>
      <c r="F812" s="2"/>
      <c r="G812" s="2"/>
      <c r="H812" s="2"/>
      <c r="I812" s="130">
        <v>0</v>
      </c>
      <c r="J812" s="2"/>
      <c r="K812" s="2"/>
      <c r="L812" s="2"/>
      <c r="M812" s="2"/>
      <c r="N812" s="2"/>
      <c r="O812" s="129" t="s">
        <v>1749</v>
      </c>
      <c r="P812" s="2"/>
      <c r="Q812" s="2"/>
    </row>
    <row r="813" spans="1:17" ht="12.95" customHeight="1" x14ac:dyDescent="0.2">
      <c r="A813" s="2" t="s">
        <v>115</v>
      </c>
      <c r="B813" s="2" t="s">
        <v>42</v>
      </c>
      <c r="C813" s="2"/>
      <c r="D813" s="2"/>
      <c r="E813" s="3"/>
      <c r="F813" s="2"/>
      <c r="G813" s="2"/>
      <c r="H813" s="2"/>
      <c r="I813" s="130">
        <v>0</v>
      </c>
      <c r="J813" s="2"/>
      <c r="K813" s="2"/>
      <c r="L813" s="2"/>
      <c r="M813" s="2"/>
      <c r="N813" s="2"/>
      <c r="O813" s="129" t="s">
        <v>1749</v>
      </c>
      <c r="P813" s="2"/>
      <c r="Q813" s="2"/>
    </row>
    <row r="814" spans="1:17" ht="12.95" customHeight="1" x14ac:dyDescent="0.2">
      <c r="A814" s="4" t="s">
        <v>122</v>
      </c>
      <c r="B814" s="4" t="s">
        <v>31</v>
      </c>
      <c r="C814" s="4"/>
      <c r="D814" s="4"/>
      <c r="E814" s="3"/>
      <c r="F814" s="4"/>
      <c r="G814" s="4"/>
      <c r="H814" s="4"/>
      <c r="I814" s="35"/>
      <c r="J814" s="4"/>
      <c r="K814" s="4"/>
      <c r="L814" s="4"/>
      <c r="M814" s="4"/>
      <c r="N814" s="4"/>
      <c r="O814" s="4"/>
      <c r="P814" s="4"/>
      <c r="Q814" s="4"/>
    </row>
    <row r="815" spans="1:17" ht="12.95" customHeight="1" x14ac:dyDescent="0.2">
      <c r="A815" s="4" t="s">
        <v>123</v>
      </c>
      <c r="B815" s="4" t="s">
        <v>31</v>
      </c>
      <c r="C815" s="4"/>
      <c r="D815" s="4"/>
      <c r="E815" s="3"/>
      <c r="F815" s="4"/>
      <c r="G815" s="4"/>
      <c r="H815" s="4"/>
      <c r="I815" s="35"/>
      <c r="J815" s="4"/>
      <c r="K815" s="4"/>
      <c r="L815" s="4"/>
      <c r="M815" s="4"/>
      <c r="N815" s="4"/>
      <c r="O815" s="4"/>
      <c r="P815" s="4"/>
      <c r="Q815" s="4"/>
    </row>
    <row r="816" spans="1:17" x14ac:dyDescent="0.2">
      <c r="A816" s="4" t="s">
        <v>33</v>
      </c>
      <c r="B816" s="4" t="s">
        <v>34</v>
      </c>
      <c r="C816" s="4" t="s">
        <v>34</v>
      </c>
      <c r="D816" s="4" t="s">
        <v>34</v>
      </c>
      <c r="E816" s="4"/>
      <c r="F816" s="4"/>
      <c r="G816" s="4"/>
      <c r="H816" s="4"/>
      <c r="I816" s="35"/>
      <c r="J816" s="4"/>
      <c r="K816" s="4"/>
      <c r="L816" s="4"/>
      <c r="M816" s="4"/>
      <c r="N816" s="4"/>
      <c r="O816" s="4"/>
      <c r="P816" s="4"/>
      <c r="Q816" s="4"/>
    </row>
    <row r="817" spans="1:17" ht="12.95" customHeight="1" x14ac:dyDescent="0.2">
      <c r="A817" s="2" t="s">
        <v>131</v>
      </c>
      <c r="B817" s="2" t="s">
        <v>42</v>
      </c>
      <c r="C817" s="2"/>
      <c r="D817" s="2"/>
      <c r="E817" s="3"/>
      <c r="F817" s="2"/>
      <c r="G817" s="2"/>
      <c r="H817" s="2" t="s">
        <v>201</v>
      </c>
      <c r="I817" s="130">
        <v>0</v>
      </c>
      <c r="J817" s="2"/>
      <c r="K817" s="2"/>
      <c r="L817" s="2"/>
      <c r="M817" s="2"/>
      <c r="N817" s="2"/>
      <c r="O817" s="129" t="s">
        <v>1749</v>
      </c>
      <c r="P817" s="2"/>
      <c r="Q817" s="2"/>
    </row>
    <row r="818" spans="1:17" ht="12.95" customHeight="1" x14ac:dyDescent="0.2">
      <c r="A818" s="2" t="s">
        <v>138</v>
      </c>
      <c r="B818" s="2" t="s">
        <v>42</v>
      </c>
      <c r="C818" s="2" t="s">
        <v>149</v>
      </c>
      <c r="D818" s="2" t="s">
        <v>198</v>
      </c>
      <c r="E818" s="3" t="s">
        <v>817</v>
      </c>
      <c r="F818" s="2" t="s">
        <v>46</v>
      </c>
      <c r="G818" s="2" t="s">
        <v>116</v>
      </c>
      <c r="H818" s="2" t="s">
        <v>201</v>
      </c>
      <c r="I818" s="13" t="s">
        <v>153</v>
      </c>
      <c r="J818" s="2" t="s">
        <v>116</v>
      </c>
      <c r="K818" s="2"/>
      <c r="L818" s="2"/>
      <c r="M818" s="2"/>
      <c r="N818" s="2" t="s">
        <v>154</v>
      </c>
      <c r="O818" s="2"/>
      <c r="P818" s="2" t="s">
        <v>818</v>
      </c>
      <c r="Q818" s="2"/>
    </row>
    <row r="819" spans="1:17" ht="12.95" customHeight="1" x14ac:dyDescent="0.2">
      <c r="A819" s="2" t="s">
        <v>143</v>
      </c>
      <c r="B819" s="2" t="s">
        <v>42</v>
      </c>
      <c r="C819" s="2" t="s">
        <v>480</v>
      </c>
      <c r="D819" s="2" t="s">
        <v>819</v>
      </c>
      <c r="E819" s="3" t="s">
        <v>84</v>
      </c>
      <c r="F819" s="2" t="s">
        <v>46</v>
      </c>
      <c r="G819" s="2" t="s">
        <v>64</v>
      </c>
      <c r="H819" s="2" t="s">
        <v>201</v>
      </c>
      <c r="I819" s="13"/>
      <c r="J819" s="2" t="s">
        <v>48</v>
      </c>
      <c r="K819" s="2" t="s">
        <v>85</v>
      </c>
      <c r="L819" s="2"/>
      <c r="M819" s="2" t="s">
        <v>397</v>
      </c>
      <c r="N819" s="2"/>
      <c r="O819" s="2"/>
      <c r="P819" s="2"/>
      <c r="Q819" s="2"/>
    </row>
    <row r="820" spans="1:17" ht="12.95" customHeight="1" x14ac:dyDescent="0.2">
      <c r="A820" s="2" t="s">
        <v>148</v>
      </c>
      <c r="B820" s="2" t="s">
        <v>42</v>
      </c>
      <c r="C820" s="2" t="s">
        <v>820</v>
      </c>
      <c r="D820" s="2" t="s">
        <v>363</v>
      </c>
      <c r="E820" s="3" t="s">
        <v>821</v>
      </c>
      <c r="F820" s="2" t="s">
        <v>46</v>
      </c>
      <c r="G820" s="2" t="s">
        <v>822</v>
      </c>
      <c r="H820" s="2" t="s">
        <v>201</v>
      </c>
      <c r="I820" s="13"/>
      <c r="J820" s="2" t="s">
        <v>48</v>
      </c>
      <c r="K820" s="2" t="s">
        <v>272</v>
      </c>
      <c r="L820" s="2" t="s">
        <v>397</v>
      </c>
      <c r="M820" s="2" t="s">
        <v>823</v>
      </c>
      <c r="N820" s="2"/>
      <c r="O820" s="2"/>
      <c r="P820" s="2" t="s">
        <v>824</v>
      </c>
      <c r="Q820" s="2"/>
    </row>
    <row r="821" spans="1:17" ht="12.95" customHeight="1" x14ac:dyDescent="0.2">
      <c r="A821" s="2" t="s">
        <v>155</v>
      </c>
      <c r="B821" s="2" t="s">
        <v>42</v>
      </c>
      <c r="C821" s="2" t="s">
        <v>825</v>
      </c>
      <c r="D821" s="2" t="s">
        <v>826</v>
      </c>
      <c r="E821" s="3" t="s">
        <v>404</v>
      </c>
      <c r="F821" s="2" t="s">
        <v>46</v>
      </c>
      <c r="G821" s="2" t="s">
        <v>827</v>
      </c>
      <c r="H821" s="2" t="s">
        <v>201</v>
      </c>
      <c r="I821" s="13"/>
      <c r="J821" s="2" t="s">
        <v>48</v>
      </c>
      <c r="K821" s="2" t="s">
        <v>490</v>
      </c>
      <c r="L821" s="2"/>
      <c r="M821" s="2" t="s">
        <v>66</v>
      </c>
      <c r="N821" s="2"/>
      <c r="O821" s="2"/>
      <c r="P821" s="2"/>
      <c r="Q821" s="2"/>
    </row>
    <row r="822" spans="1:17" ht="12.95" customHeight="1" x14ac:dyDescent="0.2">
      <c r="A822" s="8" t="s">
        <v>161</v>
      </c>
      <c r="B822" s="8"/>
      <c r="C822" s="8"/>
      <c r="D822" s="8"/>
      <c r="E822" s="5" t="s">
        <v>828</v>
      </c>
      <c r="F822" s="5" t="s">
        <v>272</v>
      </c>
      <c r="G822" s="5" t="s">
        <v>829</v>
      </c>
      <c r="H822" s="5" t="s">
        <v>331</v>
      </c>
      <c r="I822" s="36" t="s">
        <v>498</v>
      </c>
      <c r="J822" s="5" t="s">
        <v>830</v>
      </c>
      <c r="K822" s="5" t="s">
        <v>831</v>
      </c>
      <c r="L822" s="5" t="s">
        <v>397</v>
      </c>
      <c r="M822" s="5" t="s">
        <v>719</v>
      </c>
      <c r="N822" s="5" t="s">
        <v>154</v>
      </c>
      <c r="O822" s="5"/>
      <c r="P822" s="5"/>
      <c r="Q822" s="5"/>
    </row>
    <row r="823" spans="1:17" ht="12.95" customHeight="1" x14ac:dyDescent="0.2">
      <c r="A823" s="8" t="s">
        <v>171</v>
      </c>
      <c r="B823" s="8"/>
      <c r="C823" s="8"/>
      <c r="D823" s="8"/>
      <c r="E823" s="5" t="s">
        <v>828</v>
      </c>
      <c r="F823" s="5" t="s">
        <v>272</v>
      </c>
      <c r="G823" s="5" t="s">
        <v>829</v>
      </c>
      <c r="H823" s="5" t="s">
        <v>331</v>
      </c>
      <c r="I823" s="36" t="s">
        <v>832</v>
      </c>
      <c r="J823" s="5" t="s">
        <v>830</v>
      </c>
      <c r="K823" s="5" t="s">
        <v>831</v>
      </c>
      <c r="L823" s="5" t="s">
        <v>397</v>
      </c>
      <c r="M823" s="5" t="s">
        <v>719</v>
      </c>
      <c r="N823" s="5" t="s">
        <v>154</v>
      </c>
      <c r="O823" s="5"/>
      <c r="P823" s="5"/>
      <c r="Q823" s="5"/>
    </row>
    <row r="824" spans="1:17" ht="12.95" customHeight="1" x14ac:dyDescent="0.2">
      <c r="A824" s="8" t="s">
        <v>173</v>
      </c>
      <c r="B824" s="8"/>
      <c r="C824" s="8"/>
      <c r="D824" s="8"/>
      <c r="E824" s="5">
        <v>38.31</v>
      </c>
      <c r="F824" s="5">
        <v>2</v>
      </c>
      <c r="G824" s="5">
        <v>36.31</v>
      </c>
      <c r="H824" s="5">
        <v>42.5</v>
      </c>
      <c r="I824" s="36">
        <v>6.18</v>
      </c>
      <c r="J824" s="5">
        <v>33.479999999999997</v>
      </c>
      <c r="K824" s="5">
        <v>2.6</v>
      </c>
      <c r="L824" s="5">
        <v>0.23</v>
      </c>
      <c r="M824" s="5">
        <v>2.5299999999999998</v>
      </c>
      <c r="N824" s="5">
        <v>1.1000000000000001</v>
      </c>
      <c r="O824" s="5"/>
      <c r="P824" s="5"/>
      <c r="Q824" s="5"/>
    </row>
    <row r="825" spans="1:17" x14ac:dyDescent="0.2">
      <c r="I825" s="37"/>
    </row>
    <row r="826" spans="1:17" ht="12.95" customHeight="1" x14ac:dyDescent="0.25">
      <c r="A826" s="9" t="s">
        <v>174</v>
      </c>
      <c r="B826" s="9"/>
      <c r="C826" s="9"/>
      <c r="E826" s="9" t="s">
        <v>180</v>
      </c>
      <c r="F826" s="9"/>
      <c r="G826" s="9"/>
      <c r="I826" s="14" t="s">
        <v>181</v>
      </c>
    </row>
    <row r="827" spans="1:17" ht="12.95" customHeight="1" x14ac:dyDescent="0.2">
      <c r="A827" s="10" t="s">
        <v>175</v>
      </c>
      <c r="B827" s="10"/>
      <c r="C827" s="6">
        <v>4</v>
      </c>
      <c r="E827" s="10" t="s">
        <v>14</v>
      </c>
      <c r="F827" s="10"/>
      <c r="G827" s="6">
        <v>33.479999999999997</v>
      </c>
      <c r="I827" s="22" t="s">
        <v>1591</v>
      </c>
      <c r="J827" s="19"/>
      <c r="K827" s="20">
        <v>1.5</v>
      </c>
    </row>
    <row r="828" spans="1:17" ht="12.95" customHeight="1" x14ac:dyDescent="0.2">
      <c r="A828" s="10" t="s">
        <v>1531</v>
      </c>
      <c r="B828" s="10"/>
      <c r="C828" s="6">
        <v>4</v>
      </c>
      <c r="E828" s="10" t="s">
        <v>15</v>
      </c>
      <c r="F828" s="10"/>
      <c r="G828" s="6">
        <v>2.6</v>
      </c>
      <c r="I828" s="19" t="s">
        <v>1592</v>
      </c>
      <c r="J828" s="19"/>
      <c r="K828" s="20">
        <v>2</v>
      </c>
    </row>
    <row r="829" spans="1:17" ht="12.95" customHeight="1" x14ac:dyDescent="0.25">
      <c r="A829" s="10" t="s">
        <v>176</v>
      </c>
      <c r="B829" s="10"/>
      <c r="C829" s="6">
        <v>38.31</v>
      </c>
      <c r="E829" s="10" t="s">
        <v>267</v>
      </c>
      <c r="F829" s="10"/>
      <c r="G829" s="6">
        <v>0.23</v>
      </c>
      <c r="I829" s="41" t="s">
        <v>1593</v>
      </c>
      <c r="J829" s="40"/>
      <c r="K829" s="42">
        <f>K827+K828</f>
        <v>3.5</v>
      </c>
    </row>
    <row r="830" spans="1:17" ht="12.95" customHeight="1" x14ac:dyDescent="0.2">
      <c r="A830" s="10" t="s">
        <v>177</v>
      </c>
      <c r="B830" s="10"/>
      <c r="C830" s="6">
        <v>42.5</v>
      </c>
    </row>
    <row r="831" spans="1:17" ht="12.95" customHeight="1" x14ac:dyDescent="0.2">
      <c r="A831" s="10" t="s">
        <v>11</v>
      </c>
      <c r="B831" s="10"/>
      <c r="C831" s="6">
        <v>36.31</v>
      </c>
    </row>
    <row r="832" spans="1:17" ht="12.95" customHeight="1" x14ac:dyDescent="0.2">
      <c r="A832" s="10" t="s">
        <v>178</v>
      </c>
      <c r="B832" s="10"/>
      <c r="C832" s="6">
        <v>8.7100000000000009</v>
      </c>
    </row>
    <row r="833" spans="1:16" ht="12.95" customHeight="1" x14ac:dyDescent="0.2">
      <c r="A833" s="10" t="s">
        <v>17</v>
      </c>
      <c r="B833" s="10"/>
      <c r="C833" s="6">
        <v>1.1000000000000001</v>
      </c>
    </row>
    <row r="834" spans="1:16" ht="12.95" customHeight="1" x14ac:dyDescent="0.2">
      <c r="A834" s="10" t="s">
        <v>179</v>
      </c>
      <c r="B834" s="10"/>
      <c r="C834" s="6">
        <v>0</v>
      </c>
    </row>
    <row r="835" spans="1:16" x14ac:dyDescent="0.2">
      <c r="A835" s="10" t="s">
        <v>10</v>
      </c>
      <c r="B835" s="10"/>
      <c r="C835" s="6">
        <v>2</v>
      </c>
    </row>
    <row r="836" spans="1:16" x14ac:dyDescent="0.2">
      <c r="A836" t="s">
        <v>1615</v>
      </c>
      <c r="C836" cm="1">
        <f t="array" ref="C836">IFERROR(SUMPRODUCT(ISNUMBER(SEARCH("מילואים",O788:O825))*(C788:C825&lt;&gt;"")*(J788:J825+0))*24,0)</f>
        <v>0</v>
      </c>
    </row>
    <row r="837" spans="1:16" ht="12.95" customHeight="1" x14ac:dyDescent="0.2">
      <c r="A837" s="7" t="s">
        <v>833</v>
      </c>
      <c r="B837" s="7"/>
      <c r="C837" s="7"/>
      <c r="D837" s="7" t="s">
        <v>1</v>
      </c>
      <c r="E837" s="7"/>
      <c r="F837" s="7"/>
      <c r="G837" s="7"/>
      <c r="H837" s="7" t="s">
        <v>834</v>
      </c>
      <c r="I837" s="7"/>
      <c r="J837" s="7"/>
      <c r="K837" s="7"/>
      <c r="L837" s="7"/>
      <c r="M837" s="7"/>
      <c r="N837" s="7"/>
      <c r="O837" s="7"/>
      <c r="P837" s="7"/>
    </row>
    <row r="838" spans="1:16" ht="12.95" customHeight="1" x14ac:dyDescent="0.2">
      <c r="A838" s="7" t="s">
        <v>3</v>
      </c>
      <c r="B838" s="7"/>
      <c r="C838" s="7"/>
      <c r="D838" s="7"/>
      <c r="E838" s="7"/>
      <c r="F838" s="7">
        <v>122</v>
      </c>
      <c r="G838" s="7"/>
      <c r="H838" s="7" t="s">
        <v>835</v>
      </c>
      <c r="I838" s="7"/>
      <c r="J838" s="7"/>
      <c r="K838" s="7"/>
      <c r="L838" s="7"/>
      <c r="M838" s="7"/>
      <c r="N838" s="7"/>
      <c r="O838" s="7"/>
      <c r="P838" s="7"/>
    </row>
    <row r="839" spans="1:16" ht="22.5" customHeight="1" x14ac:dyDescent="0.2">
      <c r="A839" s="1" t="s">
        <v>5</v>
      </c>
      <c r="B839" s="1" t="s">
        <v>6</v>
      </c>
      <c r="C839" s="1" t="s">
        <v>7</v>
      </c>
      <c r="D839" s="1" t="s">
        <v>8</v>
      </c>
      <c r="E839" s="1" t="s">
        <v>9</v>
      </c>
      <c r="F839" s="1" t="s">
        <v>10</v>
      </c>
      <c r="G839" s="1" t="s">
        <v>11</v>
      </c>
      <c r="H839" s="1" t="s">
        <v>12</v>
      </c>
      <c r="I839" s="1" t="s">
        <v>13</v>
      </c>
      <c r="J839" s="1" t="s">
        <v>14</v>
      </c>
      <c r="K839" s="1" t="s">
        <v>15</v>
      </c>
      <c r="L839" s="1" t="s">
        <v>16</v>
      </c>
      <c r="M839" s="1" t="s">
        <v>17</v>
      </c>
      <c r="N839" s="1" t="s">
        <v>18</v>
      </c>
      <c r="O839" s="1" t="s">
        <v>19</v>
      </c>
      <c r="P839" s="1" t="s">
        <v>20</v>
      </c>
    </row>
    <row r="840" spans="1:16" ht="12.95" customHeight="1" x14ac:dyDescent="0.2">
      <c r="A840" s="2" t="s">
        <v>21</v>
      </c>
      <c r="B840" s="2" t="s">
        <v>22</v>
      </c>
      <c r="C840" s="2"/>
      <c r="D840" s="2"/>
      <c r="E840" s="3"/>
      <c r="F840" s="2"/>
      <c r="G840" s="2"/>
      <c r="H840" s="2" t="s">
        <v>95</v>
      </c>
      <c r="I840" s="12" t="s">
        <v>95</v>
      </c>
      <c r="J840" s="2"/>
      <c r="K840" s="2"/>
      <c r="L840" s="2"/>
      <c r="M840" s="2"/>
      <c r="N840" s="2" t="s">
        <v>24</v>
      </c>
      <c r="O840" s="2" t="s">
        <v>25</v>
      </c>
      <c r="P840" s="2"/>
    </row>
    <row r="841" spans="1:16" ht="12.95" customHeight="1" x14ac:dyDescent="0.2">
      <c r="A841" s="2" t="s">
        <v>26</v>
      </c>
      <c r="B841" s="2" t="s">
        <v>27</v>
      </c>
      <c r="C841" s="2"/>
      <c r="D841" s="2"/>
      <c r="E841" s="3"/>
      <c r="F841" s="2"/>
      <c r="G841" s="2"/>
      <c r="H841" s="2"/>
      <c r="I841" s="13"/>
      <c r="J841" s="2"/>
      <c r="K841" s="2"/>
      <c r="L841" s="2"/>
      <c r="M841" s="2"/>
      <c r="N841" s="2" t="s">
        <v>28</v>
      </c>
      <c r="O841" s="2" t="s">
        <v>29</v>
      </c>
      <c r="P841" s="2"/>
    </row>
    <row r="842" spans="1:16" ht="12.95" customHeight="1" x14ac:dyDescent="0.2">
      <c r="A842" s="4" t="s">
        <v>30</v>
      </c>
      <c r="B842" s="4" t="s">
        <v>31</v>
      </c>
      <c r="C842" s="4" t="s">
        <v>836</v>
      </c>
      <c r="D842" s="4" t="s">
        <v>837</v>
      </c>
      <c r="E842" s="3" t="s">
        <v>838</v>
      </c>
      <c r="F842" s="4"/>
      <c r="G842" s="4" t="s">
        <v>838</v>
      </c>
      <c r="H842" s="4"/>
      <c r="I842" s="35"/>
      <c r="J842" s="4" t="s">
        <v>561</v>
      </c>
      <c r="K842" s="4" t="s">
        <v>282</v>
      </c>
      <c r="L842" s="4"/>
      <c r="M842" s="4"/>
      <c r="N842" s="4"/>
      <c r="O842" s="4"/>
      <c r="P842" s="4"/>
    </row>
    <row r="843" spans="1:16" ht="12.95" customHeight="1" x14ac:dyDescent="0.2">
      <c r="A843" s="4" t="s">
        <v>32</v>
      </c>
      <c r="B843" s="4" t="s">
        <v>31</v>
      </c>
      <c r="C843" s="4"/>
      <c r="D843" s="4"/>
      <c r="E843" s="3"/>
      <c r="F843" s="4"/>
      <c r="G843" s="4"/>
      <c r="H843" s="4"/>
      <c r="I843" s="35"/>
      <c r="J843" s="4"/>
      <c r="K843" s="4"/>
      <c r="L843" s="4"/>
      <c r="M843" s="4"/>
      <c r="N843" s="4"/>
      <c r="O843" s="4"/>
      <c r="P843" s="4"/>
    </row>
    <row r="844" spans="1:16" x14ac:dyDescent="0.2">
      <c r="A844" s="4" t="s">
        <v>33</v>
      </c>
      <c r="B844" s="4" t="s">
        <v>34</v>
      </c>
      <c r="C844" s="4" t="s">
        <v>34</v>
      </c>
      <c r="D844" s="4" t="s">
        <v>34</v>
      </c>
      <c r="E844" s="4" t="s">
        <v>838</v>
      </c>
      <c r="F844" s="4"/>
      <c r="G844" s="4" t="s">
        <v>838</v>
      </c>
      <c r="H844" s="4" t="s">
        <v>95</v>
      </c>
      <c r="I844" s="35" t="s">
        <v>95</v>
      </c>
      <c r="J844" s="4" t="s">
        <v>561</v>
      </c>
      <c r="K844" s="4" t="s">
        <v>282</v>
      </c>
      <c r="L844" s="4"/>
      <c r="M844" s="4"/>
      <c r="N844" s="4"/>
      <c r="O844" s="4"/>
      <c r="P844" s="4"/>
    </row>
    <row r="845" spans="1:16" ht="12.95" customHeight="1" x14ac:dyDescent="0.2">
      <c r="A845" s="2" t="s">
        <v>35</v>
      </c>
      <c r="B845" s="2" t="s">
        <v>36</v>
      </c>
      <c r="C845" s="2"/>
      <c r="D845" s="2"/>
      <c r="E845" s="3"/>
      <c r="F845" s="2"/>
      <c r="G845" s="2"/>
      <c r="H845" s="2"/>
      <c r="I845" s="13"/>
      <c r="J845" s="2"/>
      <c r="K845" s="2"/>
      <c r="L845" s="2"/>
      <c r="M845" s="2"/>
      <c r="N845" s="2" t="s">
        <v>37</v>
      </c>
      <c r="O845" s="2"/>
      <c r="P845" s="2"/>
    </row>
    <row r="846" spans="1:16" ht="12.95" customHeight="1" x14ac:dyDescent="0.2">
      <c r="A846" s="2" t="s">
        <v>38</v>
      </c>
      <c r="B846" s="2" t="s">
        <v>36</v>
      </c>
      <c r="C846" s="2"/>
      <c r="D846" s="2"/>
      <c r="E846" s="3"/>
      <c r="F846" s="2"/>
      <c r="G846" s="2"/>
      <c r="H846" s="2"/>
      <c r="I846" s="13"/>
      <c r="J846" s="2"/>
      <c r="K846" s="2"/>
      <c r="L846" s="2"/>
      <c r="M846" s="2"/>
      <c r="N846" s="2" t="s">
        <v>37</v>
      </c>
      <c r="O846" s="2"/>
      <c r="P846" s="2"/>
    </row>
    <row r="847" spans="1:16" ht="12.95" customHeight="1" x14ac:dyDescent="0.2">
      <c r="A847" s="2" t="s">
        <v>39</v>
      </c>
      <c r="B847" s="2" t="s">
        <v>22</v>
      </c>
      <c r="C847" s="2"/>
      <c r="D847" s="2"/>
      <c r="E847" s="3"/>
      <c r="F847" s="2"/>
      <c r="G847" s="2"/>
      <c r="H847" s="2" t="s">
        <v>95</v>
      </c>
      <c r="I847" s="12" t="s">
        <v>95</v>
      </c>
      <c r="J847" s="2"/>
      <c r="K847" s="2"/>
      <c r="L847" s="2"/>
      <c r="M847" s="2"/>
      <c r="N847" s="2" t="s">
        <v>24</v>
      </c>
      <c r="O847" s="2" t="s">
        <v>25</v>
      </c>
      <c r="P847" s="2"/>
    </row>
    <row r="848" spans="1:16" ht="12.95" customHeight="1" x14ac:dyDescent="0.2">
      <c r="A848" s="2" t="s">
        <v>40</v>
      </c>
      <c r="B848" s="2" t="s">
        <v>27</v>
      </c>
      <c r="C848" s="2" t="s">
        <v>839</v>
      </c>
      <c r="D848" s="2" t="s">
        <v>840</v>
      </c>
      <c r="E848" s="3" t="s">
        <v>272</v>
      </c>
      <c r="F848" s="2"/>
      <c r="G848" s="2" t="s">
        <v>272</v>
      </c>
      <c r="H848" s="2"/>
      <c r="I848" s="13"/>
      <c r="J848" s="2" t="s">
        <v>272</v>
      </c>
      <c r="K848" s="2"/>
      <c r="L848" s="2"/>
      <c r="M848" s="2"/>
      <c r="N848" s="2" t="s">
        <v>28</v>
      </c>
      <c r="O848" s="2" t="s">
        <v>25</v>
      </c>
      <c r="P848" s="2"/>
    </row>
    <row r="849" spans="1:16" ht="12.95" customHeight="1" x14ac:dyDescent="0.2">
      <c r="A849" s="2" t="s">
        <v>41</v>
      </c>
      <c r="B849" s="2" t="s">
        <v>42</v>
      </c>
      <c r="C849" s="2"/>
      <c r="D849" s="2"/>
      <c r="E849" s="3"/>
      <c r="F849" s="2"/>
      <c r="G849" s="2"/>
      <c r="H849" s="2" t="s">
        <v>48</v>
      </c>
      <c r="I849" s="12" t="s">
        <v>48</v>
      </c>
      <c r="J849" s="2"/>
      <c r="K849" s="2"/>
      <c r="L849" s="2"/>
      <c r="M849" s="2"/>
      <c r="N849" s="2"/>
      <c r="O849" s="2"/>
      <c r="P849" s="2"/>
    </row>
    <row r="850" spans="1:16" ht="12.95" customHeight="1" x14ac:dyDescent="0.2">
      <c r="A850" s="4" t="s">
        <v>51</v>
      </c>
      <c r="B850" s="4" t="s">
        <v>31</v>
      </c>
      <c r="C850" s="4"/>
      <c r="D850" s="4"/>
      <c r="E850" s="3"/>
      <c r="F850" s="4"/>
      <c r="G850" s="4"/>
      <c r="H850" s="4"/>
      <c r="I850" s="35"/>
      <c r="J850" s="4"/>
      <c r="K850" s="4"/>
      <c r="L850" s="4"/>
      <c r="M850" s="4"/>
      <c r="N850" s="4"/>
      <c r="O850" s="4"/>
      <c r="P850" s="4"/>
    </row>
    <row r="851" spans="1:16" ht="12.95" customHeight="1" x14ac:dyDescent="0.2">
      <c r="A851" s="4" t="s">
        <v>52</v>
      </c>
      <c r="B851" s="4" t="s">
        <v>31</v>
      </c>
      <c r="C851" s="4" t="s">
        <v>841</v>
      </c>
      <c r="D851" s="4" t="s">
        <v>842</v>
      </c>
      <c r="E851" s="3" t="s">
        <v>843</v>
      </c>
      <c r="F851" s="4"/>
      <c r="G851" s="4" t="s">
        <v>843</v>
      </c>
      <c r="H851" s="4"/>
      <c r="I851" s="35"/>
      <c r="J851" s="4" t="s">
        <v>843</v>
      </c>
      <c r="K851" s="4"/>
      <c r="L851" s="4"/>
      <c r="M851" s="4"/>
      <c r="N851" s="4"/>
      <c r="O851" s="4"/>
      <c r="P851" s="4"/>
    </row>
    <row r="852" spans="1:16" x14ac:dyDescent="0.2">
      <c r="A852" s="4" t="s">
        <v>33</v>
      </c>
      <c r="B852" s="4" t="s">
        <v>34</v>
      </c>
      <c r="C852" s="4" t="s">
        <v>34</v>
      </c>
      <c r="D852" s="4" t="s">
        <v>34</v>
      </c>
      <c r="E852" s="4" t="s">
        <v>844</v>
      </c>
      <c r="F852" s="4"/>
      <c r="G852" s="4" t="s">
        <v>844</v>
      </c>
      <c r="H852" s="4" t="s">
        <v>845</v>
      </c>
      <c r="I852" s="35" t="s">
        <v>845</v>
      </c>
      <c r="J852" s="4" t="s">
        <v>844</v>
      </c>
      <c r="K852" s="4"/>
      <c r="L852" s="4"/>
      <c r="M852" s="4"/>
      <c r="N852" s="4"/>
      <c r="O852" s="4"/>
      <c r="P852" s="4"/>
    </row>
    <row r="853" spans="1:16" ht="12.95" customHeight="1" x14ac:dyDescent="0.2">
      <c r="A853" s="2" t="s">
        <v>54</v>
      </c>
      <c r="B853" s="2" t="s">
        <v>42</v>
      </c>
      <c r="C853" s="2"/>
      <c r="D853" s="2"/>
      <c r="E853" s="3"/>
      <c r="F853" s="2"/>
      <c r="G853" s="2"/>
      <c r="H853" s="2" t="s">
        <v>48</v>
      </c>
      <c r="I853" s="12" t="s">
        <v>48</v>
      </c>
      <c r="J853" s="2"/>
      <c r="K853" s="2"/>
      <c r="L853" s="2"/>
      <c r="M853" s="2"/>
      <c r="N853" s="2"/>
      <c r="O853" s="2"/>
      <c r="P853" s="2"/>
    </row>
    <row r="854" spans="1:16" ht="12.95" customHeight="1" x14ac:dyDescent="0.2">
      <c r="A854" s="2" t="s">
        <v>61</v>
      </c>
      <c r="B854" s="2" t="s">
        <v>42</v>
      </c>
      <c r="C854" s="2"/>
      <c r="D854" s="2"/>
      <c r="E854" s="3"/>
      <c r="F854" s="2"/>
      <c r="G854" s="2"/>
      <c r="H854" s="2" t="s">
        <v>48</v>
      </c>
      <c r="I854" s="12" t="s">
        <v>48</v>
      </c>
      <c r="J854" s="2"/>
      <c r="K854" s="2"/>
      <c r="L854" s="2"/>
      <c r="M854" s="2"/>
      <c r="N854" s="2"/>
      <c r="O854" s="2"/>
      <c r="P854" s="2"/>
    </row>
    <row r="855" spans="1:16" ht="12.95" customHeight="1" x14ac:dyDescent="0.2">
      <c r="A855" s="2" t="s">
        <v>68</v>
      </c>
      <c r="B855" s="2" t="s">
        <v>42</v>
      </c>
      <c r="C855" s="2"/>
      <c r="D855" s="2"/>
      <c r="E855" s="3"/>
      <c r="F855" s="2"/>
      <c r="G855" s="2"/>
      <c r="H855" s="2" t="s">
        <v>48</v>
      </c>
      <c r="I855" s="12" t="s">
        <v>48</v>
      </c>
      <c r="J855" s="2"/>
      <c r="K855" s="2"/>
      <c r="L855" s="2"/>
      <c r="M855" s="2"/>
      <c r="N855" s="2"/>
      <c r="O855" s="2"/>
      <c r="P855" s="2"/>
    </row>
    <row r="856" spans="1:16" ht="12.95" customHeight="1" x14ac:dyDescent="0.2">
      <c r="A856" s="2" t="s">
        <v>75</v>
      </c>
      <c r="B856" s="2" t="s">
        <v>42</v>
      </c>
      <c r="C856" s="2" t="s">
        <v>846</v>
      </c>
      <c r="D856" s="2" t="s">
        <v>847</v>
      </c>
      <c r="E856" s="3" t="s">
        <v>848</v>
      </c>
      <c r="F856" s="2"/>
      <c r="G856" s="2" t="s">
        <v>848</v>
      </c>
      <c r="H856" s="2" t="s">
        <v>48</v>
      </c>
      <c r="I856" s="13" t="s">
        <v>579</v>
      </c>
      <c r="J856" s="2" t="s">
        <v>848</v>
      </c>
      <c r="K856" s="2"/>
      <c r="L856" s="2"/>
      <c r="M856" s="2" t="s">
        <v>211</v>
      </c>
      <c r="N856" s="2"/>
      <c r="O856" s="2"/>
      <c r="P856" s="2"/>
    </row>
    <row r="857" spans="1:16" ht="12.95" customHeight="1" x14ac:dyDescent="0.2">
      <c r="A857" s="2" t="s">
        <v>81</v>
      </c>
      <c r="B857" s="2" t="s">
        <v>42</v>
      </c>
      <c r="C857" s="2"/>
      <c r="D857" s="2"/>
      <c r="E857" s="3"/>
      <c r="F857" s="2"/>
      <c r="G857" s="2"/>
      <c r="H857" s="2" t="s">
        <v>48</v>
      </c>
      <c r="I857" s="12" t="s">
        <v>48</v>
      </c>
      <c r="J857" s="2"/>
      <c r="K857" s="2"/>
      <c r="L857" s="2"/>
      <c r="M857" s="2"/>
      <c r="N857" s="2"/>
      <c r="O857" s="2"/>
      <c r="P857" s="2"/>
    </row>
    <row r="858" spans="1:16" ht="12.95" customHeight="1" x14ac:dyDescent="0.2">
      <c r="A858" s="4" t="s">
        <v>87</v>
      </c>
      <c r="B858" s="4" t="s">
        <v>31</v>
      </c>
      <c r="C858" s="4"/>
      <c r="D858" s="4"/>
      <c r="E858" s="3"/>
      <c r="F858" s="4"/>
      <c r="G858" s="4"/>
      <c r="H858" s="4"/>
      <c r="I858" s="35"/>
      <c r="J858" s="4"/>
      <c r="K858" s="4"/>
      <c r="L858" s="4"/>
      <c r="M858" s="4"/>
      <c r="N858" s="4"/>
      <c r="O858" s="4"/>
      <c r="P858" s="4"/>
    </row>
    <row r="859" spans="1:16" ht="12.95" customHeight="1" x14ac:dyDescent="0.2">
      <c r="A859" s="4" t="s">
        <v>88</v>
      </c>
      <c r="B859" s="4" t="s">
        <v>31</v>
      </c>
      <c r="C859" s="4" t="s">
        <v>849</v>
      </c>
      <c r="D859" s="4" t="s">
        <v>850</v>
      </c>
      <c r="E859" s="3" t="s">
        <v>851</v>
      </c>
      <c r="F859" s="4"/>
      <c r="G859" s="4" t="s">
        <v>851</v>
      </c>
      <c r="H859" s="4"/>
      <c r="I859" s="35"/>
      <c r="J859" s="4" t="s">
        <v>851</v>
      </c>
      <c r="K859" s="4"/>
      <c r="L859" s="4"/>
      <c r="M859" s="4"/>
      <c r="N859" s="4"/>
      <c r="O859" s="4"/>
      <c r="P859" s="4"/>
    </row>
    <row r="860" spans="1:16" x14ac:dyDescent="0.2">
      <c r="A860" s="4" t="s">
        <v>33</v>
      </c>
      <c r="B860" s="4" t="s">
        <v>34</v>
      </c>
      <c r="C860" s="4" t="s">
        <v>34</v>
      </c>
      <c r="D860" s="4" t="s">
        <v>34</v>
      </c>
      <c r="E860" s="4" t="s">
        <v>852</v>
      </c>
      <c r="F860" s="4"/>
      <c r="G860" s="4" t="s">
        <v>852</v>
      </c>
      <c r="H860" s="4" t="s">
        <v>92</v>
      </c>
      <c r="I860" s="35" t="s">
        <v>853</v>
      </c>
      <c r="J860" s="4" t="s">
        <v>852</v>
      </c>
      <c r="K860" s="4"/>
      <c r="L860" s="4"/>
      <c r="M860" s="4" t="s">
        <v>211</v>
      </c>
      <c r="N860" s="4"/>
      <c r="O860" s="4"/>
      <c r="P860" s="4"/>
    </row>
    <row r="861" spans="1:16" ht="12.95" customHeight="1" x14ac:dyDescent="0.2">
      <c r="A861" s="2" t="s">
        <v>97</v>
      </c>
      <c r="B861" s="2" t="s">
        <v>42</v>
      </c>
      <c r="C861" s="2"/>
      <c r="D861" s="2"/>
      <c r="E861" s="3"/>
      <c r="F861" s="2"/>
      <c r="G861" s="2"/>
      <c r="H861" s="2" t="s">
        <v>48</v>
      </c>
      <c r="I861" s="12" t="s">
        <v>48</v>
      </c>
      <c r="J861" s="2"/>
      <c r="K861" s="2"/>
      <c r="L861" s="2"/>
      <c r="M861" s="2"/>
      <c r="N861" s="2"/>
      <c r="O861" s="2"/>
      <c r="P861" s="2"/>
    </row>
    <row r="862" spans="1:16" ht="12.95" customHeight="1" x14ac:dyDescent="0.2">
      <c r="A862" s="2" t="s">
        <v>104</v>
      </c>
      <c r="B862" s="2" t="s">
        <v>42</v>
      </c>
      <c r="C862" s="2"/>
      <c r="D862" s="2"/>
      <c r="E862" s="3"/>
      <c r="F862" s="2"/>
      <c r="G862" s="2"/>
      <c r="H862" s="2" t="s">
        <v>108</v>
      </c>
      <c r="I862" s="12" t="s">
        <v>108</v>
      </c>
      <c r="J862" s="2"/>
      <c r="K862" s="2"/>
      <c r="L862" s="2"/>
      <c r="M862" s="2"/>
      <c r="N862" s="2"/>
      <c r="O862" s="2"/>
      <c r="P862" s="2"/>
    </row>
    <row r="863" spans="1:16" ht="12.95" customHeight="1" x14ac:dyDescent="0.2">
      <c r="A863" s="2" t="s">
        <v>112</v>
      </c>
      <c r="B863" s="2" t="s">
        <v>22</v>
      </c>
      <c r="C863" s="2"/>
      <c r="D863" s="2"/>
      <c r="E863" s="3"/>
      <c r="F863" s="2"/>
      <c r="G863" s="2"/>
      <c r="H863" s="2" t="s">
        <v>810</v>
      </c>
      <c r="I863" s="13" t="s">
        <v>810</v>
      </c>
      <c r="J863" s="2"/>
      <c r="K863" s="2"/>
      <c r="L863" s="2"/>
      <c r="M863" s="2"/>
      <c r="N863" s="2" t="s">
        <v>24</v>
      </c>
      <c r="O863" s="2" t="s">
        <v>111</v>
      </c>
      <c r="P863" s="2"/>
    </row>
    <row r="864" spans="1:16" ht="12.95" customHeight="1" x14ac:dyDescent="0.2">
      <c r="A864" s="2" t="s">
        <v>114</v>
      </c>
      <c r="B864" s="2" t="s">
        <v>27</v>
      </c>
      <c r="C864" s="2" t="s">
        <v>537</v>
      </c>
      <c r="D864" s="2" t="s">
        <v>854</v>
      </c>
      <c r="E864" s="3" t="s">
        <v>855</v>
      </c>
      <c r="F864" s="2"/>
      <c r="G864" s="2" t="s">
        <v>855</v>
      </c>
      <c r="H864" s="2"/>
      <c r="I864" s="13"/>
      <c r="J864" s="2" t="s">
        <v>855</v>
      </c>
      <c r="K864" s="2"/>
      <c r="L864" s="2"/>
      <c r="M864" s="2"/>
      <c r="N864" s="2" t="s">
        <v>28</v>
      </c>
      <c r="O864" s="2" t="s">
        <v>111</v>
      </c>
      <c r="P864" s="2"/>
    </row>
    <row r="865" spans="1:16" ht="12.95" customHeight="1" x14ac:dyDescent="0.2">
      <c r="A865" s="2" t="s">
        <v>115</v>
      </c>
      <c r="B865" s="2" t="s">
        <v>42</v>
      </c>
      <c r="C865" s="2"/>
      <c r="D865" s="2"/>
      <c r="E865" s="3"/>
      <c r="F865" s="2"/>
      <c r="G865" s="2"/>
      <c r="H865" s="2" t="s">
        <v>48</v>
      </c>
      <c r="I865" s="12" t="s">
        <v>48</v>
      </c>
      <c r="J865" s="2"/>
      <c r="K865" s="2"/>
      <c r="L865" s="2"/>
      <c r="M865" s="2"/>
      <c r="N865" s="2"/>
      <c r="O865" s="2"/>
      <c r="P865" s="2"/>
    </row>
    <row r="866" spans="1:16" ht="12.95" customHeight="1" x14ac:dyDescent="0.2">
      <c r="A866" s="4" t="s">
        <v>122</v>
      </c>
      <c r="B866" s="4" t="s">
        <v>31</v>
      </c>
      <c r="C866" s="4"/>
      <c r="D866" s="4"/>
      <c r="E866" s="3"/>
      <c r="F866" s="4"/>
      <c r="G866" s="4"/>
      <c r="H866" s="4"/>
      <c r="I866" s="35"/>
      <c r="J866" s="4"/>
      <c r="K866" s="4"/>
      <c r="L866" s="4"/>
      <c r="M866" s="4"/>
      <c r="N866" s="4"/>
      <c r="O866" s="4"/>
      <c r="P866" s="4"/>
    </row>
    <row r="867" spans="1:16" ht="12.95" customHeight="1" x14ac:dyDescent="0.2">
      <c r="A867" s="4" t="s">
        <v>123</v>
      </c>
      <c r="B867" s="4" t="s">
        <v>31</v>
      </c>
      <c r="C867" s="4"/>
      <c r="D867" s="4"/>
      <c r="E867" s="3"/>
      <c r="F867" s="4"/>
      <c r="G867" s="4"/>
      <c r="H867" s="4"/>
      <c r="I867" s="35"/>
      <c r="J867" s="4"/>
      <c r="K867" s="4"/>
      <c r="L867" s="4"/>
      <c r="M867" s="4"/>
      <c r="N867" s="4"/>
      <c r="O867" s="4"/>
      <c r="P867" s="4"/>
    </row>
    <row r="868" spans="1:16" x14ac:dyDescent="0.2">
      <c r="A868" s="4" t="s">
        <v>33</v>
      </c>
      <c r="B868" s="4" t="s">
        <v>34</v>
      </c>
      <c r="C868" s="4" t="s">
        <v>34</v>
      </c>
      <c r="D868" s="4" t="s">
        <v>34</v>
      </c>
      <c r="E868" s="4" t="s">
        <v>855</v>
      </c>
      <c r="F868" s="4"/>
      <c r="G868" s="4" t="s">
        <v>855</v>
      </c>
      <c r="H868" s="4" t="s">
        <v>387</v>
      </c>
      <c r="I868" s="35" t="s">
        <v>387</v>
      </c>
      <c r="J868" s="4" t="s">
        <v>855</v>
      </c>
      <c r="K868" s="4"/>
      <c r="L868" s="4"/>
      <c r="M868" s="4"/>
      <c r="N868" s="4"/>
      <c r="O868" s="4"/>
      <c r="P868" s="4"/>
    </row>
    <row r="869" spans="1:16" ht="12.95" customHeight="1" x14ac:dyDescent="0.2">
      <c r="A869" s="2" t="s">
        <v>131</v>
      </c>
      <c r="B869" s="2" t="s">
        <v>42</v>
      </c>
      <c r="C869" s="2" t="s">
        <v>856</v>
      </c>
      <c r="D869" s="2" t="s">
        <v>857</v>
      </c>
      <c r="E869" s="3" t="s">
        <v>460</v>
      </c>
      <c r="F869" s="2"/>
      <c r="G869" s="2" t="s">
        <v>460</v>
      </c>
      <c r="H869" s="2" t="s">
        <v>48</v>
      </c>
      <c r="I869" s="13" t="s">
        <v>858</v>
      </c>
      <c r="J869" s="2" t="s">
        <v>460</v>
      </c>
      <c r="K869" s="2"/>
      <c r="L869" s="2"/>
      <c r="M869" s="2" t="s">
        <v>859</v>
      </c>
      <c r="N869" s="2"/>
      <c r="O869" s="2"/>
      <c r="P869" s="2"/>
    </row>
    <row r="870" spans="1:16" ht="12.95" customHeight="1" x14ac:dyDescent="0.2">
      <c r="A870" s="2" t="s">
        <v>138</v>
      </c>
      <c r="B870" s="2" t="s">
        <v>42</v>
      </c>
      <c r="C870" s="2"/>
      <c r="D870" s="2"/>
      <c r="E870" s="3"/>
      <c r="F870" s="2"/>
      <c r="G870" s="2"/>
      <c r="H870" s="2" t="s">
        <v>48</v>
      </c>
      <c r="I870" s="12" t="s">
        <v>48</v>
      </c>
      <c r="J870" s="2"/>
      <c r="K870" s="2"/>
      <c r="L870" s="2"/>
      <c r="M870" s="2"/>
      <c r="N870" s="2"/>
      <c r="O870" s="2"/>
      <c r="P870" s="2"/>
    </row>
    <row r="871" spans="1:16" ht="12.95" customHeight="1" x14ac:dyDescent="0.2">
      <c r="A871" s="2" t="s">
        <v>143</v>
      </c>
      <c r="B871" s="2" t="s">
        <v>42</v>
      </c>
      <c r="C871" s="2"/>
      <c r="D871" s="2"/>
      <c r="E871" s="3"/>
      <c r="F871" s="2"/>
      <c r="G871" s="2"/>
      <c r="H871" s="2" t="s">
        <v>48</v>
      </c>
      <c r="I871" s="12" t="s">
        <v>48</v>
      </c>
      <c r="J871" s="2"/>
      <c r="K871" s="2"/>
      <c r="L871" s="2"/>
      <c r="M871" s="2"/>
      <c r="N871" s="2"/>
      <c r="O871" s="2"/>
      <c r="P871" s="2"/>
    </row>
    <row r="872" spans="1:16" ht="12.95" customHeight="1" x14ac:dyDescent="0.2">
      <c r="A872" s="2" t="s">
        <v>148</v>
      </c>
      <c r="B872" s="2" t="s">
        <v>42</v>
      </c>
      <c r="C872" s="2" t="s">
        <v>860</v>
      </c>
      <c r="D872" s="2" t="s">
        <v>861</v>
      </c>
      <c r="E872" s="3" t="s">
        <v>862</v>
      </c>
      <c r="F872" s="2"/>
      <c r="G872" s="2" t="s">
        <v>862</v>
      </c>
      <c r="H872" s="2" t="s">
        <v>48</v>
      </c>
      <c r="I872" s="13" t="s">
        <v>863</v>
      </c>
      <c r="J872" s="2" t="s">
        <v>862</v>
      </c>
      <c r="K872" s="2"/>
      <c r="L872" s="2"/>
      <c r="M872" s="2" t="s">
        <v>864</v>
      </c>
      <c r="N872" s="2"/>
      <c r="O872" s="2"/>
      <c r="P872" s="2"/>
    </row>
    <row r="873" spans="1:16" ht="12.95" customHeight="1" x14ac:dyDescent="0.2">
      <c r="A873" s="2" t="s">
        <v>155</v>
      </c>
      <c r="B873" s="2" t="s">
        <v>42</v>
      </c>
      <c r="C873" s="2"/>
      <c r="D873" s="2"/>
      <c r="E873" s="3"/>
      <c r="F873" s="2"/>
      <c r="G873" s="2"/>
      <c r="H873" s="2" t="s">
        <v>48</v>
      </c>
      <c r="I873" s="12" t="s">
        <v>48</v>
      </c>
      <c r="J873" s="2"/>
      <c r="K873" s="2"/>
      <c r="L873" s="2"/>
      <c r="M873" s="2"/>
      <c r="N873" s="2"/>
      <c r="O873" s="2"/>
      <c r="P873" s="2"/>
    </row>
    <row r="874" spans="1:16" ht="12.95" customHeight="1" x14ac:dyDescent="0.2">
      <c r="A874" s="8" t="s">
        <v>161</v>
      </c>
      <c r="B874" s="8"/>
      <c r="C874" s="8"/>
      <c r="D874" s="8"/>
      <c r="E874" s="5" t="s">
        <v>865</v>
      </c>
      <c r="F874" s="5" t="s">
        <v>296</v>
      </c>
      <c r="G874" s="5" t="s">
        <v>865</v>
      </c>
      <c r="H874" s="5" t="s">
        <v>866</v>
      </c>
      <c r="I874" s="36" t="s">
        <v>867</v>
      </c>
      <c r="J874" s="5" t="s">
        <v>868</v>
      </c>
      <c r="K874" s="5" t="s">
        <v>282</v>
      </c>
      <c r="L874" s="5" t="s">
        <v>296</v>
      </c>
      <c r="M874" s="5" t="s">
        <v>869</v>
      </c>
      <c r="N874" s="5"/>
      <c r="O874" s="5"/>
      <c r="P874" s="5"/>
    </row>
    <row r="875" spans="1:16" ht="12.95" customHeight="1" x14ac:dyDescent="0.2">
      <c r="A875" s="8" t="s">
        <v>171</v>
      </c>
      <c r="B875" s="8"/>
      <c r="C875" s="8"/>
      <c r="D875" s="8"/>
      <c r="E875" s="5" t="s">
        <v>865</v>
      </c>
      <c r="F875" s="5" t="s">
        <v>296</v>
      </c>
      <c r="G875" s="5" t="s">
        <v>865</v>
      </c>
      <c r="H875" s="5" t="s">
        <v>866</v>
      </c>
      <c r="I875" s="36" t="s">
        <v>870</v>
      </c>
      <c r="J875" s="5" t="s">
        <v>868</v>
      </c>
      <c r="K875" s="5" t="s">
        <v>282</v>
      </c>
      <c r="L875" s="5" t="s">
        <v>296</v>
      </c>
      <c r="M875" s="5" t="s">
        <v>869</v>
      </c>
      <c r="N875" s="5"/>
      <c r="O875" s="5"/>
      <c r="P875" s="5"/>
    </row>
    <row r="876" spans="1:16" ht="12.95" customHeight="1" x14ac:dyDescent="0.2">
      <c r="A876" s="8" t="s">
        <v>173</v>
      </c>
      <c r="B876" s="8"/>
      <c r="C876" s="8"/>
      <c r="D876" s="8"/>
      <c r="E876" s="5">
        <v>23.91</v>
      </c>
      <c r="F876" s="5">
        <v>0</v>
      </c>
      <c r="G876" s="5">
        <v>23.91</v>
      </c>
      <c r="H876" s="5">
        <v>120.6</v>
      </c>
      <c r="I876" s="36">
        <v>96.68</v>
      </c>
      <c r="J876" s="5">
        <v>23.08</v>
      </c>
      <c r="K876" s="5">
        <v>0.83</v>
      </c>
      <c r="L876" s="5">
        <v>0</v>
      </c>
      <c r="M876" s="5">
        <v>30.01</v>
      </c>
      <c r="N876" s="5"/>
      <c r="O876" s="5"/>
      <c r="P876" s="5"/>
    </row>
    <row r="877" spans="1:16" x14ac:dyDescent="0.2">
      <c r="I877" s="37"/>
    </row>
    <row r="878" spans="1:16" ht="12.95" customHeight="1" x14ac:dyDescent="0.2">
      <c r="A878" s="9" t="s">
        <v>174</v>
      </c>
      <c r="B878" s="9"/>
      <c r="C878" s="9"/>
      <c r="E878" s="9" t="s">
        <v>180</v>
      </c>
      <c r="F878" s="9"/>
      <c r="G878" s="9"/>
      <c r="I878" s="9" t="s">
        <v>181</v>
      </c>
      <c r="J878" s="9"/>
      <c r="K878" s="9"/>
    </row>
    <row r="879" spans="1:16" ht="12.95" customHeight="1" x14ac:dyDescent="0.2">
      <c r="A879" s="10" t="s">
        <v>175</v>
      </c>
      <c r="B879" s="10"/>
      <c r="C879" s="6">
        <v>8</v>
      </c>
      <c r="E879" s="10" t="s">
        <v>14</v>
      </c>
      <c r="F879" s="10"/>
      <c r="G879" s="6">
        <v>23.08</v>
      </c>
      <c r="I879" s="10" t="s">
        <v>27</v>
      </c>
      <c r="J879" s="10"/>
      <c r="K879" s="26">
        <v>3</v>
      </c>
    </row>
    <row r="880" spans="1:16" ht="12.95" customHeight="1" x14ac:dyDescent="0.2">
      <c r="A880" s="10" t="s">
        <v>1531</v>
      </c>
      <c r="B880" s="10"/>
      <c r="C880" s="6">
        <v>22</v>
      </c>
      <c r="E880" s="10" t="s">
        <v>15</v>
      </c>
      <c r="F880" s="10"/>
      <c r="G880" s="6">
        <v>0.83</v>
      </c>
      <c r="I880" s="10" t="s">
        <v>22</v>
      </c>
      <c r="J880" s="10"/>
      <c r="K880" s="26">
        <v>3</v>
      </c>
    </row>
    <row r="881" spans="1:14" ht="12.95" customHeight="1" x14ac:dyDescent="0.2">
      <c r="A881" s="10" t="s">
        <v>176</v>
      </c>
      <c r="B881" s="10"/>
      <c r="C881" s="6">
        <v>23.91</v>
      </c>
      <c r="I881" s="10" t="s">
        <v>36</v>
      </c>
      <c r="J881" s="10"/>
      <c r="K881" s="26">
        <v>2</v>
      </c>
    </row>
    <row r="882" spans="1:14" ht="12.95" customHeight="1" x14ac:dyDescent="0.2">
      <c r="A882" s="10" t="s">
        <v>177</v>
      </c>
      <c r="B882" s="10"/>
      <c r="C882" s="6">
        <v>120.6</v>
      </c>
      <c r="I882" s="39" t="s">
        <v>1591</v>
      </c>
      <c r="J882" s="19"/>
      <c r="K882" s="20">
        <v>1.5</v>
      </c>
    </row>
    <row r="883" spans="1:14" ht="12.95" customHeight="1" x14ac:dyDescent="0.2">
      <c r="A883" s="10" t="s">
        <v>11</v>
      </c>
      <c r="B883" s="10"/>
      <c r="C883" s="6">
        <v>23.91</v>
      </c>
      <c r="I883" s="39" t="s">
        <v>1592</v>
      </c>
      <c r="J883" s="19"/>
      <c r="K883" s="38">
        <v>2</v>
      </c>
    </row>
    <row r="884" spans="1:14" ht="12.95" customHeight="1" x14ac:dyDescent="0.25">
      <c r="A884" s="10" t="s">
        <v>178</v>
      </c>
      <c r="B884" s="10"/>
      <c r="C884" s="30">
        <v>96.68</v>
      </c>
      <c r="I884" s="41" t="s">
        <v>1593</v>
      </c>
      <c r="J884" s="40"/>
      <c r="K884" s="42">
        <f>K882+K883</f>
        <v>3.5</v>
      </c>
    </row>
    <row r="885" spans="1:14" ht="12.95" customHeight="1" x14ac:dyDescent="0.2">
      <c r="A885" s="28" t="s">
        <v>1571</v>
      </c>
      <c r="B885" s="27"/>
      <c r="C885" s="31">
        <v>-3.4</v>
      </c>
    </row>
    <row r="886" spans="1:14" ht="12.95" customHeight="1" x14ac:dyDescent="0.2">
      <c r="A886" s="29" t="s">
        <v>1572</v>
      </c>
      <c r="B886" s="29"/>
      <c r="C886" s="32">
        <f>C884+C885</f>
        <v>93.28</v>
      </c>
    </row>
    <row r="887" spans="1:14" x14ac:dyDescent="0.2">
      <c r="A887" s="10" t="s">
        <v>10</v>
      </c>
      <c r="B887" s="10"/>
      <c r="C887" s="6">
        <v>0</v>
      </c>
    </row>
    <row r="888" spans="1:14" x14ac:dyDescent="0.2">
      <c r="A888" t="s">
        <v>1615</v>
      </c>
      <c r="C888" cm="1">
        <f t="array" ref="C888">IFERROR(SUMPRODUCT((ISNUMBER(SEARCH("מילואים",N840:N877))+ISNUMBER(SEARCH("מילואים",O840:O877))&gt;0)*(C840:C877&lt;&gt;"")*(J840:J877+0))*24,0)</f>
        <v>0</v>
      </c>
    </row>
    <row r="889" spans="1:14" ht="12.95" customHeight="1" x14ac:dyDescent="0.2">
      <c r="A889" s="7" t="s">
        <v>871</v>
      </c>
      <c r="B889" s="7"/>
      <c r="C889" s="7"/>
      <c r="D889" s="7" t="s">
        <v>1</v>
      </c>
      <c r="E889" s="7"/>
      <c r="F889" s="7"/>
      <c r="G889" s="7"/>
      <c r="H889" s="7" t="s">
        <v>834</v>
      </c>
      <c r="I889" s="7"/>
      <c r="J889" s="7"/>
      <c r="K889" s="7"/>
      <c r="L889" s="7"/>
      <c r="M889" s="7"/>
      <c r="N889" s="7"/>
    </row>
    <row r="890" spans="1:14" ht="12.95" customHeight="1" x14ac:dyDescent="0.2">
      <c r="A890" s="7" t="s">
        <v>3</v>
      </c>
      <c r="B890" s="7"/>
      <c r="C890" s="7"/>
      <c r="D890" s="7"/>
      <c r="E890" s="7"/>
      <c r="F890" s="7">
        <v>2</v>
      </c>
      <c r="G890" s="7"/>
      <c r="H890" s="7" t="s">
        <v>835</v>
      </c>
      <c r="I890" s="7"/>
      <c r="J890" s="7"/>
      <c r="K890" s="7"/>
      <c r="L890" s="7"/>
      <c r="M890" s="7"/>
      <c r="N890" s="7"/>
    </row>
    <row r="891" spans="1:14" ht="22.5" customHeight="1" x14ac:dyDescent="0.2">
      <c r="A891" s="1" t="s">
        <v>5</v>
      </c>
      <c r="B891" s="1" t="s">
        <v>6</v>
      </c>
      <c r="C891" s="1" t="s">
        <v>7</v>
      </c>
      <c r="D891" s="1" t="s">
        <v>8</v>
      </c>
      <c r="E891" s="1" t="s">
        <v>9</v>
      </c>
      <c r="F891" s="1" t="s">
        <v>10</v>
      </c>
      <c r="G891" s="1" t="s">
        <v>11</v>
      </c>
      <c r="H891" s="1" t="s">
        <v>12</v>
      </c>
      <c r="I891" s="1" t="s">
        <v>13</v>
      </c>
      <c r="J891" s="1" t="s">
        <v>16</v>
      </c>
      <c r="K891" s="1" t="s">
        <v>17</v>
      </c>
      <c r="L891" s="1" t="s">
        <v>18</v>
      </c>
      <c r="M891" s="1" t="s">
        <v>19</v>
      </c>
      <c r="N891" s="1" t="s">
        <v>20</v>
      </c>
    </row>
    <row r="892" spans="1:14" ht="12.95" customHeight="1" x14ac:dyDescent="0.2">
      <c r="A892" s="2" t="s">
        <v>21</v>
      </c>
      <c r="B892" s="2" t="s">
        <v>22</v>
      </c>
      <c r="C892" s="2"/>
      <c r="D892" s="2"/>
      <c r="E892" s="3"/>
      <c r="F892" s="2"/>
      <c r="G892" s="2"/>
      <c r="H892" s="2" t="s">
        <v>95</v>
      </c>
      <c r="I892" s="12" t="s">
        <v>95</v>
      </c>
      <c r="J892" s="2"/>
      <c r="K892" s="2"/>
      <c r="L892" s="2" t="s">
        <v>24</v>
      </c>
      <c r="M892" s="2" t="s">
        <v>25</v>
      </c>
      <c r="N892" s="2"/>
    </row>
    <row r="893" spans="1:14" ht="12.95" customHeight="1" x14ac:dyDescent="0.2">
      <c r="A893" s="2" t="s">
        <v>26</v>
      </c>
      <c r="B893" s="2" t="s">
        <v>27</v>
      </c>
      <c r="C893" s="2"/>
      <c r="D893" s="2"/>
      <c r="E893" s="3"/>
      <c r="F893" s="2"/>
      <c r="G893" s="2"/>
      <c r="H893" s="2"/>
      <c r="I893" s="13"/>
      <c r="J893" s="2"/>
      <c r="K893" s="2"/>
      <c r="L893" s="2" t="s">
        <v>28</v>
      </c>
      <c r="M893" s="2" t="s">
        <v>29</v>
      </c>
      <c r="N893" s="2"/>
    </row>
    <row r="894" spans="1:14" ht="12.95" customHeight="1" x14ac:dyDescent="0.2">
      <c r="A894" s="4" t="s">
        <v>30</v>
      </c>
      <c r="B894" s="4" t="s">
        <v>31</v>
      </c>
      <c r="C894" s="4"/>
      <c r="D894" s="4"/>
      <c r="E894" s="3"/>
      <c r="F894" s="4"/>
      <c r="G894" s="4"/>
      <c r="H894" s="4"/>
      <c r="I894" s="35"/>
      <c r="J894" s="4"/>
      <c r="K894" s="4"/>
      <c r="L894" s="4"/>
      <c r="M894" s="4"/>
      <c r="N894" s="4"/>
    </row>
    <row r="895" spans="1:14" ht="12.95" customHeight="1" x14ac:dyDescent="0.2">
      <c r="A895" s="4" t="s">
        <v>32</v>
      </c>
      <c r="B895" s="4" t="s">
        <v>31</v>
      </c>
      <c r="C895" s="4"/>
      <c r="D895" s="4"/>
      <c r="E895" s="3"/>
      <c r="F895" s="4"/>
      <c r="G895" s="4"/>
      <c r="H895" s="4"/>
      <c r="I895" s="35"/>
      <c r="J895" s="4"/>
      <c r="K895" s="4"/>
      <c r="L895" s="4"/>
      <c r="M895" s="4"/>
      <c r="N895" s="4"/>
    </row>
    <row r="896" spans="1:14" x14ac:dyDescent="0.2">
      <c r="A896" s="4" t="s">
        <v>33</v>
      </c>
      <c r="B896" s="4" t="s">
        <v>34</v>
      </c>
      <c r="C896" s="4" t="s">
        <v>34</v>
      </c>
      <c r="D896" s="4" t="s">
        <v>34</v>
      </c>
      <c r="E896" s="4"/>
      <c r="F896" s="4"/>
      <c r="G896" s="4"/>
      <c r="H896" s="4" t="s">
        <v>95</v>
      </c>
      <c r="I896" s="35" t="s">
        <v>95</v>
      </c>
      <c r="J896" s="4"/>
      <c r="K896" s="4"/>
      <c r="L896" s="4"/>
      <c r="M896" s="4"/>
      <c r="N896" s="4"/>
    </row>
    <row r="897" spans="1:14" ht="12.95" customHeight="1" x14ac:dyDescent="0.2">
      <c r="A897" s="2" t="s">
        <v>35</v>
      </c>
      <c r="B897" s="2" t="s">
        <v>36</v>
      </c>
      <c r="C897" s="2"/>
      <c r="D897" s="2"/>
      <c r="E897" s="3"/>
      <c r="F897" s="2"/>
      <c r="G897" s="2"/>
      <c r="H897" s="2"/>
      <c r="I897" s="13"/>
      <c r="J897" s="2"/>
      <c r="K897" s="2"/>
      <c r="L897" s="2" t="s">
        <v>37</v>
      </c>
      <c r="M897" s="2"/>
      <c r="N897" s="2"/>
    </row>
    <row r="898" spans="1:14" ht="12.95" customHeight="1" x14ac:dyDescent="0.2">
      <c r="A898" s="2" t="s">
        <v>38</v>
      </c>
      <c r="B898" s="2" t="s">
        <v>36</v>
      </c>
      <c r="C898" s="2"/>
      <c r="D898" s="2"/>
      <c r="E898" s="3"/>
      <c r="F898" s="2"/>
      <c r="G898" s="2"/>
      <c r="H898" s="2"/>
      <c r="I898" s="13"/>
      <c r="J898" s="2"/>
      <c r="K898" s="2"/>
      <c r="L898" s="2" t="s">
        <v>37</v>
      </c>
      <c r="M898" s="2"/>
      <c r="N898" s="2"/>
    </row>
    <row r="899" spans="1:14" ht="12.95" customHeight="1" x14ac:dyDescent="0.2">
      <c r="A899" s="2" t="s">
        <v>39</v>
      </c>
      <c r="B899" s="2" t="s">
        <v>22</v>
      </c>
      <c r="C899" s="2"/>
      <c r="D899" s="2"/>
      <c r="E899" s="3"/>
      <c r="F899" s="2"/>
      <c r="G899" s="2"/>
      <c r="H899" s="2" t="s">
        <v>95</v>
      </c>
      <c r="I899" s="12" t="s">
        <v>95</v>
      </c>
      <c r="J899" s="2"/>
      <c r="K899" s="2"/>
      <c r="L899" s="2" t="s">
        <v>24</v>
      </c>
      <c r="M899" s="2" t="s">
        <v>25</v>
      </c>
      <c r="N899" s="2"/>
    </row>
    <row r="900" spans="1:14" ht="12.95" customHeight="1" x14ac:dyDescent="0.2">
      <c r="A900" s="2" t="s">
        <v>40</v>
      </c>
      <c r="B900" s="2" t="s">
        <v>27</v>
      </c>
      <c r="C900" s="2"/>
      <c r="D900" s="2"/>
      <c r="E900" s="3"/>
      <c r="F900" s="2"/>
      <c r="G900" s="2"/>
      <c r="H900" s="2"/>
      <c r="I900" s="13"/>
      <c r="J900" s="2"/>
      <c r="K900" s="2"/>
      <c r="L900" s="2" t="s">
        <v>28</v>
      </c>
      <c r="M900" s="2" t="s">
        <v>25</v>
      </c>
      <c r="N900" s="2"/>
    </row>
    <row r="901" spans="1:14" ht="12.95" customHeight="1" x14ac:dyDescent="0.2">
      <c r="A901" s="2" t="s">
        <v>41</v>
      </c>
      <c r="B901" s="2" t="s">
        <v>42</v>
      </c>
      <c r="C901" s="2"/>
      <c r="D901" s="2"/>
      <c r="E901" s="3"/>
      <c r="F901" s="2"/>
      <c r="G901" s="2"/>
      <c r="H901" s="2" t="s">
        <v>48</v>
      </c>
      <c r="I901" s="12" t="s">
        <v>48</v>
      </c>
      <c r="J901" s="2"/>
      <c r="K901" s="2"/>
      <c r="L901" s="2"/>
      <c r="M901" s="2"/>
      <c r="N901" s="2"/>
    </row>
    <row r="902" spans="1:14" ht="12.95" customHeight="1" x14ac:dyDescent="0.2">
      <c r="A902" s="4" t="s">
        <v>51</v>
      </c>
      <c r="B902" s="4" t="s">
        <v>31</v>
      </c>
      <c r="C902" s="4"/>
      <c r="D902" s="4"/>
      <c r="E902" s="3"/>
      <c r="F902" s="4"/>
      <c r="G902" s="4"/>
      <c r="H902" s="4"/>
      <c r="I902" s="35"/>
      <c r="J902" s="4"/>
      <c r="K902" s="4"/>
      <c r="L902" s="4"/>
      <c r="M902" s="4"/>
      <c r="N902" s="4"/>
    </row>
    <row r="903" spans="1:14" ht="12.95" customHeight="1" x14ac:dyDescent="0.2">
      <c r="A903" s="4" t="s">
        <v>52</v>
      </c>
      <c r="B903" s="4" t="s">
        <v>31</v>
      </c>
      <c r="C903" s="4"/>
      <c r="D903" s="4"/>
      <c r="E903" s="3"/>
      <c r="F903" s="4"/>
      <c r="G903" s="4"/>
      <c r="H903" s="4"/>
      <c r="I903" s="35"/>
      <c r="J903" s="4"/>
      <c r="K903" s="4"/>
      <c r="L903" s="4"/>
      <c r="M903" s="4"/>
      <c r="N903" s="4"/>
    </row>
    <row r="904" spans="1:14" x14ac:dyDescent="0.2">
      <c r="A904" s="4" t="s">
        <v>33</v>
      </c>
      <c r="B904" s="4" t="s">
        <v>34</v>
      </c>
      <c r="C904" s="4" t="s">
        <v>34</v>
      </c>
      <c r="D904" s="4" t="s">
        <v>34</v>
      </c>
      <c r="E904" s="4"/>
      <c r="F904" s="4"/>
      <c r="G904" s="4"/>
      <c r="H904" s="4" t="s">
        <v>845</v>
      </c>
      <c r="I904" s="35" t="s">
        <v>845</v>
      </c>
      <c r="J904" s="4"/>
      <c r="K904" s="4"/>
      <c r="L904" s="4"/>
      <c r="M904" s="4"/>
      <c r="N904" s="4"/>
    </row>
    <row r="905" spans="1:14" ht="12.95" customHeight="1" x14ac:dyDescent="0.2">
      <c r="A905" s="2" t="s">
        <v>54</v>
      </c>
      <c r="B905" s="2" t="s">
        <v>42</v>
      </c>
      <c r="C905" s="2"/>
      <c r="D905" s="2"/>
      <c r="E905" s="3"/>
      <c r="F905" s="2"/>
      <c r="G905" s="2"/>
      <c r="H905" s="2" t="s">
        <v>48</v>
      </c>
      <c r="I905" s="12" t="s">
        <v>48</v>
      </c>
      <c r="J905" s="2"/>
      <c r="K905" s="2"/>
      <c r="L905" s="2"/>
      <c r="M905" s="2"/>
      <c r="N905" s="2"/>
    </row>
    <row r="906" spans="1:14" ht="12.95" customHeight="1" x14ac:dyDescent="0.2">
      <c r="A906" s="2" t="s">
        <v>61</v>
      </c>
      <c r="B906" s="2" t="s">
        <v>42</v>
      </c>
      <c r="C906" s="2"/>
      <c r="D906" s="2"/>
      <c r="E906" s="3"/>
      <c r="F906" s="2"/>
      <c r="G906" s="2"/>
      <c r="H906" s="2" t="s">
        <v>48</v>
      </c>
      <c r="I906" s="12" t="s">
        <v>48</v>
      </c>
      <c r="J906" s="2"/>
      <c r="K906" s="2"/>
      <c r="L906" s="2"/>
      <c r="M906" s="2"/>
      <c r="N906" s="2"/>
    </row>
    <row r="907" spans="1:14" ht="12.95" customHeight="1" x14ac:dyDescent="0.2">
      <c r="A907" s="2" t="s">
        <v>68</v>
      </c>
      <c r="B907" s="2" t="s">
        <v>42</v>
      </c>
      <c r="C907" s="2"/>
      <c r="D907" s="2"/>
      <c r="E907" s="3"/>
      <c r="F907" s="2"/>
      <c r="G907" s="2"/>
      <c r="H907" s="2" t="s">
        <v>48</v>
      </c>
      <c r="I907" s="12" t="s">
        <v>48</v>
      </c>
      <c r="J907" s="2"/>
      <c r="K907" s="2"/>
      <c r="L907" s="2"/>
      <c r="M907" s="2"/>
      <c r="N907" s="2"/>
    </row>
    <row r="908" spans="1:14" ht="12.95" customHeight="1" x14ac:dyDescent="0.2">
      <c r="A908" s="2" t="s">
        <v>75</v>
      </c>
      <c r="B908" s="2" t="s">
        <v>42</v>
      </c>
      <c r="C908" s="2"/>
      <c r="D908" s="2"/>
      <c r="E908" s="3"/>
      <c r="F908" s="2"/>
      <c r="G908" s="2"/>
      <c r="H908" s="2" t="s">
        <v>48</v>
      </c>
      <c r="I908" s="12" t="s">
        <v>48</v>
      </c>
      <c r="J908" s="2"/>
      <c r="K908" s="2"/>
      <c r="L908" s="2"/>
      <c r="M908" s="2"/>
      <c r="N908" s="2"/>
    </row>
    <row r="909" spans="1:14" ht="12.95" customHeight="1" x14ac:dyDescent="0.2">
      <c r="A909" s="2" t="s">
        <v>81</v>
      </c>
      <c r="B909" s="2" t="s">
        <v>42</v>
      </c>
      <c r="C909" s="2"/>
      <c r="D909" s="2"/>
      <c r="E909" s="3"/>
      <c r="F909" s="2"/>
      <c r="G909" s="2"/>
      <c r="H909" s="2" t="s">
        <v>48</v>
      </c>
      <c r="I909" s="12" t="s">
        <v>48</v>
      </c>
      <c r="J909" s="2"/>
      <c r="K909" s="2"/>
      <c r="L909" s="2"/>
      <c r="M909" s="2"/>
      <c r="N909" s="2"/>
    </row>
    <row r="910" spans="1:14" ht="12.95" customHeight="1" x14ac:dyDescent="0.2">
      <c r="A910" s="4" t="s">
        <v>87</v>
      </c>
      <c r="B910" s="4" t="s">
        <v>31</v>
      </c>
      <c r="C910" s="4"/>
      <c r="D910" s="4"/>
      <c r="E910" s="3"/>
      <c r="F910" s="4"/>
      <c r="G910" s="4"/>
      <c r="H910" s="4"/>
      <c r="I910" s="35"/>
      <c r="J910" s="4"/>
      <c r="K910" s="4"/>
      <c r="L910" s="4"/>
      <c r="M910" s="4"/>
      <c r="N910" s="4"/>
    </row>
    <row r="911" spans="1:14" ht="12.95" customHeight="1" x14ac:dyDescent="0.2">
      <c r="A911" s="4" t="s">
        <v>88</v>
      </c>
      <c r="B911" s="4" t="s">
        <v>31</v>
      </c>
      <c r="C911" s="4"/>
      <c r="D911" s="4"/>
      <c r="E911" s="3"/>
      <c r="F911" s="4"/>
      <c r="G911" s="4"/>
      <c r="H911" s="4"/>
      <c r="I911" s="35"/>
      <c r="J911" s="4"/>
      <c r="K911" s="4"/>
      <c r="L911" s="4"/>
      <c r="M911" s="4"/>
      <c r="N911" s="4"/>
    </row>
    <row r="912" spans="1:14" x14ac:dyDescent="0.2">
      <c r="A912" s="4" t="s">
        <v>33</v>
      </c>
      <c r="B912" s="4" t="s">
        <v>34</v>
      </c>
      <c r="C912" s="4" t="s">
        <v>34</v>
      </c>
      <c r="D912" s="4" t="s">
        <v>34</v>
      </c>
      <c r="E912" s="4"/>
      <c r="F912" s="4"/>
      <c r="G912" s="4"/>
      <c r="H912" s="4" t="s">
        <v>92</v>
      </c>
      <c r="I912" s="35" t="s">
        <v>92</v>
      </c>
      <c r="J912" s="4"/>
      <c r="K912" s="4"/>
      <c r="L912" s="4"/>
      <c r="M912" s="4"/>
      <c r="N912" s="4"/>
    </row>
    <row r="913" spans="1:14" ht="12.95" customHeight="1" x14ac:dyDescent="0.2">
      <c r="A913" s="2" t="s">
        <v>97</v>
      </c>
      <c r="B913" s="2" t="s">
        <v>42</v>
      </c>
      <c r="C913" s="2"/>
      <c r="D913" s="2"/>
      <c r="E913" s="3"/>
      <c r="F913" s="2"/>
      <c r="G913" s="2"/>
      <c r="H913" s="2" t="s">
        <v>48</v>
      </c>
      <c r="I913" s="12" t="s">
        <v>48</v>
      </c>
      <c r="J913" s="2"/>
      <c r="K913" s="2"/>
      <c r="L913" s="2"/>
      <c r="M913" s="2"/>
      <c r="N913" s="2"/>
    </row>
    <row r="914" spans="1:14" ht="12.95" customHeight="1" x14ac:dyDescent="0.2">
      <c r="A914" s="2" t="s">
        <v>104</v>
      </c>
      <c r="B914" s="2" t="s">
        <v>42</v>
      </c>
      <c r="C914" s="2"/>
      <c r="D914" s="2"/>
      <c r="E914" s="3"/>
      <c r="F914" s="2"/>
      <c r="G914" s="2"/>
      <c r="H914" s="2" t="s">
        <v>108</v>
      </c>
      <c r="I914" s="12" t="s">
        <v>108</v>
      </c>
      <c r="J914" s="2"/>
      <c r="K914" s="2"/>
      <c r="L914" s="2"/>
      <c r="M914" s="2"/>
      <c r="N914" s="2"/>
    </row>
    <row r="915" spans="1:14" ht="12.95" customHeight="1" x14ac:dyDescent="0.2">
      <c r="A915" s="2" t="s">
        <v>112</v>
      </c>
      <c r="B915" s="2" t="s">
        <v>22</v>
      </c>
      <c r="C915" s="2"/>
      <c r="D915" s="2"/>
      <c r="E915" s="3"/>
      <c r="F915" s="2"/>
      <c r="G915" s="2"/>
      <c r="H915" s="2" t="s">
        <v>810</v>
      </c>
      <c r="I915" s="13" t="s">
        <v>810</v>
      </c>
      <c r="J915" s="2"/>
      <c r="K915" s="2"/>
      <c r="L915" s="2" t="s">
        <v>24</v>
      </c>
      <c r="M915" s="2" t="s">
        <v>111</v>
      </c>
      <c r="N915" s="2"/>
    </row>
    <row r="916" spans="1:14" ht="12.95" customHeight="1" x14ac:dyDescent="0.2">
      <c r="A916" s="2" t="s">
        <v>114</v>
      </c>
      <c r="B916" s="2" t="s">
        <v>27</v>
      </c>
      <c r="C916" s="2"/>
      <c r="D916" s="2"/>
      <c r="E916" s="3"/>
      <c r="F916" s="2"/>
      <c r="G916" s="2"/>
      <c r="H916" s="2"/>
      <c r="I916" s="13"/>
      <c r="J916" s="2"/>
      <c r="K916" s="2"/>
      <c r="L916" s="2" t="s">
        <v>28</v>
      </c>
      <c r="M916" s="2" t="s">
        <v>111</v>
      </c>
      <c r="N916" s="2"/>
    </row>
    <row r="917" spans="1:14" ht="12.95" customHeight="1" x14ac:dyDescent="0.2">
      <c r="A917" s="2" t="s">
        <v>115</v>
      </c>
      <c r="B917" s="2" t="s">
        <v>42</v>
      </c>
      <c r="C917" s="2"/>
      <c r="D917" s="2"/>
      <c r="E917" s="3"/>
      <c r="F917" s="2"/>
      <c r="G917" s="2"/>
      <c r="H917" s="2" t="s">
        <v>48</v>
      </c>
      <c r="I917" s="12" t="s">
        <v>48</v>
      </c>
      <c r="J917" s="2"/>
      <c r="K917" s="2"/>
      <c r="L917" s="2"/>
      <c r="M917" s="2"/>
      <c r="N917" s="2"/>
    </row>
    <row r="918" spans="1:14" ht="12.95" customHeight="1" x14ac:dyDescent="0.2">
      <c r="A918" s="4" t="s">
        <v>122</v>
      </c>
      <c r="B918" s="4" t="s">
        <v>31</v>
      </c>
      <c r="C918" s="4"/>
      <c r="D918" s="4"/>
      <c r="E918" s="3"/>
      <c r="F918" s="4"/>
      <c r="G918" s="4"/>
      <c r="H918" s="4"/>
      <c r="I918" s="35"/>
      <c r="J918" s="4"/>
      <c r="K918" s="4"/>
      <c r="L918" s="4"/>
      <c r="M918" s="4"/>
      <c r="N918" s="4"/>
    </row>
    <row r="919" spans="1:14" ht="12.95" customHeight="1" x14ac:dyDescent="0.2">
      <c r="A919" s="4" t="s">
        <v>123</v>
      </c>
      <c r="B919" s="4" t="s">
        <v>31</v>
      </c>
      <c r="C919" s="4"/>
      <c r="D919" s="4"/>
      <c r="E919" s="3"/>
      <c r="F919" s="4"/>
      <c r="G919" s="4"/>
      <c r="H919" s="4"/>
      <c r="I919" s="35"/>
      <c r="J919" s="4"/>
      <c r="K919" s="4"/>
      <c r="L919" s="4"/>
      <c r="M919" s="4"/>
      <c r="N919" s="4"/>
    </row>
    <row r="920" spans="1:14" x14ac:dyDescent="0.2">
      <c r="A920" s="4" t="s">
        <v>33</v>
      </c>
      <c r="B920" s="4" t="s">
        <v>34</v>
      </c>
      <c r="C920" s="4" t="s">
        <v>34</v>
      </c>
      <c r="D920" s="4" t="s">
        <v>34</v>
      </c>
      <c r="E920" s="4"/>
      <c r="F920" s="4"/>
      <c r="G920" s="4"/>
      <c r="H920" s="4" t="s">
        <v>387</v>
      </c>
      <c r="I920" s="35" t="s">
        <v>387</v>
      </c>
      <c r="J920" s="4"/>
      <c r="K920" s="4"/>
      <c r="L920" s="4"/>
      <c r="M920" s="4"/>
      <c r="N920" s="4"/>
    </row>
    <row r="921" spans="1:14" ht="12.95" customHeight="1" x14ac:dyDescent="0.2">
      <c r="A921" s="2" t="s">
        <v>131</v>
      </c>
      <c r="B921" s="2" t="s">
        <v>42</v>
      </c>
      <c r="C921" s="2"/>
      <c r="D921" s="2"/>
      <c r="E921" s="3"/>
      <c r="F921" s="2"/>
      <c r="G921" s="2"/>
      <c r="H921" s="2" t="s">
        <v>48</v>
      </c>
      <c r="I921" s="12" t="s">
        <v>48</v>
      </c>
      <c r="J921" s="2"/>
      <c r="K921" s="2"/>
      <c r="L921" s="2"/>
      <c r="M921" s="2"/>
      <c r="N921" s="2"/>
    </row>
    <row r="922" spans="1:14" ht="12.95" customHeight="1" x14ac:dyDescent="0.2">
      <c r="A922" s="2" t="s">
        <v>138</v>
      </c>
      <c r="B922" s="2" t="s">
        <v>42</v>
      </c>
      <c r="C922" s="2"/>
      <c r="D922" s="2"/>
      <c r="E922" s="3"/>
      <c r="F922" s="2"/>
      <c r="G922" s="2"/>
      <c r="H922" s="2" t="s">
        <v>48</v>
      </c>
      <c r="I922" s="12" t="s">
        <v>48</v>
      </c>
      <c r="J922" s="2"/>
      <c r="K922" s="2"/>
      <c r="L922" s="2"/>
      <c r="M922" s="2"/>
      <c r="N922" s="2"/>
    </row>
    <row r="923" spans="1:14" ht="12.95" customHeight="1" x14ac:dyDescent="0.2">
      <c r="A923" s="2" t="s">
        <v>143</v>
      </c>
      <c r="B923" s="2" t="s">
        <v>42</v>
      </c>
      <c r="C923" s="2"/>
      <c r="D923" s="2"/>
      <c r="E923" s="3"/>
      <c r="F923" s="2"/>
      <c r="G923" s="2"/>
      <c r="H923" s="2" t="s">
        <v>48</v>
      </c>
      <c r="I923" s="12" t="s">
        <v>48</v>
      </c>
      <c r="J923" s="2"/>
      <c r="K923" s="2"/>
      <c r="L923" s="2"/>
      <c r="M923" s="2"/>
      <c r="N923" s="2"/>
    </row>
    <row r="924" spans="1:14" ht="12.95" customHeight="1" x14ac:dyDescent="0.2">
      <c r="A924" s="2" t="s">
        <v>148</v>
      </c>
      <c r="B924" s="2" t="s">
        <v>42</v>
      </c>
      <c r="C924" s="2"/>
      <c r="D924" s="2"/>
      <c r="E924" s="3"/>
      <c r="F924" s="2"/>
      <c r="G924" s="2"/>
      <c r="H924" s="2" t="s">
        <v>48</v>
      </c>
      <c r="I924" s="12" t="s">
        <v>48</v>
      </c>
      <c r="J924" s="2"/>
      <c r="K924" s="2"/>
      <c r="L924" s="2"/>
      <c r="M924" s="2"/>
      <c r="N924" s="2"/>
    </row>
    <row r="925" spans="1:14" ht="12.95" customHeight="1" x14ac:dyDescent="0.2">
      <c r="A925" s="2" t="s">
        <v>155</v>
      </c>
      <c r="B925" s="2" t="s">
        <v>42</v>
      </c>
      <c r="C925" s="2"/>
      <c r="D925" s="2"/>
      <c r="E925" s="3"/>
      <c r="F925" s="2"/>
      <c r="G925" s="2"/>
      <c r="H925" s="2" t="s">
        <v>48</v>
      </c>
      <c r="I925" s="12" t="s">
        <v>48</v>
      </c>
      <c r="J925" s="2"/>
      <c r="K925" s="2"/>
      <c r="L925" s="2"/>
      <c r="M925" s="2"/>
      <c r="N925" s="2"/>
    </row>
    <row r="926" spans="1:14" ht="12.95" customHeight="1" x14ac:dyDescent="0.2">
      <c r="A926" s="8" t="s">
        <v>161</v>
      </c>
      <c r="B926" s="8"/>
      <c r="C926" s="8"/>
      <c r="D926" s="8"/>
      <c r="E926" s="5" t="s">
        <v>296</v>
      </c>
      <c r="F926" s="5" t="s">
        <v>296</v>
      </c>
      <c r="G926" s="5" t="s">
        <v>296</v>
      </c>
      <c r="H926" s="5" t="s">
        <v>866</v>
      </c>
      <c r="I926" s="36" t="s">
        <v>866</v>
      </c>
      <c r="J926" s="5" t="s">
        <v>296</v>
      </c>
      <c r="K926" s="5" t="s">
        <v>296</v>
      </c>
      <c r="L926" s="5"/>
      <c r="M926" s="5"/>
      <c r="N926" s="5"/>
    </row>
    <row r="927" spans="1:14" ht="12.95" customHeight="1" x14ac:dyDescent="0.2">
      <c r="A927" s="8" t="s">
        <v>171</v>
      </c>
      <c r="B927" s="8"/>
      <c r="C927" s="8"/>
      <c r="D927" s="8"/>
      <c r="E927" s="5" t="s">
        <v>296</v>
      </c>
      <c r="F927" s="5" t="s">
        <v>296</v>
      </c>
      <c r="G927" s="5" t="s">
        <v>296</v>
      </c>
      <c r="H927" s="5" t="s">
        <v>866</v>
      </c>
      <c r="I927" s="36" t="s">
        <v>866</v>
      </c>
      <c r="J927" s="5" t="s">
        <v>296</v>
      </c>
      <c r="K927" s="5" t="s">
        <v>296</v>
      </c>
      <c r="L927" s="5"/>
      <c r="M927" s="5"/>
      <c r="N927" s="5"/>
    </row>
    <row r="928" spans="1:14" ht="12.95" customHeight="1" x14ac:dyDescent="0.2">
      <c r="A928" s="8" t="s">
        <v>173</v>
      </c>
      <c r="B928" s="8"/>
      <c r="C928" s="8"/>
      <c r="D928" s="8"/>
      <c r="E928" s="5">
        <v>0</v>
      </c>
      <c r="F928" s="5">
        <v>0</v>
      </c>
      <c r="G928" s="5">
        <v>0</v>
      </c>
      <c r="H928" s="5">
        <v>120.6</v>
      </c>
      <c r="I928" s="36">
        <v>120.6</v>
      </c>
      <c r="J928" s="5">
        <v>0</v>
      </c>
      <c r="K928" s="5">
        <v>0</v>
      </c>
      <c r="L928" s="5"/>
      <c r="M928" s="5"/>
      <c r="N928" s="5"/>
    </row>
    <row r="929" spans="1:16" x14ac:dyDescent="0.2">
      <c r="I929" s="37"/>
    </row>
    <row r="930" spans="1:16" ht="12.95" customHeight="1" x14ac:dyDescent="0.2">
      <c r="A930" s="9" t="s">
        <v>174</v>
      </c>
      <c r="B930" s="9"/>
      <c r="C930" s="9"/>
      <c r="E930" s="9" t="s">
        <v>180</v>
      </c>
      <c r="F930" s="9"/>
      <c r="G930" s="9"/>
      <c r="I930" s="9" t="s">
        <v>181</v>
      </c>
      <c r="J930" s="9"/>
      <c r="K930" s="9"/>
    </row>
    <row r="931" spans="1:16" ht="12.95" customHeight="1" x14ac:dyDescent="0.2">
      <c r="A931" s="10" t="s">
        <v>175</v>
      </c>
      <c r="B931" s="10"/>
      <c r="C931" s="6">
        <v>0</v>
      </c>
      <c r="I931" s="10" t="s">
        <v>27</v>
      </c>
      <c r="J931" s="10"/>
      <c r="K931" s="26">
        <v>3</v>
      </c>
    </row>
    <row r="932" spans="1:16" ht="12.95" customHeight="1" x14ac:dyDescent="0.2">
      <c r="A932" s="10" t="s">
        <v>1531</v>
      </c>
      <c r="B932" s="10"/>
      <c r="C932" s="6">
        <v>22</v>
      </c>
      <c r="I932" s="10" t="s">
        <v>22</v>
      </c>
      <c r="J932" s="10"/>
      <c r="K932" s="26">
        <v>3</v>
      </c>
    </row>
    <row r="933" spans="1:16" ht="12.95" customHeight="1" x14ac:dyDescent="0.2">
      <c r="A933" s="10" t="s">
        <v>176</v>
      </c>
      <c r="B933" s="10"/>
      <c r="C933" s="6">
        <v>0</v>
      </c>
      <c r="I933" s="10" t="s">
        <v>36</v>
      </c>
      <c r="J933" s="10"/>
      <c r="K933" s="26">
        <v>2</v>
      </c>
    </row>
    <row r="934" spans="1:16" ht="12.95" customHeight="1" x14ac:dyDescent="0.2">
      <c r="A934" s="10" t="s">
        <v>177</v>
      </c>
      <c r="B934" s="10"/>
      <c r="C934" s="6">
        <v>120.6</v>
      </c>
      <c r="I934" s="39" t="s">
        <v>1591</v>
      </c>
      <c r="J934" s="19"/>
      <c r="K934" s="20">
        <v>1.5</v>
      </c>
    </row>
    <row r="935" spans="1:16" ht="12.95" customHeight="1" x14ac:dyDescent="0.2">
      <c r="A935" s="10" t="s">
        <v>11</v>
      </c>
      <c r="B935" s="10"/>
      <c r="C935" s="6">
        <v>0</v>
      </c>
      <c r="I935" s="39" t="s">
        <v>1592</v>
      </c>
      <c r="J935" s="19"/>
      <c r="K935" s="38">
        <v>2</v>
      </c>
    </row>
    <row r="936" spans="1:16" ht="12.95" customHeight="1" x14ac:dyDescent="0.25">
      <c r="A936" s="10" t="s">
        <v>178</v>
      </c>
      <c r="B936" s="10"/>
      <c r="C936" s="30">
        <v>120.6</v>
      </c>
      <c r="I936" s="41" t="s">
        <v>1593</v>
      </c>
      <c r="J936" s="40"/>
      <c r="K936" s="42">
        <f>K934+K935</f>
        <v>3.5</v>
      </c>
    </row>
    <row r="937" spans="1:16" ht="12.95" customHeight="1" x14ac:dyDescent="0.2">
      <c r="A937" s="28" t="s">
        <v>1571</v>
      </c>
      <c r="B937" s="27"/>
      <c r="C937" s="31">
        <v>-3.4</v>
      </c>
    </row>
    <row r="938" spans="1:16" ht="12.95" customHeight="1" x14ac:dyDescent="0.2">
      <c r="A938" s="29" t="s">
        <v>1572</v>
      </c>
      <c r="B938" s="29"/>
      <c r="C938" s="32">
        <f>C936+C937</f>
        <v>117.19999999999999</v>
      </c>
    </row>
    <row r="939" spans="1:16" x14ac:dyDescent="0.2">
      <c r="A939" s="10" t="s">
        <v>10</v>
      </c>
      <c r="B939" s="10"/>
      <c r="C939" s="6">
        <v>0</v>
      </c>
    </row>
    <row r="941" spans="1:16" ht="12.95" customHeight="1" x14ac:dyDescent="0.2">
      <c r="A941" s="7" t="s">
        <v>872</v>
      </c>
      <c r="B941" s="7"/>
      <c r="C941" s="7"/>
      <c r="D941" s="7" t="s">
        <v>1</v>
      </c>
      <c r="E941" s="7"/>
      <c r="F941" s="7"/>
      <c r="G941" s="7"/>
      <c r="H941" s="7" t="s">
        <v>834</v>
      </c>
      <c r="I941" s="7"/>
      <c r="J941" s="7"/>
      <c r="K941" s="7"/>
      <c r="L941" s="7"/>
      <c r="M941" s="7"/>
      <c r="N941" s="7"/>
      <c r="O941" s="7"/>
      <c r="P941" s="7"/>
    </row>
    <row r="942" spans="1:16" ht="12.95" customHeight="1" x14ac:dyDescent="0.2">
      <c r="A942" s="7" t="s">
        <v>3</v>
      </c>
      <c r="B942" s="7"/>
      <c r="C942" s="7"/>
      <c r="D942" s="7"/>
      <c r="E942" s="7"/>
      <c r="F942" s="7">
        <v>100</v>
      </c>
      <c r="G942" s="7"/>
      <c r="H942" s="7" t="s">
        <v>835</v>
      </c>
      <c r="I942" s="7"/>
      <c r="J942" s="7"/>
      <c r="K942" s="7"/>
      <c r="L942" s="7"/>
      <c r="M942" s="7"/>
      <c r="N942" s="7"/>
      <c r="O942" s="7"/>
      <c r="P942" s="7"/>
    </row>
    <row r="943" spans="1:16" ht="22.5" customHeight="1" x14ac:dyDescent="0.2">
      <c r="A943" s="1" t="s">
        <v>5</v>
      </c>
      <c r="B943" s="1" t="s">
        <v>6</v>
      </c>
      <c r="C943" s="1" t="s">
        <v>7</v>
      </c>
      <c r="D943" s="1" t="s">
        <v>8</v>
      </c>
      <c r="E943" s="1" t="s">
        <v>9</v>
      </c>
      <c r="F943" s="1" t="s">
        <v>10</v>
      </c>
      <c r="G943" s="1" t="s">
        <v>11</v>
      </c>
      <c r="H943" s="1" t="s">
        <v>12</v>
      </c>
      <c r="I943" s="1" t="s">
        <v>13</v>
      </c>
      <c r="J943" s="1" t="s">
        <v>14</v>
      </c>
      <c r="K943" s="1" t="s">
        <v>15</v>
      </c>
      <c r="L943" s="1" t="s">
        <v>16</v>
      </c>
      <c r="M943" s="1" t="s">
        <v>17</v>
      </c>
      <c r="N943" s="1" t="s">
        <v>18</v>
      </c>
      <c r="O943" s="1" t="s">
        <v>19</v>
      </c>
      <c r="P943" s="1" t="s">
        <v>20</v>
      </c>
    </row>
    <row r="944" spans="1:16" ht="12.95" customHeight="1" x14ac:dyDescent="0.2">
      <c r="A944" s="2" t="s">
        <v>21</v>
      </c>
      <c r="B944" s="2" t="s">
        <v>22</v>
      </c>
      <c r="C944" s="2"/>
      <c r="D944" s="2"/>
      <c r="E944" s="3"/>
      <c r="F944" s="2"/>
      <c r="G944" s="2"/>
      <c r="H944" s="2" t="s">
        <v>95</v>
      </c>
      <c r="I944" s="12" t="s">
        <v>95</v>
      </c>
      <c r="J944" s="2"/>
      <c r="K944" s="2"/>
      <c r="L944" s="2"/>
      <c r="M944" s="2"/>
      <c r="N944" s="2" t="s">
        <v>24</v>
      </c>
      <c r="O944" s="2" t="s">
        <v>25</v>
      </c>
      <c r="P944" s="2"/>
    </row>
    <row r="945" spans="1:16" ht="12.95" customHeight="1" x14ac:dyDescent="0.2">
      <c r="A945" s="2" t="s">
        <v>26</v>
      </c>
      <c r="B945" s="2" t="s">
        <v>27</v>
      </c>
      <c r="C945" s="2"/>
      <c r="D945" s="2"/>
      <c r="E945" s="3"/>
      <c r="F945" s="2"/>
      <c r="G945" s="2"/>
      <c r="H945" s="2"/>
      <c r="I945" s="13"/>
      <c r="J945" s="2"/>
      <c r="K945" s="2"/>
      <c r="L945" s="2"/>
      <c r="M945" s="2"/>
      <c r="N945" s="2" t="s">
        <v>28</v>
      </c>
      <c r="O945" s="2" t="s">
        <v>29</v>
      </c>
      <c r="P945" s="2"/>
    </row>
    <row r="946" spans="1:16" ht="12.95" customHeight="1" x14ac:dyDescent="0.2">
      <c r="A946" s="4" t="s">
        <v>30</v>
      </c>
      <c r="B946" s="4" t="s">
        <v>31</v>
      </c>
      <c r="C946" s="4"/>
      <c r="D946" s="4"/>
      <c r="E946" s="3"/>
      <c r="F946" s="4"/>
      <c r="G946" s="4"/>
      <c r="H946" s="4"/>
      <c r="I946" s="35"/>
      <c r="J946" s="4"/>
      <c r="K946" s="4"/>
      <c r="L946" s="4"/>
      <c r="M946" s="4"/>
      <c r="N946" s="4"/>
      <c r="O946" s="4"/>
      <c r="P946" s="4"/>
    </row>
    <row r="947" spans="1:16" ht="12.95" customHeight="1" x14ac:dyDescent="0.2">
      <c r="A947" s="4" t="s">
        <v>32</v>
      </c>
      <c r="B947" s="4" t="s">
        <v>31</v>
      </c>
      <c r="C947" s="4"/>
      <c r="D947" s="4"/>
      <c r="E947" s="3"/>
      <c r="F947" s="4"/>
      <c r="G947" s="4"/>
      <c r="H947" s="4"/>
      <c r="I947" s="35"/>
      <c r="J947" s="4"/>
      <c r="K947" s="4"/>
      <c r="L947" s="4"/>
      <c r="M947" s="4"/>
      <c r="N947" s="4"/>
      <c r="O947" s="4"/>
      <c r="P947" s="4"/>
    </row>
    <row r="948" spans="1:16" x14ac:dyDescent="0.2">
      <c r="A948" s="4" t="s">
        <v>33</v>
      </c>
      <c r="B948" s="4" t="s">
        <v>34</v>
      </c>
      <c r="C948" s="4" t="s">
        <v>34</v>
      </c>
      <c r="D948" s="4" t="s">
        <v>34</v>
      </c>
      <c r="E948" s="4"/>
      <c r="F948" s="4"/>
      <c r="G948" s="4"/>
      <c r="H948" s="4" t="s">
        <v>95</v>
      </c>
      <c r="I948" s="35" t="s">
        <v>95</v>
      </c>
      <c r="J948" s="4"/>
      <c r="K948" s="4"/>
      <c r="L948" s="4"/>
      <c r="M948" s="4"/>
      <c r="N948" s="4"/>
      <c r="O948" s="4"/>
      <c r="P948" s="4"/>
    </row>
    <row r="949" spans="1:16" ht="12.95" customHeight="1" x14ac:dyDescent="0.2">
      <c r="A949" s="2" t="s">
        <v>35</v>
      </c>
      <c r="B949" s="2" t="s">
        <v>36</v>
      </c>
      <c r="C949" s="2"/>
      <c r="D949" s="2"/>
      <c r="E949" s="3"/>
      <c r="F949" s="2"/>
      <c r="G949" s="2"/>
      <c r="H949" s="2"/>
      <c r="I949" s="13"/>
      <c r="J949" s="2"/>
      <c r="K949" s="2"/>
      <c r="L949" s="2"/>
      <c r="M949" s="2"/>
      <c r="N949" s="2" t="s">
        <v>194</v>
      </c>
      <c r="O949" s="2"/>
      <c r="P949" s="2"/>
    </row>
    <row r="950" spans="1:16" ht="12.95" customHeight="1" x14ac:dyDescent="0.2">
      <c r="A950" s="2" t="s">
        <v>38</v>
      </c>
      <c r="B950" s="2" t="s">
        <v>36</v>
      </c>
      <c r="C950" s="2"/>
      <c r="D950" s="2"/>
      <c r="E950" s="3"/>
      <c r="F950" s="2"/>
      <c r="G950" s="2"/>
      <c r="H950" s="2"/>
      <c r="I950" s="13"/>
      <c r="J950" s="2"/>
      <c r="K950" s="2"/>
      <c r="L950" s="2"/>
      <c r="M950" s="2"/>
      <c r="N950" s="2" t="s">
        <v>194</v>
      </c>
      <c r="O950" s="2"/>
      <c r="P950" s="2"/>
    </row>
    <row r="951" spans="1:16" ht="12.95" customHeight="1" x14ac:dyDescent="0.2">
      <c r="A951" s="2" t="s">
        <v>39</v>
      </c>
      <c r="B951" s="2" t="s">
        <v>22</v>
      </c>
      <c r="C951" s="2"/>
      <c r="D951" s="2"/>
      <c r="E951" s="3"/>
      <c r="F951" s="2"/>
      <c r="G951" s="2"/>
      <c r="H951" s="2" t="s">
        <v>95</v>
      </c>
      <c r="I951" s="12" t="s">
        <v>95</v>
      </c>
      <c r="J951" s="2"/>
      <c r="K951" s="2"/>
      <c r="L951" s="2"/>
      <c r="M951" s="2"/>
      <c r="N951" s="2" t="s">
        <v>24</v>
      </c>
      <c r="O951" s="2" t="s">
        <v>25</v>
      </c>
      <c r="P951" s="2"/>
    </row>
    <row r="952" spans="1:16" ht="12.95" customHeight="1" x14ac:dyDescent="0.2">
      <c r="A952" s="2" t="s">
        <v>40</v>
      </c>
      <c r="B952" s="2" t="s">
        <v>27</v>
      </c>
      <c r="C952" s="2"/>
      <c r="D952" s="2"/>
      <c r="E952" s="3"/>
      <c r="F952" s="2"/>
      <c r="G952" s="2"/>
      <c r="H952" s="2"/>
      <c r="I952" s="13"/>
      <c r="J952" s="2"/>
      <c r="K952" s="2"/>
      <c r="L952" s="2"/>
      <c r="M952" s="2"/>
      <c r="N952" s="2" t="s">
        <v>28</v>
      </c>
      <c r="O952" s="2" t="s">
        <v>25</v>
      </c>
      <c r="P952" s="2"/>
    </row>
    <row r="953" spans="1:16" ht="12.95" customHeight="1" x14ac:dyDescent="0.2">
      <c r="A953" s="2" t="s">
        <v>41</v>
      </c>
      <c r="B953" s="2" t="s">
        <v>42</v>
      </c>
      <c r="C953" s="2" t="s">
        <v>437</v>
      </c>
      <c r="D953" s="2" t="s">
        <v>873</v>
      </c>
      <c r="E953" s="3" t="s">
        <v>134</v>
      </c>
      <c r="F953" s="2" t="s">
        <v>46</v>
      </c>
      <c r="G953" s="2" t="s">
        <v>135</v>
      </c>
      <c r="H953" s="2" t="s">
        <v>48</v>
      </c>
      <c r="I953" s="13"/>
      <c r="J953" s="2" t="s">
        <v>48</v>
      </c>
      <c r="K953" s="2" t="s">
        <v>136</v>
      </c>
      <c r="L953" s="2" t="s">
        <v>136</v>
      </c>
      <c r="M953" s="2"/>
      <c r="N953" s="2"/>
      <c r="O953" s="2"/>
      <c r="P953" s="2"/>
    </row>
    <row r="954" spans="1:16" ht="12.95" customHeight="1" x14ac:dyDescent="0.2">
      <c r="A954" s="4" t="s">
        <v>51</v>
      </c>
      <c r="B954" s="4" t="s">
        <v>31</v>
      </c>
      <c r="C954" s="4"/>
      <c r="D954" s="4"/>
      <c r="E954" s="3"/>
      <c r="F954" s="4"/>
      <c r="G954" s="4"/>
      <c r="H954" s="4"/>
      <c r="I954" s="35"/>
      <c r="J954" s="4"/>
      <c r="K954" s="4"/>
      <c r="L954" s="4"/>
      <c r="M954" s="4"/>
      <c r="N954" s="4"/>
      <c r="O954" s="4"/>
      <c r="P954" s="4"/>
    </row>
    <row r="955" spans="1:16" ht="12.95" customHeight="1" x14ac:dyDescent="0.2">
      <c r="A955" s="4" t="s">
        <v>52</v>
      </c>
      <c r="B955" s="4" t="s">
        <v>31</v>
      </c>
      <c r="C955" s="4"/>
      <c r="D955" s="4"/>
      <c r="E955" s="3"/>
      <c r="F955" s="4"/>
      <c r="G955" s="4"/>
      <c r="H955" s="4"/>
      <c r="I955" s="35"/>
      <c r="J955" s="4"/>
      <c r="K955" s="4"/>
      <c r="L955" s="4"/>
      <c r="M955" s="4"/>
      <c r="N955" s="4"/>
      <c r="O955" s="4"/>
      <c r="P955" s="4"/>
    </row>
    <row r="956" spans="1:16" x14ac:dyDescent="0.2">
      <c r="A956" s="4" t="s">
        <v>33</v>
      </c>
      <c r="B956" s="4" t="s">
        <v>34</v>
      </c>
      <c r="C956" s="4" t="s">
        <v>34</v>
      </c>
      <c r="D956" s="4" t="s">
        <v>34</v>
      </c>
      <c r="E956" s="4" t="s">
        <v>134</v>
      </c>
      <c r="F956" s="4" t="s">
        <v>46</v>
      </c>
      <c r="G956" s="4" t="s">
        <v>135</v>
      </c>
      <c r="H956" s="4" t="s">
        <v>845</v>
      </c>
      <c r="I956" s="35" t="s">
        <v>95</v>
      </c>
      <c r="J956" s="4" t="s">
        <v>48</v>
      </c>
      <c r="K956" s="4" t="s">
        <v>136</v>
      </c>
      <c r="L956" s="4" t="s">
        <v>136</v>
      </c>
      <c r="M956" s="4"/>
      <c r="N956" s="4"/>
      <c r="O956" s="4"/>
      <c r="P956" s="4"/>
    </row>
    <row r="957" spans="1:16" ht="12.95" customHeight="1" x14ac:dyDescent="0.2">
      <c r="A957" s="2" t="s">
        <v>54</v>
      </c>
      <c r="B957" s="2" t="s">
        <v>42</v>
      </c>
      <c r="C957" s="2" t="s">
        <v>219</v>
      </c>
      <c r="D957" s="2" t="s">
        <v>242</v>
      </c>
      <c r="E957" s="3" t="s">
        <v>721</v>
      </c>
      <c r="F957" s="2"/>
      <c r="G957" s="2" t="s">
        <v>721</v>
      </c>
      <c r="H957" s="2" t="s">
        <v>48</v>
      </c>
      <c r="I957" s="13" t="s">
        <v>282</v>
      </c>
      <c r="J957" s="2" t="s">
        <v>721</v>
      </c>
      <c r="K957" s="2"/>
      <c r="L957" s="2"/>
      <c r="M957" s="2"/>
      <c r="N957" s="2"/>
      <c r="O957" s="2"/>
      <c r="P957" s="2"/>
    </row>
    <row r="958" spans="1:16" ht="12.95" customHeight="1" x14ac:dyDescent="0.2">
      <c r="A958" s="2" t="s">
        <v>54</v>
      </c>
      <c r="B958" s="2" t="s">
        <v>42</v>
      </c>
      <c r="C958" s="2" t="s">
        <v>874</v>
      </c>
      <c r="D958" s="2" t="s">
        <v>653</v>
      </c>
      <c r="E958" s="3" t="s">
        <v>445</v>
      </c>
      <c r="F958" s="2" t="s">
        <v>46</v>
      </c>
      <c r="G958" s="2" t="s">
        <v>397</v>
      </c>
      <c r="H958" s="2"/>
      <c r="I958" s="13"/>
      <c r="J958" s="2" t="s">
        <v>397</v>
      </c>
      <c r="K958" s="2"/>
      <c r="L958" s="2"/>
      <c r="M958" s="2"/>
      <c r="N958" s="2"/>
      <c r="O958" s="2"/>
      <c r="P958" s="2"/>
    </row>
    <row r="959" spans="1:16" ht="12.95" customHeight="1" x14ac:dyDescent="0.2">
      <c r="A959" s="2" t="s">
        <v>61</v>
      </c>
      <c r="B959" s="2" t="s">
        <v>42</v>
      </c>
      <c r="C959" s="2" t="s">
        <v>670</v>
      </c>
      <c r="D959" s="2" t="s">
        <v>875</v>
      </c>
      <c r="E959" s="3" t="s">
        <v>365</v>
      </c>
      <c r="F959" s="2" t="s">
        <v>46</v>
      </c>
      <c r="G959" s="2" t="s">
        <v>876</v>
      </c>
      <c r="H959" s="2" t="s">
        <v>48</v>
      </c>
      <c r="I959" s="13"/>
      <c r="J959" s="2" t="s">
        <v>48</v>
      </c>
      <c r="K959" s="2" t="s">
        <v>705</v>
      </c>
      <c r="L959" s="2" t="s">
        <v>705</v>
      </c>
      <c r="M959" s="2"/>
      <c r="N959" s="2"/>
      <c r="O959" s="2"/>
      <c r="P959" s="2"/>
    </row>
    <row r="960" spans="1:16" ht="12.95" customHeight="1" x14ac:dyDescent="0.2">
      <c r="A960" s="2" t="s">
        <v>68</v>
      </c>
      <c r="B960" s="2" t="s">
        <v>42</v>
      </c>
      <c r="C960" s="2" t="s">
        <v>670</v>
      </c>
      <c r="D960" s="2" t="s">
        <v>877</v>
      </c>
      <c r="E960" s="3" t="s">
        <v>71</v>
      </c>
      <c r="F960" s="2" t="s">
        <v>46</v>
      </c>
      <c r="G960" s="2" t="s">
        <v>72</v>
      </c>
      <c r="H960" s="2" t="s">
        <v>48</v>
      </c>
      <c r="I960" s="13"/>
      <c r="J960" s="2" t="s">
        <v>48</v>
      </c>
      <c r="K960" s="2" t="s">
        <v>73</v>
      </c>
      <c r="L960" s="2" t="s">
        <v>73</v>
      </c>
      <c r="M960" s="2"/>
      <c r="N960" s="2"/>
      <c r="O960" s="2"/>
      <c r="P960" s="2"/>
    </row>
    <row r="961" spans="1:16" ht="12.95" customHeight="1" x14ac:dyDescent="0.2">
      <c r="A961" s="2" t="s">
        <v>75</v>
      </c>
      <c r="B961" s="2" t="s">
        <v>42</v>
      </c>
      <c r="C961" s="2" t="s">
        <v>205</v>
      </c>
      <c r="D961" s="2" t="s">
        <v>873</v>
      </c>
      <c r="E961" s="3" t="s">
        <v>878</v>
      </c>
      <c r="F961" s="2" t="s">
        <v>46</v>
      </c>
      <c r="G961" s="2" t="s">
        <v>210</v>
      </c>
      <c r="H961" s="2" t="s">
        <v>48</v>
      </c>
      <c r="I961" s="13" t="s">
        <v>278</v>
      </c>
      <c r="J961" s="2" t="s">
        <v>210</v>
      </c>
      <c r="K961" s="2"/>
      <c r="L961" s="2"/>
      <c r="M961" s="2"/>
      <c r="N961" s="2"/>
      <c r="O961" s="2"/>
      <c r="P961" s="2"/>
    </row>
    <row r="962" spans="1:16" ht="12.95" customHeight="1" x14ac:dyDescent="0.2">
      <c r="A962" s="2" t="s">
        <v>81</v>
      </c>
      <c r="B962" s="2" t="s">
        <v>42</v>
      </c>
      <c r="C962" s="2" t="s">
        <v>695</v>
      </c>
      <c r="D962" s="2" t="s">
        <v>879</v>
      </c>
      <c r="E962" s="3" t="s">
        <v>427</v>
      </c>
      <c r="F962" s="2" t="s">
        <v>46</v>
      </c>
      <c r="G962" s="2" t="s">
        <v>185</v>
      </c>
      <c r="H962" s="2" t="s">
        <v>48</v>
      </c>
      <c r="I962" s="13" t="s">
        <v>512</v>
      </c>
      <c r="J962" s="2" t="s">
        <v>185</v>
      </c>
      <c r="K962" s="2"/>
      <c r="L962" s="2"/>
      <c r="M962" s="2"/>
      <c r="N962" s="2"/>
      <c r="O962" s="2"/>
      <c r="P962" s="2"/>
    </row>
    <row r="963" spans="1:16" ht="12.95" customHeight="1" x14ac:dyDescent="0.2">
      <c r="A963" s="4" t="s">
        <v>87</v>
      </c>
      <c r="B963" s="4" t="s">
        <v>31</v>
      </c>
      <c r="C963" s="4"/>
      <c r="D963" s="4"/>
      <c r="E963" s="3"/>
      <c r="F963" s="4"/>
      <c r="G963" s="4"/>
      <c r="H963" s="4"/>
      <c r="I963" s="35"/>
      <c r="J963" s="4"/>
      <c r="K963" s="4"/>
      <c r="L963" s="4"/>
      <c r="M963" s="4"/>
      <c r="N963" s="4"/>
      <c r="O963" s="4"/>
      <c r="P963" s="4"/>
    </row>
    <row r="964" spans="1:16" ht="12.95" customHeight="1" x14ac:dyDescent="0.2">
      <c r="A964" s="4" t="s">
        <v>88</v>
      </c>
      <c r="B964" s="4" t="s">
        <v>31</v>
      </c>
      <c r="C964" s="4"/>
      <c r="D964" s="4"/>
      <c r="E964" s="3"/>
      <c r="F964" s="4"/>
      <c r="G964" s="4"/>
      <c r="H964" s="4"/>
      <c r="I964" s="35"/>
      <c r="J964" s="4"/>
      <c r="K964" s="4"/>
      <c r="L964" s="4"/>
      <c r="M964" s="4"/>
      <c r="N964" s="4"/>
      <c r="O964" s="4"/>
      <c r="P964" s="4"/>
    </row>
    <row r="965" spans="1:16" x14ac:dyDescent="0.2">
      <c r="A965" s="4" t="s">
        <v>33</v>
      </c>
      <c r="B965" s="4" t="s">
        <v>34</v>
      </c>
      <c r="C965" s="4" t="s">
        <v>34</v>
      </c>
      <c r="D965" s="4" t="s">
        <v>34</v>
      </c>
      <c r="E965" s="4" t="s">
        <v>880</v>
      </c>
      <c r="F965" s="4" t="s">
        <v>90</v>
      </c>
      <c r="G965" s="4" t="s">
        <v>881</v>
      </c>
      <c r="H965" s="4" t="s">
        <v>92</v>
      </c>
      <c r="I965" s="35" t="s">
        <v>67</v>
      </c>
      <c r="J965" s="4" t="s">
        <v>882</v>
      </c>
      <c r="K965" s="4" t="s">
        <v>59</v>
      </c>
      <c r="L965" s="4" t="s">
        <v>59</v>
      </c>
      <c r="M965" s="4"/>
      <c r="N965" s="4"/>
      <c r="O965" s="4"/>
      <c r="P965" s="4"/>
    </row>
    <row r="966" spans="1:16" ht="12.95" customHeight="1" x14ac:dyDescent="0.2">
      <c r="A966" s="2" t="s">
        <v>97</v>
      </c>
      <c r="B966" s="2" t="s">
        <v>42</v>
      </c>
      <c r="C966" s="2" t="s">
        <v>757</v>
      </c>
      <c r="D966" s="2" t="s">
        <v>415</v>
      </c>
      <c r="E966" s="3" t="s">
        <v>668</v>
      </c>
      <c r="F966" s="2" t="s">
        <v>46</v>
      </c>
      <c r="G966" s="2" t="s">
        <v>669</v>
      </c>
      <c r="H966" s="2" t="s">
        <v>48</v>
      </c>
      <c r="I966" s="13"/>
      <c r="J966" s="2" t="s">
        <v>48</v>
      </c>
      <c r="K966" s="2" t="s">
        <v>459</v>
      </c>
      <c r="L966" s="2" t="s">
        <v>459</v>
      </c>
      <c r="M966" s="2"/>
      <c r="N966" s="2"/>
      <c r="O966" s="2"/>
      <c r="P966" s="2"/>
    </row>
    <row r="967" spans="1:16" ht="12.95" customHeight="1" x14ac:dyDescent="0.2">
      <c r="A967" s="2" t="s">
        <v>104</v>
      </c>
      <c r="B967" s="2" t="s">
        <v>42</v>
      </c>
      <c r="C967" s="2" t="s">
        <v>47</v>
      </c>
      <c r="D967" s="2" t="s">
        <v>883</v>
      </c>
      <c r="E967" s="3" t="s">
        <v>437</v>
      </c>
      <c r="F967" s="2" t="s">
        <v>46</v>
      </c>
      <c r="G967" s="2" t="s">
        <v>672</v>
      </c>
      <c r="H967" s="2" t="s">
        <v>108</v>
      </c>
      <c r="I967" s="13"/>
      <c r="J967" s="2" t="s">
        <v>672</v>
      </c>
      <c r="K967" s="2"/>
      <c r="L967" s="2" t="s">
        <v>714</v>
      </c>
      <c r="M967" s="2" t="s">
        <v>159</v>
      </c>
      <c r="N967" s="2"/>
      <c r="O967" s="2"/>
      <c r="P967" s="2"/>
    </row>
    <row r="968" spans="1:16" ht="12.95" customHeight="1" x14ac:dyDescent="0.2">
      <c r="A968" s="2" t="s">
        <v>112</v>
      </c>
      <c r="B968" s="2" t="s">
        <v>22</v>
      </c>
      <c r="C968" s="2" t="s">
        <v>219</v>
      </c>
      <c r="D968" s="2" t="s">
        <v>884</v>
      </c>
      <c r="E968" s="3" t="s">
        <v>885</v>
      </c>
      <c r="F968" s="2"/>
      <c r="G968" s="2" t="s">
        <v>885</v>
      </c>
      <c r="H968" s="2" t="s">
        <v>810</v>
      </c>
      <c r="I968" s="111" t="s">
        <v>193</v>
      </c>
      <c r="J968" s="2" t="s">
        <v>885</v>
      </c>
      <c r="K968" s="2"/>
      <c r="L968" s="2"/>
      <c r="M968" s="2"/>
      <c r="N968" s="2" t="s">
        <v>24</v>
      </c>
      <c r="O968" s="2" t="s">
        <v>111</v>
      </c>
      <c r="P968" s="2"/>
    </row>
    <row r="969" spans="1:16" ht="12.95" customHeight="1" x14ac:dyDescent="0.2">
      <c r="A969" s="2" t="s">
        <v>114</v>
      </c>
      <c r="B969" s="2" t="s">
        <v>27</v>
      </c>
      <c r="C969" s="2"/>
      <c r="D969" s="2"/>
      <c r="E969" s="3"/>
      <c r="F969" s="2"/>
      <c r="G969" s="2"/>
      <c r="H969" s="2"/>
      <c r="I969" s="13"/>
      <c r="J969" s="2"/>
      <c r="K969" s="2"/>
      <c r="L969" s="2"/>
      <c r="M969" s="2"/>
      <c r="N969" s="2" t="s">
        <v>28</v>
      </c>
      <c r="O969" s="2" t="s">
        <v>111</v>
      </c>
      <c r="P969" s="2"/>
    </row>
    <row r="970" spans="1:16" ht="12.95" customHeight="1" x14ac:dyDescent="0.2">
      <c r="A970" s="2" t="s">
        <v>115</v>
      </c>
      <c r="B970" s="2" t="s">
        <v>42</v>
      </c>
      <c r="C970" s="2" t="s">
        <v>245</v>
      </c>
      <c r="D970" s="2" t="s">
        <v>198</v>
      </c>
      <c r="E970" s="3" t="s">
        <v>516</v>
      </c>
      <c r="F970" s="2" t="s">
        <v>46</v>
      </c>
      <c r="G970" s="2" t="s">
        <v>48</v>
      </c>
      <c r="H970" s="2" t="s">
        <v>48</v>
      </c>
      <c r="I970" s="13"/>
      <c r="J970" s="2" t="s">
        <v>48</v>
      </c>
      <c r="K970" s="2"/>
      <c r="L970" s="2"/>
      <c r="M970" s="2"/>
      <c r="N970" s="2"/>
      <c r="O970" s="2"/>
      <c r="P970" s="2"/>
    </row>
    <row r="971" spans="1:16" ht="12.95" customHeight="1" x14ac:dyDescent="0.2">
      <c r="A971" s="4" t="s">
        <v>122</v>
      </c>
      <c r="B971" s="4" t="s">
        <v>31</v>
      </c>
      <c r="C971" s="4"/>
      <c r="D971" s="4"/>
      <c r="E971" s="3"/>
      <c r="F971" s="4"/>
      <c r="G971" s="4"/>
      <c r="H971" s="4"/>
      <c r="I971" s="35"/>
      <c r="J971" s="4"/>
      <c r="K971" s="4"/>
      <c r="L971" s="4"/>
      <c r="M971" s="4"/>
      <c r="N971" s="4"/>
      <c r="O971" s="4"/>
      <c r="P971" s="4"/>
    </row>
    <row r="972" spans="1:16" ht="12.95" customHeight="1" x14ac:dyDescent="0.2">
      <c r="A972" s="4" t="s">
        <v>123</v>
      </c>
      <c r="B972" s="4" t="s">
        <v>31</v>
      </c>
      <c r="C972" s="4"/>
      <c r="D972" s="4"/>
      <c r="E972" s="3"/>
      <c r="F972" s="4"/>
      <c r="G972" s="4"/>
      <c r="H972" s="4"/>
      <c r="I972" s="35"/>
      <c r="J972" s="4"/>
      <c r="K972" s="4"/>
      <c r="L972" s="4"/>
      <c r="M972" s="4"/>
      <c r="N972" s="4"/>
      <c r="O972" s="4"/>
      <c r="P972" s="4"/>
    </row>
    <row r="973" spans="1:16" x14ac:dyDescent="0.2">
      <c r="A973" s="4" t="s">
        <v>33</v>
      </c>
      <c r="B973" s="4" t="s">
        <v>34</v>
      </c>
      <c r="C973" s="4" t="s">
        <v>34</v>
      </c>
      <c r="D973" s="4" t="s">
        <v>34</v>
      </c>
      <c r="E973" s="4" t="s">
        <v>886</v>
      </c>
      <c r="F973" s="4" t="s">
        <v>125</v>
      </c>
      <c r="G973" s="4" t="s">
        <v>887</v>
      </c>
      <c r="H973" s="4" t="s">
        <v>387</v>
      </c>
      <c r="I973" s="35" t="s">
        <v>193</v>
      </c>
      <c r="J973" s="4" t="s">
        <v>888</v>
      </c>
      <c r="K973" s="4" t="s">
        <v>459</v>
      </c>
      <c r="L973" s="4" t="s">
        <v>718</v>
      </c>
      <c r="M973" s="4" t="s">
        <v>159</v>
      </c>
      <c r="N973" s="4"/>
      <c r="O973" s="4"/>
      <c r="P973" s="4"/>
    </row>
    <row r="974" spans="1:16" ht="12.95" customHeight="1" x14ac:dyDescent="0.2">
      <c r="A974" s="2" t="s">
        <v>131</v>
      </c>
      <c r="B974" s="2" t="s">
        <v>42</v>
      </c>
      <c r="C974" s="2" t="s">
        <v>55</v>
      </c>
      <c r="D974" s="2" t="s">
        <v>187</v>
      </c>
      <c r="E974" s="3" t="s">
        <v>238</v>
      </c>
      <c r="F974" s="2" t="s">
        <v>46</v>
      </c>
      <c r="G974" s="2" t="s">
        <v>69</v>
      </c>
      <c r="H974" s="2" t="s">
        <v>48</v>
      </c>
      <c r="I974" s="13" t="s">
        <v>120</v>
      </c>
      <c r="J974" s="2" t="s">
        <v>69</v>
      </c>
      <c r="K974" s="2"/>
      <c r="L974" s="2"/>
      <c r="M974" s="2"/>
      <c r="N974" s="2"/>
      <c r="O974" s="2"/>
      <c r="P974" s="2"/>
    </row>
    <row r="975" spans="1:16" ht="12.95" customHeight="1" x14ac:dyDescent="0.2">
      <c r="A975" s="2" t="s">
        <v>138</v>
      </c>
      <c r="B975" s="2" t="s">
        <v>42</v>
      </c>
      <c r="C975" s="2" t="s">
        <v>98</v>
      </c>
      <c r="D975" s="2" t="s">
        <v>660</v>
      </c>
      <c r="E975" s="3" t="s">
        <v>135</v>
      </c>
      <c r="F975" s="2" t="s">
        <v>46</v>
      </c>
      <c r="G975" s="2" t="s">
        <v>98</v>
      </c>
      <c r="H975" s="2" t="s">
        <v>48</v>
      </c>
      <c r="I975" s="13" t="s">
        <v>59</v>
      </c>
      <c r="J975" s="2" t="s">
        <v>98</v>
      </c>
      <c r="K975" s="2"/>
      <c r="L975" s="2"/>
      <c r="M975" s="2"/>
      <c r="N975" s="2"/>
      <c r="O975" s="2"/>
      <c r="P975" s="2"/>
    </row>
    <row r="976" spans="1:16" ht="12.95" customHeight="1" x14ac:dyDescent="0.2">
      <c r="A976" s="2" t="s">
        <v>143</v>
      </c>
      <c r="B976" s="2" t="s">
        <v>42</v>
      </c>
      <c r="C976" s="2" t="s">
        <v>398</v>
      </c>
      <c r="D976" s="2" t="s">
        <v>889</v>
      </c>
      <c r="E976" s="3" t="s">
        <v>668</v>
      </c>
      <c r="F976" s="2" t="s">
        <v>46</v>
      </c>
      <c r="G976" s="2" t="s">
        <v>669</v>
      </c>
      <c r="H976" s="2" t="s">
        <v>48</v>
      </c>
      <c r="I976" s="13"/>
      <c r="J976" s="2" t="s">
        <v>48</v>
      </c>
      <c r="K976" s="2" t="s">
        <v>459</v>
      </c>
      <c r="L976" s="2" t="s">
        <v>459</v>
      </c>
      <c r="M976" s="2"/>
      <c r="N976" s="2"/>
      <c r="O976" s="2"/>
      <c r="P976" s="2"/>
    </row>
    <row r="977" spans="1:16" ht="12.95" customHeight="1" x14ac:dyDescent="0.2">
      <c r="A977" s="2" t="s">
        <v>148</v>
      </c>
      <c r="B977" s="2" t="s">
        <v>42</v>
      </c>
      <c r="C977" s="2" t="s">
        <v>890</v>
      </c>
      <c r="D977" s="2" t="s">
        <v>891</v>
      </c>
      <c r="E977" s="3" t="s">
        <v>295</v>
      </c>
      <c r="F977" s="2"/>
      <c r="G977" s="2" t="s">
        <v>295</v>
      </c>
      <c r="H977" s="2" t="s">
        <v>48</v>
      </c>
      <c r="I977" s="13" t="s">
        <v>212</v>
      </c>
      <c r="J977" s="2" t="s">
        <v>295</v>
      </c>
      <c r="K977" s="2"/>
      <c r="L977" s="2"/>
      <c r="M977" s="2"/>
      <c r="N977" s="2"/>
      <c r="O977" s="2"/>
      <c r="P977" s="2"/>
    </row>
    <row r="978" spans="1:16" ht="12.95" customHeight="1" x14ac:dyDescent="0.2">
      <c r="A978" s="2" t="s">
        <v>148</v>
      </c>
      <c r="B978" s="2" t="s">
        <v>42</v>
      </c>
      <c r="C978" s="2" t="s">
        <v>770</v>
      </c>
      <c r="D978" s="2" t="s">
        <v>196</v>
      </c>
      <c r="E978" s="3" t="s">
        <v>892</v>
      </c>
      <c r="F978" s="2" t="s">
        <v>46</v>
      </c>
      <c r="G978" s="2" t="s">
        <v>893</v>
      </c>
      <c r="H978" s="2"/>
      <c r="I978" s="13"/>
      <c r="J978" s="2" t="s">
        <v>893</v>
      </c>
      <c r="K978" s="2"/>
      <c r="L978" s="2"/>
      <c r="M978" s="2"/>
      <c r="N978" s="2"/>
      <c r="O978" s="2"/>
      <c r="P978" s="2"/>
    </row>
    <row r="979" spans="1:16" ht="12.95" customHeight="1" x14ac:dyDescent="0.2">
      <c r="A979" s="2" t="s">
        <v>155</v>
      </c>
      <c r="B979" s="2" t="s">
        <v>42</v>
      </c>
      <c r="C979" s="2" t="s">
        <v>706</v>
      </c>
      <c r="D979" s="2" t="s">
        <v>894</v>
      </c>
      <c r="E979" s="3" t="s">
        <v>895</v>
      </c>
      <c r="F979" s="2" t="s">
        <v>46</v>
      </c>
      <c r="G979" s="2" t="s">
        <v>896</v>
      </c>
      <c r="H979" s="2" t="s">
        <v>48</v>
      </c>
      <c r="I979" s="13" t="s">
        <v>560</v>
      </c>
      <c r="J979" s="2" t="s">
        <v>896</v>
      </c>
      <c r="K979" s="2"/>
      <c r="L979" s="2"/>
      <c r="M979" s="2"/>
      <c r="N979" s="2"/>
      <c r="O979" s="2"/>
      <c r="P979" s="2"/>
    </row>
    <row r="980" spans="1:16" ht="12.95" customHeight="1" x14ac:dyDescent="0.2">
      <c r="A980" s="8" t="s">
        <v>161</v>
      </c>
      <c r="B980" s="8"/>
      <c r="C980" s="8"/>
      <c r="D980" s="8"/>
      <c r="E980" s="5" t="s">
        <v>897</v>
      </c>
      <c r="F980" s="5" t="s">
        <v>163</v>
      </c>
      <c r="G980" s="5" t="s">
        <v>898</v>
      </c>
      <c r="H980" s="5" t="s">
        <v>866</v>
      </c>
      <c r="I980" s="36" t="s">
        <v>206</v>
      </c>
      <c r="J980" s="5" t="s">
        <v>899</v>
      </c>
      <c r="K980" s="5" t="s">
        <v>95</v>
      </c>
      <c r="L980" s="5" t="s">
        <v>900</v>
      </c>
      <c r="M980" s="5" t="s">
        <v>159</v>
      </c>
      <c r="N980" s="5"/>
      <c r="O980" s="5"/>
      <c r="P980" s="5"/>
    </row>
    <row r="981" spans="1:16" ht="12.95" customHeight="1" x14ac:dyDescent="0.2">
      <c r="A981" s="8" t="s">
        <v>171</v>
      </c>
      <c r="B981" s="8"/>
      <c r="C981" s="8"/>
      <c r="D981" s="8"/>
      <c r="E981" s="5" t="s">
        <v>897</v>
      </c>
      <c r="F981" s="5" t="s">
        <v>163</v>
      </c>
      <c r="G981" s="5" t="s">
        <v>898</v>
      </c>
      <c r="H981" s="5" t="s">
        <v>866</v>
      </c>
      <c r="I981" s="36" t="s">
        <v>287</v>
      </c>
      <c r="J981" s="5" t="s">
        <v>899</v>
      </c>
      <c r="K981" s="5" t="s">
        <v>95</v>
      </c>
      <c r="L981" s="5" t="s">
        <v>900</v>
      </c>
      <c r="M981" s="5" t="s">
        <v>159</v>
      </c>
      <c r="N981" s="5"/>
      <c r="O981" s="5"/>
      <c r="P981" s="5"/>
    </row>
    <row r="982" spans="1:16" ht="12.95" customHeight="1" x14ac:dyDescent="0.2">
      <c r="A982" s="8" t="s">
        <v>173</v>
      </c>
      <c r="B982" s="8"/>
      <c r="C982" s="8"/>
      <c r="D982" s="8"/>
      <c r="E982" s="5">
        <v>127.03</v>
      </c>
      <c r="F982" s="5">
        <v>7</v>
      </c>
      <c r="G982" s="5">
        <v>120.03</v>
      </c>
      <c r="H982" s="5">
        <v>120.6</v>
      </c>
      <c r="I982" s="36">
        <v>0.56000000000000005</v>
      </c>
      <c r="J982" s="5">
        <v>119.03</v>
      </c>
      <c r="K982" s="5">
        <v>1</v>
      </c>
      <c r="L982" s="5">
        <v>6.78</v>
      </c>
      <c r="M982" s="5">
        <v>0.43</v>
      </c>
      <c r="N982" s="5"/>
      <c r="O982" s="5"/>
      <c r="P982" s="5"/>
    </row>
    <row r="983" spans="1:16" x14ac:dyDescent="0.2">
      <c r="I983" s="37"/>
    </row>
    <row r="984" spans="1:16" ht="12.95" customHeight="1" x14ac:dyDescent="0.2">
      <c r="A984" s="9" t="s">
        <v>174</v>
      </c>
      <c r="B984" s="9"/>
      <c r="C984" s="9"/>
      <c r="E984" s="9" t="s">
        <v>180</v>
      </c>
      <c r="F984" s="9"/>
      <c r="G984" s="9"/>
      <c r="I984" s="9" t="s">
        <v>181</v>
      </c>
      <c r="J984" s="9"/>
      <c r="K984" s="9"/>
    </row>
    <row r="985" spans="1:16" ht="12.95" customHeight="1" x14ac:dyDescent="0.2">
      <c r="A985" s="10" t="s">
        <v>175</v>
      </c>
      <c r="B985" s="10"/>
      <c r="C985" s="6">
        <v>15</v>
      </c>
      <c r="E985" s="10" t="s">
        <v>14</v>
      </c>
      <c r="F985" s="10"/>
      <c r="G985" s="6">
        <v>119.03</v>
      </c>
      <c r="I985" s="10" t="s">
        <v>264</v>
      </c>
      <c r="J985" s="10"/>
      <c r="K985" s="43">
        <v>2</v>
      </c>
    </row>
    <row r="986" spans="1:16" ht="12.95" customHeight="1" x14ac:dyDescent="0.2">
      <c r="A986" s="10" t="s">
        <v>1531</v>
      </c>
      <c r="B986" s="10"/>
      <c r="C986" s="6">
        <v>22</v>
      </c>
      <c r="E986" s="10" t="s">
        <v>15</v>
      </c>
      <c r="F986" s="10"/>
      <c r="G986" s="6">
        <v>1</v>
      </c>
      <c r="I986" s="10" t="s">
        <v>27</v>
      </c>
      <c r="J986" s="10"/>
      <c r="K986" s="26">
        <v>3</v>
      </c>
    </row>
    <row r="987" spans="1:16" ht="12.95" customHeight="1" x14ac:dyDescent="0.2">
      <c r="A987" s="10" t="s">
        <v>176</v>
      </c>
      <c r="B987" s="10"/>
      <c r="C987" s="6">
        <v>127.03</v>
      </c>
      <c r="I987" s="10" t="s">
        <v>22</v>
      </c>
      <c r="J987" s="10"/>
      <c r="K987" s="26">
        <v>2</v>
      </c>
    </row>
    <row r="988" spans="1:16" ht="12.95" customHeight="1" x14ac:dyDescent="0.2">
      <c r="A988" s="10" t="s">
        <v>177</v>
      </c>
      <c r="B988" s="10"/>
      <c r="C988" s="6">
        <v>120.6</v>
      </c>
      <c r="I988" s="39" t="s">
        <v>1591</v>
      </c>
      <c r="J988" s="19"/>
      <c r="K988" s="20">
        <v>1</v>
      </c>
    </row>
    <row r="989" spans="1:16" ht="12.95" customHeight="1" x14ac:dyDescent="0.2">
      <c r="A989" s="10" t="s">
        <v>11</v>
      </c>
      <c r="B989" s="10"/>
      <c r="C989" s="6">
        <v>120.03</v>
      </c>
      <c r="I989" s="39" t="s">
        <v>1592</v>
      </c>
      <c r="J989" s="19"/>
      <c r="K989" s="20">
        <v>0</v>
      </c>
    </row>
    <row r="990" spans="1:16" ht="12.95" customHeight="1" x14ac:dyDescent="0.25">
      <c r="A990" s="10" t="s">
        <v>178</v>
      </c>
      <c r="B990" s="10"/>
      <c r="C990" s="30">
        <v>0.56000000000000005</v>
      </c>
      <c r="I990" s="41" t="s">
        <v>1593</v>
      </c>
      <c r="J990" s="40"/>
      <c r="K990" s="42">
        <f>K985+K988+K989</f>
        <v>3</v>
      </c>
    </row>
    <row r="991" spans="1:16" ht="12.95" customHeight="1" x14ac:dyDescent="0.2">
      <c r="A991" s="28" t="s">
        <v>1571</v>
      </c>
      <c r="B991" s="27"/>
      <c r="C991" s="112">
        <v>-4.63</v>
      </c>
    </row>
    <row r="992" spans="1:16" ht="12.95" customHeight="1" x14ac:dyDescent="0.2">
      <c r="A992" s="29" t="s">
        <v>1572</v>
      </c>
      <c r="B992" s="29"/>
      <c r="C992" s="32">
        <f>C990+C991</f>
        <v>-4.07</v>
      </c>
    </row>
    <row r="993" spans="1:16" x14ac:dyDescent="0.2">
      <c r="A993" s="10" t="s">
        <v>10</v>
      </c>
      <c r="B993" s="10"/>
      <c r="C993" s="6">
        <v>7</v>
      </c>
    </row>
    <row r="994" spans="1:16" x14ac:dyDescent="0.2">
      <c r="A994" t="s">
        <v>1615</v>
      </c>
      <c r="C994" cm="1">
        <f t="array" ref="C994">IFERROR(SUMPRODUCT((ISNUMBER(SEARCH("מילואים",N944:N983))+ISNUMBER(SEARCH("מילואים",O944:O983))&gt;0)*(C944:C983&lt;&gt;"")*(J944:J983+0))*24,0)</f>
        <v>0</v>
      </c>
    </row>
    <row r="995" spans="1:16" ht="12.95" customHeight="1" x14ac:dyDescent="0.2">
      <c r="A995" s="7" t="s">
        <v>901</v>
      </c>
      <c r="B995" s="7"/>
      <c r="C995" s="7"/>
      <c r="D995" s="7" t="s">
        <v>1</v>
      </c>
      <c r="E995" s="7"/>
      <c r="F995" s="7"/>
      <c r="G995" s="7"/>
      <c r="H995" s="7" t="s">
        <v>902</v>
      </c>
      <c r="I995" s="7"/>
      <c r="J995" s="7"/>
      <c r="K995" s="7"/>
      <c r="L995" s="7"/>
      <c r="M995" s="7"/>
      <c r="N995" s="7"/>
      <c r="O995" s="7"/>
      <c r="P995" s="7"/>
    </row>
    <row r="996" spans="1:16" ht="12.95" customHeight="1" x14ac:dyDescent="0.2">
      <c r="A996" s="7" t="s">
        <v>3</v>
      </c>
      <c r="B996" s="7"/>
      <c r="C996" s="7"/>
      <c r="D996" s="7"/>
      <c r="E996" s="7"/>
      <c r="F996" s="7" t="s">
        <v>903</v>
      </c>
      <c r="G996" s="7"/>
      <c r="H996" s="7" t="s">
        <v>4</v>
      </c>
      <c r="I996" s="7"/>
      <c r="J996" s="7"/>
      <c r="K996" s="7"/>
      <c r="L996" s="7"/>
      <c r="M996" s="7"/>
      <c r="N996" s="7"/>
      <c r="O996" s="7"/>
      <c r="P996" s="7"/>
    </row>
    <row r="997" spans="1:16" ht="22.5" customHeight="1" x14ac:dyDescent="0.2">
      <c r="A997" s="1" t="s">
        <v>5</v>
      </c>
      <c r="B997" s="1" t="s">
        <v>6</v>
      </c>
      <c r="C997" s="1" t="s">
        <v>7</v>
      </c>
      <c r="D997" s="1" t="s">
        <v>8</v>
      </c>
      <c r="E997" s="1" t="s">
        <v>9</v>
      </c>
      <c r="F997" s="1" t="s">
        <v>10</v>
      </c>
      <c r="G997" s="1" t="s">
        <v>11</v>
      </c>
      <c r="H997" s="1" t="s">
        <v>12</v>
      </c>
      <c r="I997" s="1" t="s">
        <v>13</v>
      </c>
      <c r="J997" s="1" t="s">
        <v>14</v>
      </c>
      <c r="K997" s="1" t="s">
        <v>15</v>
      </c>
      <c r="L997" s="1" t="s">
        <v>16</v>
      </c>
      <c r="M997" s="1" t="s">
        <v>17</v>
      </c>
      <c r="N997" s="1" t="s">
        <v>18</v>
      </c>
      <c r="O997" s="1" t="s">
        <v>19</v>
      </c>
      <c r="P997" s="1" t="s">
        <v>20</v>
      </c>
    </row>
    <row r="998" spans="1:16" ht="12.95" customHeight="1" x14ac:dyDescent="0.2">
      <c r="A998" s="2" t="s">
        <v>21</v>
      </c>
      <c r="B998" s="2" t="s">
        <v>22</v>
      </c>
      <c r="C998" s="2"/>
      <c r="D998" s="2"/>
      <c r="E998" s="3"/>
      <c r="F998" s="2"/>
      <c r="G998" s="2"/>
      <c r="H998" s="2" t="s">
        <v>23</v>
      </c>
      <c r="I998" s="12" t="s">
        <v>23</v>
      </c>
      <c r="J998" s="2"/>
      <c r="K998" s="2"/>
      <c r="L998" s="2"/>
      <c r="M998" s="2"/>
      <c r="N998" s="2" t="s">
        <v>24</v>
      </c>
      <c r="O998" s="2" t="s">
        <v>25</v>
      </c>
      <c r="P998" s="2"/>
    </row>
    <row r="999" spans="1:16" ht="12.95" customHeight="1" x14ac:dyDescent="0.2">
      <c r="A999" s="2" t="s">
        <v>26</v>
      </c>
      <c r="B999" s="2" t="s">
        <v>27</v>
      </c>
      <c r="C999" s="2"/>
      <c r="D999" s="2"/>
      <c r="E999" s="3"/>
      <c r="F999" s="2"/>
      <c r="G999" s="2"/>
      <c r="H999" s="2"/>
      <c r="I999" s="13"/>
      <c r="J999" s="2"/>
      <c r="K999" s="2"/>
      <c r="L999" s="2"/>
      <c r="M999" s="2"/>
      <c r="N999" s="2" t="s">
        <v>28</v>
      </c>
      <c r="O999" s="2" t="s">
        <v>29</v>
      </c>
      <c r="P999" s="2"/>
    </row>
    <row r="1000" spans="1:16" ht="12.95" customHeight="1" x14ac:dyDescent="0.2">
      <c r="A1000" s="4" t="s">
        <v>30</v>
      </c>
      <c r="B1000" s="4" t="s">
        <v>31</v>
      </c>
      <c r="C1000" s="4"/>
      <c r="D1000" s="4"/>
      <c r="E1000" s="3"/>
      <c r="F1000" s="4"/>
      <c r="G1000" s="4"/>
      <c r="H1000" s="4"/>
      <c r="I1000" s="35"/>
      <c r="J1000" s="4"/>
      <c r="K1000" s="4"/>
      <c r="L1000" s="4"/>
      <c r="M1000" s="4"/>
      <c r="N1000" s="4"/>
      <c r="O1000" s="4"/>
      <c r="P1000" s="4"/>
    </row>
    <row r="1001" spans="1:16" ht="12.95" customHeight="1" x14ac:dyDescent="0.2">
      <c r="A1001" s="4" t="s">
        <v>32</v>
      </c>
      <c r="B1001" s="4" t="s">
        <v>31</v>
      </c>
      <c r="C1001" s="4"/>
      <c r="D1001" s="4"/>
      <c r="E1001" s="3"/>
      <c r="F1001" s="4"/>
      <c r="G1001" s="4"/>
      <c r="H1001" s="4"/>
      <c r="I1001" s="35"/>
      <c r="J1001" s="4"/>
      <c r="K1001" s="4"/>
      <c r="L1001" s="4"/>
      <c r="M1001" s="4"/>
      <c r="N1001" s="4"/>
      <c r="O1001" s="4"/>
      <c r="P1001" s="4"/>
    </row>
    <row r="1002" spans="1:16" x14ac:dyDescent="0.2">
      <c r="A1002" s="4" t="s">
        <v>33</v>
      </c>
      <c r="B1002" s="4" t="s">
        <v>34</v>
      </c>
      <c r="C1002" s="4" t="s">
        <v>34</v>
      </c>
      <c r="D1002" s="4" t="s">
        <v>34</v>
      </c>
      <c r="E1002" s="4"/>
      <c r="F1002" s="4"/>
      <c r="G1002" s="4"/>
      <c r="H1002" s="4" t="s">
        <v>23</v>
      </c>
      <c r="I1002" s="35" t="s">
        <v>23</v>
      </c>
      <c r="J1002" s="4"/>
      <c r="K1002" s="4"/>
      <c r="L1002" s="4"/>
      <c r="M1002" s="4"/>
      <c r="N1002" s="4"/>
      <c r="O1002" s="4"/>
      <c r="P1002" s="4"/>
    </row>
    <row r="1003" spans="1:16" ht="12.95" customHeight="1" x14ac:dyDescent="0.2">
      <c r="A1003" s="2" t="s">
        <v>35</v>
      </c>
      <c r="B1003" s="2" t="s">
        <v>36</v>
      </c>
      <c r="C1003" s="2" t="s">
        <v>500</v>
      </c>
      <c r="D1003" s="2" t="s">
        <v>904</v>
      </c>
      <c r="E1003" s="3" t="s">
        <v>666</v>
      </c>
      <c r="F1003" s="2"/>
      <c r="G1003" s="2" t="s">
        <v>666</v>
      </c>
      <c r="H1003" s="2"/>
      <c r="I1003" s="13"/>
      <c r="J1003" s="2" t="s">
        <v>48</v>
      </c>
      <c r="K1003" s="2" t="s">
        <v>662</v>
      </c>
      <c r="L1003" s="2"/>
      <c r="M1003" s="2"/>
      <c r="N1003" s="2"/>
      <c r="O1003" s="2"/>
      <c r="P1003" s="2"/>
    </row>
    <row r="1004" spans="1:16" ht="12.95" customHeight="1" x14ac:dyDescent="0.2">
      <c r="A1004" s="2" t="s">
        <v>38</v>
      </c>
      <c r="B1004" s="2" t="s">
        <v>36</v>
      </c>
      <c r="C1004" s="2" t="s">
        <v>905</v>
      </c>
      <c r="D1004" s="2" t="s">
        <v>906</v>
      </c>
      <c r="E1004" s="3" t="s">
        <v>489</v>
      </c>
      <c r="F1004" s="2"/>
      <c r="G1004" s="2" t="s">
        <v>489</v>
      </c>
      <c r="H1004" s="2"/>
      <c r="I1004" s="13"/>
      <c r="J1004" s="2" t="s">
        <v>489</v>
      </c>
      <c r="K1004" s="2"/>
      <c r="L1004" s="2"/>
      <c r="M1004" s="2"/>
      <c r="N1004" s="2"/>
      <c r="O1004" s="2"/>
      <c r="P1004" s="2"/>
    </row>
    <row r="1005" spans="1:16" ht="12.95" customHeight="1" x14ac:dyDescent="0.2">
      <c r="A1005" s="2" t="s">
        <v>39</v>
      </c>
      <c r="B1005" s="2" t="s">
        <v>22</v>
      </c>
      <c r="C1005" s="2"/>
      <c r="D1005" s="2"/>
      <c r="E1005" s="3"/>
      <c r="F1005" s="2"/>
      <c r="G1005" s="2"/>
      <c r="H1005" s="2" t="s">
        <v>23</v>
      </c>
      <c r="I1005" s="12" t="s">
        <v>23</v>
      </c>
      <c r="J1005" s="2"/>
      <c r="K1005" s="2"/>
      <c r="L1005" s="2"/>
      <c r="M1005" s="2"/>
      <c r="N1005" s="2" t="s">
        <v>24</v>
      </c>
      <c r="O1005" s="2" t="s">
        <v>25</v>
      </c>
      <c r="P1005" s="2"/>
    </row>
    <row r="1006" spans="1:16" ht="12.95" customHeight="1" x14ac:dyDescent="0.2">
      <c r="A1006" s="2" t="s">
        <v>40</v>
      </c>
      <c r="B1006" s="2" t="s">
        <v>27</v>
      </c>
      <c r="C1006" s="2"/>
      <c r="D1006" s="2"/>
      <c r="E1006" s="3"/>
      <c r="F1006" s="2"/>
      <c r="G1006" s="2"/>
      <c r="H1006" s="2"/>
      <c r="I1006" s="13"/>
      <c r="J1006" s="2"/>
      <c r="K1006" s="2"/>
      <c r="L1006" s="2"/>
      <c r="M1006" s="2"/>
      <c r="N1006" s="2" t="s">
        <v>28</v>
      </c>
      <c r="O1006" s="2" t="s">
        <v>25</v>
      </c>
      <c r="P1006" s="2"/>
    </row>
    <row r="1007" spans="1:16" ht="12.95" customHeight="1" x14ac:dyDescent="0.2">
      <c r="A1007" s="2" t="s">
        <v>41</v>
      </c>
      <c r="B1007" s="2" t="s">
        <v>42</v>
      </c>
      <c r="C1007" s="2" t="s">
        <v>907</v>
      </c>
      <c r="D1007" s="2" t="s">
        <v>908</v>
      </c>
      <c r="E1007" s="3" t="s">
        <v>210</v>
      </c>
      <c r="F1007" s="2" t="s">
        <v>46</v>
      </c>
      <c r="G1007" s="2" t="s">
        <v>211</v>
      </c>
      <c r="H1007" s="2" t="s">
        <v>48</v>
      </c>
      <c r="I1007" s="13" t="s">
        <v>539</v>
      </c>
      <c r="J1007" s="2" t="s">
        <v>211</v>
      </c>
      <c r="K1007" s="2"/>
      <c r="L1007" s="2"/>
      <c r="M1007" s="2" t="s">
        <v>347</v>
      </c>
      <c r="N1007" s="2"/>
      <c r="O1007" s="2"/>
      <c r="P1007" s="2"/>
    </row>
    <row r="1008" spans="1:16" ht="12.95" customHeight="1" x14ac:dyDescent="0.2">
      <c r="A1008" s="4" t="s">
        <v>51</v>
      </c>
      <c r="B1008" s="4" t="s">
        <v>31</v>
      </c>
      <c r="C1008" s="4"/>
      <c r="D1008" s="4"/>
      <c r="E1008" s="3"/>
      <c r="F1008" s="4"/>
      <c r="G1008" s="4"/>
      <c r="H1008" s="4"/>
      <c r="I1008" s="35"/>
      <c r="J1008" s="4"/>
      <c r="K1008" s="4"/>
      <c r="L1008" s="4"/>
      <c r="M1008" s="4"/>
      <c r="N1008" s="4"/>
      <c r="O1008" s="4"/>
      <c r="P1008" s="4"/>
    </row>
    <row r="1009" spans="1:16" ht="12.95" customHeight="1" x14ac:dyDescent="0.2">
      <c r="A1009" s="4" t="s">
        <v>52</v>
      </c>
      <c r="B1009" s="4" t="s">
        <v>31</v>
      </c>
      <c r="C1009" s="4"/>
      <c r="D1009" s="4"/>
      <c r="E1009" s="3"/>
      <c r="F1009" s="4"/>
      <c r="G1009" s="4"/>
      <c r="H1009" s="4"/>
      <c r="I1009" s="35"/>
      <c r="J1009" s="4"/>
      <c r="K1009" s="4"/>
      <c r="L1009" s="4"/>
      <c r="M1009" s="4"/>
      <c r="N1009" s="4"/>
      <c r="O1009" s="4"/>
      <c r="P1009" s="4"/>
    </row>
    <row r="1010" spans="1:16" x14ac:dyDescent="0.2">
      <c r="A1010" s="4" t="s">
        <v>33</v>
      </c>
      <c r="B1010" s="4" t="s">
        <v>34</v>
      </c>
      <c r="C1010" s="4" t="s">
        <v>34</v>
      </c>
      <c r="D1010" s="4" t="s">
        <v>34</v>
      </c>
      <c r="E1010" s="4" t="s">
        <v>909</v>
      </c>
      <c r="F1010" s="4" t="s">
        <v>46</v>
      </c>
      <c r="G1010" s="4" t="s">
        <v>910</v>
      </c>
      <c r="H1010" s="4" t="s">
        <v>53</v>
      </c>
      <c r="I1010" s="35" t="s">
        <v>384</v>
      </c>
      <c r="J1010" s="4" t="s">
        <v>911</v>
      </c>
      <c r="K1010" s="4" t="s">
        <v>662</v>
      </c>
      <c r="L1010" s="4"/>
      <c r="M1010" s="4" t="s">
        <v>347</v>
      </c>
      <c r="N1010" s="4"/>
      <c r="O1010" s="4"/>
      <c r="P1010" s="4"/>
    </row>
    <row r="1011" spans="1:16" ht="12.95" customHeight="1" x14ac:dyDescent="0.2">
      <c r="A1011" s="2" t="s">
        <v>54</v>
      </c>
      <c r="B1011" s="2" t="s">
        <v>42</v>
      </c>
      <c r="C1011" s="2"/>
      <c r="D1011" s="2"/>
      <c r="E1011" s="3"/>
      <c r="F1011" s="2"/>
      <c r="G1011" s="2"/>
      <c r="H1011" s="2" t="s">
        <v>48</v>
      </c>
      <c r="I1011" s="12" t="s">
        <v>48</v>
      </c>
      <c r="J1011" s="2"/>
      <c r="K1011" s="2"/>
      <c r="L1011" s="2"/>
      <c r="M1011" s="2"/>
      <c r="N1011" s="2"/>
      <c r="O1011" s="2"/>
      <c r="P1011" s="2"/>
    </row>
    <row r="1012" spans="1:16" ht="12.95" customHeight="1" x14ac:dyDescent="0.2">
      <c r="A1012" s="2" t="s">
        <v>61</v>
      </c>
      <c r="B1012" s="2" t="s">
        <v>42</v>
      </c>
      <c r="C1012" s="2"/>
      <c r="D1012" s="2"/>
      <c r="E1012" s="3"/>
      <c r="F1012" s="2"/>
      <c r="G1012" s="2"/>
      <c r="H1012" s="2" t="s">
        <v>48</v>
      </c>
      <c r="I1012" s="12" t="s">
        <v>48</v>
      </c>
      <c r="J1012" s="2"/>
      <c r="K1012" s="2"/>
      <c r="L1012" s="2"/>
      <c r="M1012" s="2"/>
      <c r="N1012" s="2"/>
      <c r="O1012" s="2"/>
      <c r="P1012" s="2"/>
    </row>
    <row r="1013" spans="1:16" ht="12.95" customHeight="1" x14ac:dyDescent="0.2">
      <c r="A1013" s="2" t="s">
        <v>68</v>
      </c>
      <c r="B1013" s="2" t="s">
        <v>42</v>
      </c>
      <c r="C1013" s="2" t="s">
        <v>912</v>
      </c>
      <c r="D1013" s="2" t="s">
        <v>913</v>
      </c>
      <c r="E1013" s="3" t="s">
        <v>480</v>
      </c>
      <c r="F1013" s="2" t="s">
        <v>46</v>
      </c>
      <c r="G1013" s="2" t="s">
        <v>491</v>
      </c>
      <c r="H1013" s="2" t="s">
        <v>48</v>
      </c>
      <c r="I1013" s="13" t="s">
        <v>311</v>
      </c>
      <c r="J1013" s="2" t="s">
        <v>491</v>
      </c>
      <c r="K1013" s="2"/>
      <c r="L1013" s="2"/>
      <c r="M1013" s="2" t="s">
        <v>66</v>
      </c>
      <c r="N1013" s="2"/>
      <c r="O1013" s="2"/>
      <c r="P1013" s="2"/>
    </row>
    <row r="1014" spans="1:16" ht="12.95" customHeight="1" x14ac:dyDescent="0.2">
      <c r="A1014" s="2" t="s">
        <v>75</v>
      </c>
      <c r="B1014" s="2" t="s">
        <v>42</v>
      </c>
      <c r="C1014" s="2" t="s">
        <v>914</v>
      </c>
      <c r="D1014" s="2" t="s">
        <v>915</v>
      </c>
      <c r="E1014" s="3" t="s">
        <v>916</v>
      </c>
      <c r="F1014" s="2"/>
      <c r="G1014" s="2" t="s">
        <v>916</v>
      </c>
      <c r="H1014" s="2" t="s">
        <v>48</v>
      </c>
      <c r="I1014" s="13" t="s">
        <v>731</v>
      </c>
      <c r="J1014" s="2" t="s">
        <v>916</v>
      </c>
      <c r="K1014" s="2"/>
      <c r="L1014" s="2"/>
      <c r="M1014" s="2" t="s">
        <v>560</v>
      </c>
      <c r="N1014" s="2"/>
      <c r="O1014" s="2"/>
      <c r="P1014" s="2"/>
    </row>
    <row r="1015" spans="1:16" ht="12.95" customHeight="1" x14ac:dyDescent="0.2">
      <c r="A1015" s="2" t="s">
        <v>81</v>
      </c>
      <c r="B1015" s="2" t="s">
        <v>42</v>
      </c>
      <c r="C1015" s="2" t="s">
        <v>599</v>
      </c>
      <c r="D1015" s="2" t="s">
        <v>917</v>
      </c>
      <c r="E1015" s="3" t="s">
        <v>453</v>
      </c>
      <c r="F1015" s="2" t="s">
        <v>46</v>
      </c>
      <c r="G1015" s="2" t="s">
        <v>918</v>
      </c>
      <c r="H1015" s="2" t="s">
        <v>48</v>
      </c>
      <c r="I1015" s="13" t="s">
        <v>919</v>
      </c>
      <c r="J1015" s="2" t="s">
        <v>918</v>
      </c>
      <c r="K1015" s="2"/>
      <c r="L1015" s="2"/>
      <c r="M1015" s="2" t="s">
        <v>142</v>
      </c>
      <c r="N1015" s="2"/>
      <c r="O1015" s="2"/>
      <c r="P1015" s="2"/>
    </row>
    <row r="1016" spans="1:16" ht="12.95" customHeight="1" x14ac:dyDescent="0.2">
      <c r="A1016" s="4" t="s">
        <v>87</v>
      </c>
      <c r="B1016" s="4" t="s">
        <v>31</v>
      </c>
      <c r="C1016" s="4"/>
      <c r="D1016" s="4"/>
      <c r="E1016" s="3"/>
      <c r="F1016" s="4"/>
      <c r="G1016" s="4"/>
      <c r="H1016" s="4"/>
      <c r="I1016" s="35"/>
      <c r="J1016" s="4"/>
      <c r="K1016" s="4"/>
      <c r="L1016" s="4"/>
      <c r="M1016" s="4"/>
      <c r="N1016" s="4"/>
      <c r="O1016" s="4"/>
      <c r="P1016" s="4"/>
    </row>
    <row r="1017" spans="1:16" ht="12.95" customHeight="1" x14ac:dyDescent="0.2">
      <c r="A1017" s="4" t="s">
        <v>88</v>
      </c>
      <c r="B1017" s="4" t="s">
        <v>31</v>
      </c>
      <c r="C1017" s="4"/>
      <c r="D1017" s="4"/>
      <c r="E1017" s="3"/>
      <c r="F1017" s="4"/>
      <c r="G1017" s="4"/>
      <c r="H1017" s="4"/>
      <c r="I1017" s="35"/>
      <c r="J1017" s="4"/>
      <c r="K1017" s="4"/>
      <c r="L1017" s="4"/>
      <c r="M1017" s="4"/>
      <c r="N1017" s="4"/>
      <c r="O1017" s="4"/>
      <c r="P1017" s="4"/>
    </row>
    <row r="1018" spans="1:16" x14ac:dyDescent="0.2">
      <c r="A1018" s="4" t="s">
        <v>33</v>
      </c>
      <c r="B1018" s="4" t="s">
        <v>34</v>
      </c>
      <c r="C1018" s="4" t="s">
        <v>34</v>
      </c>
      <c r="D1018" s="4" t="s">
        <v>34</v>
      </c>
      <c r="E1018" s="4" t="s">
        <v>920</v>
      </c>
      <c r="F1018" s="4" t="s">
        <v>95</v>
      </c>
      <c r="G1018" s="4" t="s">
        <v>363</v>
      </c>
      <c r="H1018" s="4" t="s">
        <v>92</v>
      </c>
      <c r="I1018" s="35" t="s">
        <v>921</v>
      </c>
      <c r="J1018" s="4" t="s">
        <v>363</v>
      </c>
      <c r="K1018" s="4"/>
      <c r="L1018" s="4"/>
      <c r="M1018" s="4" t="s">
        <v>95</v>
      </c>
      <c r="N1018" s="4"/>
      <c r="O1018" s="4"/>
      <c r="P1018" s="4"/>
    </row>
    <row r="1019" spans="1:16" ht="12.95" customHeight="1" x14ac:dyDescent="0.2">
      <c r="A1019" s="2" t="s">
        <v>97</v>
      </c>
      <c r="B1019" s="2" t="s">
        <v>42</v>
      </c>
      <c r="C1019" s="2" t="s">
        <v>922</v>
      </c>
      <c r="D1019" s="2" t="s">
        <v>923</v>
      </c>
      <c r="E1019" s="3" t="s">
        <v>199</v>
      </c>
      <c r="F1019" s="2" t="s">
        <v>46</v>
      </c>
      <c r="G1019" s="2" t="s">
        <v>200</v>
      </c>
      <c r="H1019" s="2" t="s">
        <v>48</v>
      </c>
      <c r="I1019" s="13" t="s">
        <v>924</v>
      </c>
      <c r="J1019" s="2" t="s">
        <v>200</v>
      </c>
      <c r="K1019" s="2"/>
      <c r="L1019" s="2"/>
      <c r="M1019" s="2" t="s">
        <v>397</v>
      </c>
      <c r="N1019" s="2"/>
      <c r="O1019" s="2"/>
      <c r="P1019" s="2"/>
    </row>
    <row r="1020" spans="1:16" ht="12.95" customHeight="1" x14ac:dyDescent="0.2">
      <c r="A1020" s="2" t="s">
        <v>104</v>
      </c>
      <c r="B1020" s="2" t="s">
        <v>42</v>
      </c>
      <c r="C1020" s="2"/>
      <c r="D1020" s="2"/>
      <c r="E1020" s="3"/>
      <c r="F1020" s="2"/>
      <c r="G1020" s="2"/>
      <c r="H1020" s="2" t="s">
        <v>108</v>
      </c>
      <c r="I1020" s="12" t="s">
        <v>108</v>
      </c>
      <c r="J1020" s="2"/>
      <c r="K1020" s="2"/>
      <c r="L1020" s="2"/>
      <c r="M1020" s="2"/>
      <c r="N1020" s="2"/>
      <c r="O1020" s="2"/>
      <c r="P1020" s="2"/>
    </row>
    <row r="1021" spans="1:16" ht="12.95" customHeight="1" x14ac:dyDescent="0.2">
      <c r="A1021" s="2" t="s">
        <v>112</v>
      </c>
      <c r="B1021" s="2" t="s">
        <v>22</v>
      </c>
      <c r="C1021" s="2" t="s">
        <v>925</v>
      </c>
      <c r="D1021" s="2" t="s">
        <v>926</v>
      </c>
      <c r="E1021" s="3" t="s">
        <v>927</v>
      </c>
      <c r="F1021" s="2" t="s">
        <v>46</v>
      </c>
      <c r="G1021" s="2" t="s">
        <v>928</v>
      </c>
      <c r="H1021" s="2" t="s">
        <v>113</v>
      </c>
      <c r="I1021" s="111" t="s">
        <v>929</v>
      </c>
      <c r="J1021" s="2" t="s">
        <v>928</v>
      </c>
      <c r="K1021" s="2"/>
      <c r="L1021" s="2"/>
      <c r="M1021" s="2"/>
      <c r="N1021" s="2" t="s">
        <v>24</v>
      </c>
      <c r="O1021" s="2" t="s">
        <v>111</v>
      </c>
      <c r="P1021" s="2"/>
    </row>
    <row r="1022" spans="1:16" ht="12.95" customHeight="1" x14ac:dyDescent="0.2">
      <c r="A1022" s="2" t="s">
        <v>114</v>
      </c>
      <c r="B1022" s="2" t="s">
        <v>27</v>
      </c>
      <c r="C1022" s="2"/>
      <c r="D1022" s="2"/>
      <c r="E1022" s="3"/>
      <c r="F1022" s="2"/>
      <c r="G1022" s="2"/>
      <c r="H1022" s="2"/>
      <c r="I1022" s="13"/>
      <c r="J1022" s="2"/>
      <c r="K1022" s="2"/>
      <c r="L1022" s="2"/>
      <c r="M1022" s="2"/>
      <c r="N1022" s="2" t="s">
        <v>28</v>
      </c>
      <c r="O1022" s="2" t="s">
        <v>111</v>
      </c>
      <c r="P1022" s="2"/>
    </row>
    <row r="1023" spans="1:16" ht="12.95" customHeight="1" x14ac:dyDescent="0.2">
      <c r="A1023" s="2" t="s">
        <v>115</v>
      </c>
      <c r="B1023" s="2" t="s">
        <v>42</v>
      </c>
      <c r="C1023" s="2" t="s">
        <v>914</v>
      </c>
      <c r="D1023" s="2" t="s">
        <v>930</v>
      </c>
      <c r="E1023" s="3" t="s">
        <v>410</v>
      </c>
      <c r="F1023" s="2" t="s">
        <v>46</v>
      </c>
      <c r="G1023" s="2" t="s">
        <v>931</v>
      </c>
      <c r="H1023" s="2" t="s">
        <v>48</v>
      </c>
      <c r="I1023" s="13" t="s">
        <v>409</v>
      </c>
      <c r="J1023" s="2" t="s">
        <v>931</v>
      </c>
      <c r="K1023" s="2"/>
      <c r="L1023" s="2"/>
      <c r="M1023" s="2" t="s">
        <v>560</v>
      </c>
      <c r="N1023" s="2"/>
      <c r="O1023" s="2"/>
      <c r="P1023" s="2"/>
    </row>
    <row r="1024" spans="1:16" ht="12.95" customHeight="1" x14ac:dyDescent="0.2">
      <c r="A1024" s="4" t="s">
        <v>122</v>
      </c>
      <c r="B1024" s="4" t="s">
        <v>31</v>
      </c>
      <c r="C1024" s="4"/>
      <c r="D1024" s="4"/>
      <c r="E1024" s="3"/>
      <c r="F1024" s="4"/>
      <c r="G1024" s="4"/>
      <c r="H1024" s="4"/>
      <c r="I1024" s="35"/>
      <c r="J1024" s="4"/>
      <c r="K1024" s="4"/>
      <c r="L1024" s="4"/>
      <c r="M1024" s="4"/>
      <c r="N1024" s="4"/>
      <c r="O1024" s="4"/>
      <c r="P1024" s="4"/>
    </row>
    <row r="1025" spans="1:16" ht="12.95" customHeight="1" x14ac:dyDescent="0.2">
      <c r="A1025" s="4" t="s">
        <v>123</v>
      </c>
      <c r="B1025" s="4" t="s">
        <v>31</v>
      </c>
      <c r="C1025" s="4"/>
      <c r="D1025" s="4"/>
      <c r="E1025" s="3"/>
      <c r="F1025" s="4"/>
      <c r="G1025" s="4"/>
      <c r="H1025" s="4"/>
      <c r="I1025" s="35"/>
      <c r="J1025" s="4"/>
      <c r="K1025" s="4"/>
      <c r="L1025" s="4"/>
      <c r="M1025" s="4"/>
      <c r="N1025" s="4"/>
      <c r="O1025" s="4"/>
      <c r="P1025" s="4"/>
    </row>
    <row r="1026" spans="1:16" x14ac:dyDescent="0.2">
      <c r="A1026" s="4" t="s">
        <v>33</v>
      </c>
      <c r="B1026" s="4" t="s">
        <v>34</v>
      </c>
      <c r="C1026" s="4" t="s">
        <v>34</v>
      </c>
      <c r="D1026" s="4" t="s">
        <v>34</v>
      </c>
      <c r="E1026" s="4" t="s">
        <v>874</v>
      </c>
      <c r="F1026" s="4" t="s">
        <v>125</v>
      </c>
      <c r="G1026" s="4" t="s">
        <v>932</v>
      </c>
      <c r="H1026" s="4" t="s">
        <v>127</v>
      </c>
      <c r="I1026" s="35" t="s">
        <v>310</v>
      </c>
      <c r="J1026" s="4" t="s">
        <v>932</v>
      </c>
      <c r="K1026" s="4"/>
      <c r="L1026" s="4"/>
      <c r="M1026" s="4" t="s">
        <v>308</v>
      </c>
      <c r="N1026" s="4"/>
      <c r="O1026" s="4"/>
      <c r="P1026" s="4"/>
    </row>
    <row r="1027" spans="1:16" ht="12.95" customHeight="1" x14ac:dyDescent="0.2">
      <c r="A1027" s="2" t="s">
        <v>131</v>
      </c>
      <c r="B1027" s="2" t="s">
        <v>42</v>
      </c>
      <c r="C1027" s="2" t="s">
        <v>304</v>
      </c>
      <c r="D1027" s="2" t="s">
        <v>933</v>
      </c>
      <c r="E1027" s="3" t="s">
        <v>277</v>
      </c>
      <c r="F1027" s="2" t="s">
        <v>46</v>
      </c>
      <c r="G1027" s="2" t="s">
        <v>382</v>
      </c>
      <c r="H1027" s="2" t="s">
        <v>48</v>
      </c>
      <c r="I1027" s="13" t="s">
        <v>249</v>
      </c>
      <c r="J1027" s="2" t="s">
        <v>382</v>
      </c>
      <c r="K1027" s="2"/>
      <c r="L1027" s="2"/>
      <c r="M1027" s="2" t="s">
        <v>212</v>
      </c>
      <c r="N1027" s="2"/>
      <c r="O1027" s="2"/>
      <c r="P1027" s="2"/>
    </row>
    <row r="1028" spans="1:16" ht="12.95" customHeight="1" x14ac:dyDescent="0.2">
      <c r="A1028" s="2" t="s">
        <v>138</v>
      </c>
      <c r="B1028" s="2" t="s">
        <v>42</v>
      </c>
      <c r="C1028" s="2" t="s">
        <v>581</v>
      </c>
      <c r="D1028" s="2" t="s">
        <v>934</v>
      </c>
      <c r="E1028" s="3" t="s">
        <v>935</v>
      </c>
      <c r="F1028" s="2"/>
      <c r="G1028" s="2" t="s">
        <v>935</v>
      </c>
      <c r="H1028" s="2" t="s">
        <v>48</v>
      </c>
      <c r="I1028" s="13" t="s">
        <v>936</v>
      </c>
      <c r="J1028" s="2" t="s">
        <v>935</v>
      </c>
      <c r="K1028" s="2"/>
      <c r="L1028" s="2"/>
      <c r="M1028" s="2" t="s">
        <v>584</v>
      </c>
      <c r="N1028" s="2"/>
      <c r="O1028" s="2"/>
      <c r="P1028" s="2"/>
    </row>
    <row r="1029" spans="1:16" ht="12.95" customHeight="1" x14ac:dyDescent="0.2">
      <c r="A1029" s="2" t="s">
        <v>143</v>
      </c>
      <c r="B1029" s="2" t="s">
        <v>42</v>
      </c>
      <c r="C1029" s="2"/>
      <c r="D1029" s="2"/>
      <c r="E1029" s="3"/>
      <c r="F1029" s="2"/>
      <c r="G1029" s="2"/>
      <c r="H1029" s="2" t="s">
        <v>48</v>
      </c>
      <c r="I1029" s="12" t="s">
        <v>48</v>
      </c>
      <c r="J1029" s="2"/>
      <c r="K1029" s="2"/>
      <c r="L1029" s="2"/>
      <c r="M1029" s="2"/>
      <c r="N1029" s="2"/>
      <c r="O1029" s="2"/>
      <c r="P1029" s="2"/>
    </row>
    <row r="1030" spans="1:16" ht="12.95" customHeight="1" x14ac:dyDescent="0.2">
      <c r="A1030" s="2" t="s">
        <v>148</v>
      </c>
      <c r="B1030" s="2" t="s">
        <v>42</v>
      </c>
      <c r="C1030" s="2"/>
      <c r="D1030" s="2"/>
      <c r="E1030" s="3"/>
      <c r="F1030" s="2"/>
      <c r="G1030" s="2"/>
      <c r="H1030" s="2" t="s">
        <v>48</v>
      </c>
      <c r="I1030" s="12" t="s">
        <v>48</v>
      </c>
      <c r="J1030" s="2"/>
      <c r="K1030" s="2"/>
      <c r="L1030" s="2"/>
      <c r="M1030" s="2"/>
      <c r="N1030" s="2"/>
      <c r="O1030" s="2"/>
      <c r="P1030" s="2"/>
    </row>
    <row r="1031" spans="1:16" ht="12.95" customHeight="1" x14ac:dyDescent="0.2">
      <c r="A1031" s="2" t="s">
        <v>155</v>
      </c>
      <c r="B1031" s="2" t="s">
        <v>42</v>
      </c>
      <c r="C1031" s="2"/>
      <c r="D1031" s="2"/>
      <c r="E1031" s="3"/>
      <c r="F1031" s="2"/>
      <c r="G1031" s="2"/>
      <c r="H1031" s="2" t="s">
        <v>48</v>
      </c>
      <c r="I1031" s="12" t="s">
        <v>48</v>
      </c>
      <c r="J1031" s="2"/>
      <c r="K1031" s="2"/>
      <c r="L1031" s="2"/>
      <c r="M1031" s="2"/>
      <c r="N1031" s="2"/>
      <c r="O1031" s="2"/>
      <c r="P1031" s="2"/>
    </row>
    <row r="1032" spans="1:16" ht="12.95" customHeight="1" x14ac:dyDescent="0.2">
      <c r="A1032" s="8" t="s">
        <v>161</v>
      </c>
      <c r="B1032" s="8"/>
      <c r="C1032" s="8"/>
      <c r="D1032" s="8"/>
      <c r="E1032" s="5" t="s">
        <v>937</v>
      </c>
      <c r="F1032" s="5" t="s">
        <v>356</v>
      </c>
      <c r="G1032" s="5" t="s">
        <v>938</v>
      </c>
      <c r="H1032" s="5" t="s">
        <v>165</v>
      </c>
      <c r="I1032" s="36" t="s">
        <v>939</v>
      </c>
      <c r="J1032" s="5" t="s">
        <v>940</v>
      </c>
      <c r="K1032" s="5" t="s">
        <v>662</v>
      </c>
      <c r="L1032" s="5" t="s">
        <v>296</v>
      </c>
      <c r="M1032" s="5" t="s">
        <v>941</v>
      </c>
      <c r="N1032" s="5"/>
      <c r="O1032" s="5"/>
      <c r="P1032" s="5"/>
    </row>
    <row r="1033" spans="1:16" ht="12.95" customHeight="1" x14ac:dyDescent="0.2">
      <c r="A1033" s="8" t="s">
        <v>171</v>
      </c>
      <c r="B1033" s="8"/>
      <c r="C1033" s="8"/>
      <c r="D1033" s="8"/>
      <c r="E1033" s="5" t="s">
        <v>937</v>
      </c>
      <c r="F1033" s="5" t="s">
        <v>356</v>
      </c>
      <c r="G1033" s="5" t="s">
        <v>938</v>
      </c>
      <c r="H1033" s="5" t="s">
        <v>165</v>
      </c>
      <c r="I1033" s="36" t="s">
        <v>942</v>
      </c>
      <c r="J1033" s="5" t="s">
        <v>940</v>
      </c>
      <c r="K1033" s="5" t="s">
        <v>662</v>
      </c>
      <c r="L1033" s="5" t="s">
        <v>296</v>
      </c>
      <c r="M1033" s="5" t="s">
        <v>941</v>
      </c>
      <c r="N1033" s="5"/>
      <c r="O1033" s="5"/>
      <c r="P1033" s="5"/>
    </row>
    <row r="1034" spans="1:16" ht="12.95" customHeight="1" x14ac:dyDescent="0.2">
      <c r="A1034" s="8" t="s">
        <v>173</v>
      </c>
      <c r="B1034" s="8"/>
      <c r="C1034" s="8"/>
      <c r="D1034" s="8"/>
      <c r="E1034" s="5">
        <v>73.209999999999994</v>
      </c>
      <c r="F1034" s="5">
        <v>3.5</v>
      </c>
      <c r="G1034" s="5">
        <v>69.709999999999994</v>
      </c>
      <c r="H1034" s="5">
        <v>118.8</v>
      </c>
      <c r="I1034" s="36">
        <v>49.08</v>
      </c>
      <c r="J1034" s="5">
        <v>69.650000000000006</v>
      </c>
      <c r="K1034" s="5">
        <v>0.06</v>
      </c>
      <c r="L1034" s="5">
        <v>0</v>
      </c>
      <c r="M1034" s="5">
        <v>4.2</v>
      </c>
      <c r="N1034" s="5"/>
      <c r="O1034" s="5"/>
      <c r="P1034" s="5"/>
    </row>
    <row r="1035" spans="1:16" x14ac:dyDescent="0.2">
      <c r="I1035" s="37"/>
    </row>
    <row r="1036" spans="1:16" ht="12.95" customHeight="1" x14ac:dyDescent="0.2">
      <c r="A1036" s="9" t="s">
        <v>174</v>
      </c>
      <c r="B1036" s="9"/>
      <c r="C1036" s="9"/>
      <c r="E1036" s="9" t="s">
        <v>180</v>
      </c>
      <c r="F1036" s="9"/>
      <c r="G1036" s="9"/>
      <c r="I1036" s="9" t="s">
        <v>181</v>
      </c>
      <c r="J1036" s="9"/>
      <c r="K1036" s="9"/>
    </row>
    <row r="1037" spans="1:16" ht="12.95" customHeight="1" x14ac:dyDescent="0.2">
      <c r="A1037" s="10" t="s">
        <v>175</v>
      </c>
      <c r="B1037" s="10"/>
      <c r="C1037" s="6">
        <v>11</v>
      </c>
      <c r="E1037" s="10" t="s">
        <v>14</v>
      </c>
      <c r="F1037" s="10"/>
      <c r="G1037" s="6">
        <v>69.650000000000006</v>
      </c>
      <c r="I1037" s="10" t="s">
        <v>27</v>
      </c>
      <c r="J1037" s="10"/>
      <c r="K1037" s="26">
        <v>3</v>
      </c>
    </row>
    <row r="1038" spans="1:16" ht="12.95" customHeight="1" x14ac:dyDescent="0.2">
      <c r="A1038" s="10" t="s">
        <v>1531</v>
      </c>
      <c r="B1038" s="10"/>
      <c r="C1038" s="6">
        <v>22</v>
      </c>
      <c r="E1038" s="10" t="s">
        <v>15</v>
      </c>
      <c r="F1038" s="10"/>
      <c r="G1038" s="6">
        <v>0.06</v>
      </c>
      <c r="I1038" s="10" t="s">
        <v>22</v>
      </c>
      <c r="J1038" s="10"/>
      <c r="K1038" s="26">
        <v>2</v>
      </c>
    </row>
    <row r="1039" spans="1:16" ht="12.95" customHeight="1" x14ac:dyDescent="0.2">
      <c r="A1039" s="10" t="s">
        <v>176</v>
      </c>
      <c r="B1039" s="10"/>
      <c r="C1039" s="6">
        <v>73.209999999999994</v>
      </c>
      <c r="I1039" s="10" t="s">
        <v>36</v>
      </c>
      <c r="J1039" s="10"/>
      <c r="K1039" s="26">
        <v>2</v>
      </c>
    </row>
    <row r="1040" spans="1:16" ht="12.95" customHeight="1" x14ac:dyDescent="0.2">
      <c r="A1040" s="10" t="s">
        <v>177</v>
      </c>
      <c r="B1040" s="10"/>
      <c r="C1040" s="6">
        <v>118.8</v>
      </c>
      <c r="I1040" s="39" t="s">
        <v>1591</v>
      </c>
      <c r="J1040" s="19"/>
      <c r="K1040" s="20">
        <v>1</v>
      </c>
    </row>
    <row r="1041" spans="1:17" ht="12.95" customHeight="1" x14ac:dyDescent="0.2">
      <c r="A1041" s="10" t="s">
        <v>11</v>
      </c>
      <c r="B1041" s="10"/>
      <c r="C1041" s="6">
        <v>69.709999999999994</v>
      </c>
      <c r="I1041" s="39" t="s">
        <v>1592</v>
      </c>
      <c r="J1041" s="19"/>
      <c r="K1041" s="38">
        <v>0</v>
      </c>
    </row>
    <row r="1042" spans="1:17" ht="12.95" customHeight="1" x14ac:dyDescent="0.25">
      <c r="A1042" s="10" t="s">
        <v>178</v>
      </c>
      <c r="B1042" s="10"/>
      <c r="C1042" s="30">
        <v>65.33</v>
      </c>
      <c r="I1042" s="41" t="s">
        <v>1593</v>
      </c>
      <c r="J1042" s="40"/>
      <c r="K1042" s="42">
        <f>K1040+K1041</f>
        <v>1</v>
      </c>
    </row>
    <row r="1043" spans="1:17" ht="12.95" customHeight="1" x14ac:dyDescent="0.2">
      <c r="A1043" s="28" t="s">
        <v>1571</v>
      </c>
      <c r="B1043" s="27"/>
      <c r="C1043" s="112">
        <v>-6.3</v>
      </c>
    </row>
    <row r="1044" spans="1:17" ht="12.95" customHeight="1" x14ac:dyDescent="0.2">
      <c r="A1044" s="29" t="s">
        <v>1572</v>
      </c>
      <c r="B1044" s="29"/>
      <c r="C1044" s="32">
        <f>C1042+C1043</f>
        <v>59.03</v>
      </c>
    </row>
    <row r="1045" spans="1:17" x14ac:dyDescent="0.2">
      <c r="A1045" s="10" t="s">
        <v>10</v>
      </c>
      <c r="B1045" s="10"/>
      <c r="C1045" s="6">
        <v>3.5</v>
      </c>
    </row>
    <row r="1046" spans="1:17" x14ac:dyDescent="0.2">
      <c r="A1046" t="s">
        <v>1615</v>
      </c>
      <c r="C1046" cm="1">
        <f t="array" ref="C1046">IFERROR(SUMPRODUCT((ISNUMBER(SEARCH("מילואים",N998:N1035))+ISNUMBER(SEARCH("מילואים",O998:O1035))&gt;0)*(C998:C1035&lt;&gt;"")*(J998:J1035+0))*24,0)</f>
        <v>0</v>
      </c>
    </row>
    <row r="1047" spans="1:17" ht="12.95" customHeight="1" x14ac:dyDescent="0.2">
      <c r="A1047" s="7" t="s">
        <v>943</v>
      </c>
      <c r="B1047" s="7"/>
      <c r="C1047" s="7"/>
      <c r="D1047" s="7" t="s">
        <v>1</v>
      </c>
      <c r="E1047" s="7"/>
      <c r="F1047" s="7"/>
      <c r="G1047" s="7"/>
      <c r="H1047" s="7" t="s">
        <v>944</v>
      </c>
      <c r="I1047" s="7"/>
      <c r="J1047" s="7"/>
      <c r="K1047" s="7"/>
      <c r="L1047" s="7"/>
      <c r="M1047" s="7"/>
      <c r="N1047" s="7"/>
      <c r="O1047" s="7"/>
      <c r="P1047" s="7"/>
      <c r="Q1047" s="7"/>
    </row>
    <row r="1048" spans="1:17" ht="12.95" customHeight="1" x14ac:dyDescent="0.2">
      <c r="A1048" s="7" t="s">
        <v>3</v>
      </c>
      <c r="B1048" s="7"/>
      <c r="C1048" s="7"/>
      <c r="D1048" s="7"/>
      <c r="E1048" s="7"/>
      <c r="F1048" s="7">
        <v>78</v>
      </c>
      <c r="G1048" s="7"/>
      <c r="H1048" s="7" t="s">
        <v>4</v>
      </c>
      <c r="I1048" s="7"/>
      <c r="J1048" s="7"/>
      <c r="K1048" s="7"/>
      <c r="L1048" s="7"/>
      <c r="M1048" s="7"/>
      <c r="N1048" s="7"/>
      <c r="O1048" s="7"/>
      <c r="P1048" s="7"/>
      <c r="Q1048" s="7"/>
    </row>
    <row r="1049" spans="1:17" ht="22.5" customHeight="1" x14ac:dyDescent="0.2">
      <c r="A1049" s="1" t="s">
        <v>5</v>
      </c>
      <c r="B1049" s="1" t="s">
        <v>6</v>
      </c>
      <c r="C1049" s="1" t="s">
        <v>7</v>
      </c>
      <c r="D1049" s="1" t="s">
        <v>8</v>
      </c>
      <c r="E1049" s="1" t="s">
        <v>9</v>
      </c>
      <c r="F1049" s="1" t="s">
        <v>10</v>
      </c>
      <c r="G1049" s="1" t="s">
        <v>11</v>
      </c>
      <c r="H1049" s="1" t="s">
        <v>12</v>
      </c>
      <c r="I1049" s="1" t="s">
        <v>13</v>
      </c>
      <c r="J1049" s="1" t="s">
        <v>14</v>
      </c>
      <c r="K1049" s="1" t="s">
        <v>15</v>
      </c>
      <c r="L1049" s="1" t="s">
        <v>267</v>
      </c>
      <c r="M1049" s="1" t="s">
        <v>16</v>
      </c>
      <c r="N1049" s="1" t="s">
        <v>17</v>
      </c>
      <c r="O1049" s="1" t="s">
        <v>18</v>
      </c>
      <c r="P1049" s="1" t="s">
        <v>19</v>
      </c>
      <c r="Q1049" s="1" t="s">
        <v>20</v>
      </c>
    </row>
    <row r="1050" spans="1:17" ht="12.95" customHeight="1" x14ac:dyDescent="0.2">
      <c r="A1050" s="2" t="s">
        <v>21</v>
      </c>
      <c r="B1050" s="2" t="s">
        <v>22</v>
      </c>
      <c r="C1050" s="2"/>
      <c r="D1050" s="2"/>
      <c r="E1050" s="3"/>
      <c r="F1050" s="2"/>
      <c r="G1050" s="2"/>
      <c r="H1050" s="2" t="s">
        <v>23</v>
      </c>
      <c r="I1050" s="12" t="s">
        <v>23</v>
      </c>
      <c r="J1050" s="2"/>
      <c r="K1050" s="2"/>
      <c r="L1050" s="2"/>
      <c r="M1050" s="2"/>
      <c r="N1050" s="2"/>
      <c r="O1050" s="2" t="s">
        <v>24</v>
      </c>
      <c r="P1050" s="2" t="s">
        <v>25</v>
      </c>
      <c r="Q1050" s="2"/>
    </row>
    <row r="1051" spans="1:17" ht="12.95" customHeight="1" x14ac:dyDescent="0.2">
      <c r="A1051" s="2" t="s">
        <v>26</v>
      </c>
      <c r="B1051" s="2" t="s">
        <v>27</v>
      </c>
      <c r="C1051" s="2"/>
      <c r="D1051" s="2"/>
      <c r="E1051" s="3"/>
      <c r="F1051" s="2"/>
      <c r="G1051" s="2"/>
      <c r="H1051" s="2"/>
      <c r="I1051" s="13"/>
      <c r="J1051" s="2"/>
      <c r="K1051" s="2"/>
      <c r="L1051" s="2"/>
      <c r="M1051" s="2"/>
      <c r="N1051" s="2"/>
      <c r="O1051" s="2" t="s">
        <v>28</v>
      </c>
      <c r="P1051" s="2" t="s">
        <v>29</v>
      </c>
      <c r="Q1051" s="2"/>
    </row>
    <row r="1052" spans="1:17" ht="12.95" customHeight="1" x14ac:dyDescent="0.2">
      <c r="A1052" s="4" t="s">
        <v>30</v>
      </c>
      <c r="B1052" s="4" t="s">
        <v>31</v>
      </c>
      <c r="C1052" s="4"/>
      <c r="D1052" s="4"/>
      <c r="E1052" s="3"/>
      <c r="F1052" s="4"/>
      <c r="G1052" s="4"/>
      <c r="H1052" s="4"/>
      <c r="I1052" s="35"/>
      <c r="J1052" s="4"/>
      <c r="K1052" s="4"/>
      <c r="L1052" s="4"/>
      <c r="M1052" s="4"/>
      <c r="N1052" s="4"/>
      <c r="O1052" s="4"/>
      <c r="P1052" s="4"/>
      <c r="Q1052" s="4"/>
    </row>
    <row r="1053" spans="1:17" ht="12.95" customHeight="1" x14ac:dyDescent="0.2">
      <c r="A1053" s="4" t="s">
        <v>32</v>
      </c>
      <c r="B1053" s="4" t="s">
        <v>31</v>
      </c>
      <c r="C1053" s="4"/>
      <c r="D1053" s="4"/>
      <c r="E1053" s="3"/>
      <c r="F1053" s="4"/>
      <c r="G1053" s="4"/>
      <c r="H1053" s="4"/>
      <c r="I1053" s="35"/>
      <c r="J1053" s="4"/>
      <c r="K1053" s="4"/>
      <c r="L1053" s="4"/>
      <c r="M1053" s="4"/>
      <c r="N1053" s="4"/>
      <c r="O1053" s="4"/>
      <c r="P1053" s="4"/>
      <c r="Q1053" s="4"/>
    </row>
    <row r="1054" spans="1:17" x14ac:dyDescent="0.2">
      <c r="A1054" s="4" t="s">
        <v>33</v>
      </c>
      <c r="B1054" s="4" t="s">
        <v>34</v>
      </c>
      <c r="C1054" s="4" t="s">
        <v>34</v>
      </c>
      <c r="D1054" s="4" t="s">
        <v>34</v>
      </c>
      <c r="E1054" s="4"/>
      <c r="F1054" s="4"/>
      <c r="G1054" s="4"/>
      <c r="H1054" s="4" t="s">
        <v>23</v>
      </c>
      <c r="I1054" s="35" t="s">
        <v>23</v>
      </c>
      <c r="J1054" s="4"/>
      <c r="K1054" s="4"/>
      <c r="L1054" s="4"/>
      <c r="M1054" s="4"/>
      <c r="N1054" s="4"/>
      <c r="O1054" s="4"/>
      <c r="P1054" s="4"/>
      <c r="Q1054" s="4"/>
    </row>
    <row r="1055" spans="1:17" ht="12.95" customHeight="1" x14ac:dyDescent="0.2">
      <c r="A1055" s="2" t="s">
        <v>35</v>
      </c>
      <c r="B1055" s="2" t="s">
        <v>36</v>
      </c>
      <c r="C1055" s="2" t="s">
        <v>488</v>
      </c>
      <c r="D1055" s="2" t="s">
        <v>836</v>
      </c>
      <c r="E1055" s="3" t="s">
        <v>336</v>
      </c>
      <c r="F1055" s="2"/>
      <c r="G1055" s="2" t="s">
        <v>336</v>
      </c>
      <c r="H1055" s="2"/>
      <c r="I1055" s="13"/>
      <c r="J1055" s="2" t="s">
        <v>48</v>
      </c>
      <c r="K1055" s="2" t="s">
        <v>337</v>
      </c>
      <c r="L1055" s="2"/>
      <c r="M1055" s="2"/>
      <c r="N1055" s="2"/>
      <c r="O1055" s="2"/>
      <c r="P1055" s="2" t="s">
        <v>945</v>
      </c>
      <c r="Q1055" s="2"/>
    </row>
    <row r="1056" spans="1:17" ht="12.95" customHeight="1" x14ac:dyDescent="0.2">
      <c r="A1056" s="2" t="s">
        <v>38</v>
      </c>
      <c r="B1056" s="2" t="s">
        <v>36</v>
      </c>
      <c r="C1056" s="2" t="s">
        <v>564</v>
      </c>
      <c r="D1056" s="2" t="s">
        <v>946</v>
      </c>
      <c r="E1056" s="3" t="s">
        <v>947</v>
      </c>
      <c r="F1056" s="2"/>
      <c r="G1056" s="2" t="s">
        <v>947</v>
      </c>
      <c r="H1056" s="2"/>
      <c r="I1056" s="13"/>
      <c r="J1056" s="2" t="s">
        <v>48</v>
      </c>
      <c r="K1056" s="2" t="s">
        <v>272</v>
      </c>
      <c r="L1056" s="2" t="s">
        <v>314</v>
      </c>
      <c r="M1056" s="2"/>
      <c r="N1056" s="2"/>
      <c r="O1056" s="2"/>
      <c r="P1056" s="2" t="s">
        <v>945</v>
      </c>
      <c r="Q1056" s="2"/>
    </row>
    <row r="1057" spans="1:17" ht="12.95" customHeight="1" x14ac:dyDescent="0.2">
      <c r="A1057" s="2" t="s">
        <v>39</v>
      </c>
      <c r="B1057" s="2" t="s">
        <v>22</v>
      </c>
      <c r="C1057" s="2"/>
      <c r="D1057" s="2"/>
      <c r="E1057" s="3"/>
      <c r="F1057" s="2"/>
      <c r="G1057" s="2"/>
      <c r="H1057" s="2" t="s">
        <v>23</v>
      </c>
      <c r="I1057" s="12" t="s">
        <v>23</v>
      </c>
      <c r="J1057" s="2"/>
      <c r="K1057" s="2"/>
      <c r="L1057" s="2"/>
      <c r="M1057" s="2"/>
      <c r="N1057" s="2"/>
      <c r="O1057" s="2" t="s">
        <v>24</v>
      </c>
      <c r="P1057" s="2" t="s">
        <v>25</v>
      </c>
      <c r="Q1057" s="2"/>
    </row>
    <row r="1058" spans="1:17" ht="12.95" customHeight="1" x14ac:dyDescent="0.2">
      <c r="A1058" s="2" t="s">
        <v>40</v>
      </c>
      <c r="B1058" s="2" t="s">
        <v>27</v>
      </c>
      <c r="C1058" s="2"/>
      <c r="D1058" s="2"/>
      <c r="E1058" s="3"/>
      <c r="F1058" s="2"/>
      <c r="G1058" s="2"/>
      <c r="H1058" s="2"/>
      <c r="I1058" s="13"/>
      <c r="J1058" s="2"/>
      <c r="K1058" s="2"/>
      <c r="L1058" s="2"/>
      <c r="M1058" s="2"/>
      <c r="N1058" s="2"/>
      <c r="O1058" s="2" t="s">
        <v>28</v>
      </c>
      <c r="P1058" s="2" t="s">
        <v>25</v>
      </c>
      <c r="Q1058" s="2"/>
    </row>
    <row r="1059" spans="1:17" ht="12.95" customHeight="1" x14ac:dyDescent="0.2">
      <c r="A1059" s="2" t="s">
        <v>41</v>
      </c>
      <c r="B1059" s="2" t="s">
        <v>42</v>
      </c>
      <c r="C1059" s="2" t="s">
        <v>918</v>
      </c>
      <c r="D1059" s="2" t="s">
        <v>741</v>
      </c>
      <c r="E1059" s="3" t="s">
        <v>776</v>
      </c>
      <c r="F1059" s="2" t="s">
        <v>46</v>
      </c>
      <c r="G1059" s="2" t="s">
        <v>777</v>
      </c>
      <c r="H1059" s="2" t="s">
        <v>48</v>
      </c>
      <c r="I1059" s="13"/>
      <c r="J1059" s="2" t="s">
        <v>48</v>
      </c>
      <c r="K1059" s="2" t="s">
        <v>778</v>
      </c>
      <c r="L1059" s="2"/>
      <c r="M1059" s="2" t="s">
        <v>778</v>
      </c>
      <c r="N1059" s="2"/>
      <c r="O1059" s="2"/>
      <c r="P1059" s="2" t="s">
        <v>948</v>
      </c>
      <c r="Q1059" s="2"/>
    </row>
    <row r="1060" spans="1:17" ht="12.95" customHeight="1" x14ac:dyDescent="0.2">
      <c r="A1060" s="4" t="s">
        <v>51</v>
      </c>
      <c r="B1060" s="4" t="s">
        <v>31</v>
      </c>
      <c r="C1060" s="4"/>
      <c r="D1060" s="4"/>
      <c r="E1060" s="3"/>
      <c r="F1060" s="4"/>
      <c r="G1060" s="4"/>
      <c r="H1060" s="4"/>
      <c r="I1060" s="35"/>
      <c r="J1060" s="4"/>
      <c r="K1060" s="4"/>
      <c r="L1060" s="4"/>
      <c r="M1060" s="4"/>
      <c r="N1060" s="4"/>
      <c r="O1060" s="4"/>
      <c r="P1060" s="4"/>
      <c r="Q1060" s="4"/>
    </row>
    <row r="1061" spans="1:17" ht="12.95" customHeight="1" x14ac:dyDescent="0.2">
      <c r="A1061" s="4" t="s">
        <v>52</v>
      </c>
      <c r="B1061" s="4" t="s">
        <v>31</v>
      </c>
      <c r="C1061" s="4"/>
      <c r="D1061" s="4"/>
      <c r="E1061" s="3"/>
      <c r="F1061" s="4"/>
      <c r="G1061" s="4"/>
      <c r="H1061" s="4"/>
      <c r="I1061" s="35"/>
      <c r="J1061" s="4"/>
      <c r="K1061" s="4"/>
      <c r="L1061" s="4"/>
      <c r="M1061" s="4"/>
      <c r="N1061" s="4"/>
      <c r="O1061" s="4"/>
      <c r="P1061" s="4"/>
      <c r="Q1061" s="4"/>
    </row>
    <row r="1062" spans="1:17" x14ac:dyDescent="0.2">
      <c r="A1062" s="4" t="s">
        <v>33</v>
      </c>
      <c r="B1062" s="4" t="s">
        <v>34</v>
      </c>
      <c r="C1062" s="4" t="s">
        <v>34</v>
      </c>
      <c r="D1062" s="4" t="s">
        <v>34</v>
      </c>
      <c r="E1062" s="4" t="s">
        <v>949</v>
      </c>
      <c r="F1062" s="4" t="s">
        <v>46</v>
      </c>
      <c r="G1062" s="4" t="s">
        <v>950</v>
      </c>
      <c r="H1062" s="4" t="s">
        <v>53</v>
      </c>
      <c r="I1062" s="35" t="s">
        <v>23</v>
      </c>
      <c r="J1062" s="4" t="s">
        <v>352</v>
      </c>
      <c r="K1062" s="4" t="s">
        <v>951</v>
      </c>
      <c r="L1062" s="4" t="s">
        <v>314</v>
      </c>
      <c r="M1062" s="4" t="s">
        <v>778</v>
      </c>
      <c r="N1062" s="4"/>
      <c r="O1062" s="4"/>
      <c r="P1062" s="4"/>
      <c r="Q1062" s="4"/>
    </row>
    <row r="1063" spans="1:17" ht="12.95" customHeight="1" x14ac:dyDescent="0.2">
      <c r="A1063" s="2" t="s">
        <v>54</v>
      </c>
      <c r="B1063" s="2" t="s">
        <v>42</v>
      </c>
      <c r="C1063" s="2" t="s">
        <v>952</v>
      </c>
      <c r="D1063" s="2" t="s">
        <v>953</v>
      </c>
      <c r="E1063" s="3" t="s">
        <v>891</v>
      </c>
      <c r="F1063" s="2" t="s">
        <v>46</v>
      </c>
      <c r="G1063" s="2" t="s">
        <v>558</v>
      </c>
      <c r="H1063" s="2" t="s">
        <v>48</v>
      </c>
      <c r="I1063" s="13"/>
      <c r="J1063" s="2" t="s">
        <v>48</v>
      </c>
      <c r="K1063" s="2" t="s">
        <v>272</v>
      </c>
      <c r="L1063" s="2" t="s">
        <v>142</v>
      </c>
      <c r="M1063" s="2" t="s">
        <v>392</v>
      </c>
      <c r="N1063" s="2"/>
      <c r="O1063" s="2"/>
      <c r="P1063" s="2" t="s">
        <v>954</v>
      </c>
      <c r="Q1063" s="2"/>
    </row>
    <row r="1064" spans="1:17" ht="12.95" customHeight="1" x14ac:dyDescent="0.2">
      <c r="A1064" s="2" t="s">
        <v>61</v>
      </c>
      <c r="B1064" s="2" t="s">
        <v>42</v>
      </c>
      <c r="C1064" s="2" t="s">
        <v>277</v>
      </c>
      <c r="D1064" s="2" t="s">
        <v>946</v>
      </c>
      <c r="E1064" s="3" t="s">
        <v>151</v>
      </c>
      <c r="F1064" s="2" t="s">
        <v>46</v>
      </c>
      <c r="G1064" s="2" t="s">
        <v>152</v>
      </c>
      <c r="H1064" s="2" t="s">
        <v>48</v>
      </c>
      <c r="I1064" s="13"/>
      <c r="J1064" s="2" t="s">
        <v>48</v>
      </c>
      <c r="K1064" s="2" t="s">
        <v>153</v>
      </c>
      <c r="L1064" s="2"/>
      <c r="M1064" s="2" t="s">
        <v>153</v>
      </c>
      <c r="N1064" s="2" t="s">
        <v>172</v>
      </c>
      <c r="O1064" s="2"/>
      <c r="P1064" s="2" t="s">
        <v>954</v>
      </c>
      <c r="Q1064" s="2"/>
    </row>
    <row r="1065" spans="1:17" ht="12.95" customHeight="1" x14ac:dyDescent="0.2">
      <c r="A1065" s="2" t="s">
        <v>68</v>
      </c>
      <c r="B1065" s="2" t="s">
        <v>42</v>
      </c>
      <c r="C1065" s="2" t="s">
        <v>955</v>
      </c>
      <c r="D1065" s="2" t="s">
        <v>144</v>
      </c>
      <c r="E1065" s="3" t="s">
        <v>558</v>
      </c>
      <c r="F1065" s="2" t="s">
        <v>46</v>
      </c>
      <c r="G1065" s="2" t="s">
        <v>684</v>
      </c>
      <c r="H1065" s="2" t="s">
        <v>48</v>
      </c>
      <c r="I1065" s="13"/>
      <c r="J1065" s="2" t="s">
        <v>48</v>
      </c>
      <c r="K1065" s="2" t="s">
        <v>956</v>
      </c>
      <c r="L1065" s="2"/>
      <c r="M1065" s="2" t="s">
        <v>956</v>
      </c>
      <c r="N1065" s="2"/>
      <c r="O1065" s="2"/>
      <c r="P1065" s="2" t="s">
        <v>954</v>
      </c>
      <c r="Q1065" s="2"/>
    </row>
    <row r="1066" spans="1:17" ht="12.95" customHeight="1" x14ac:dyDescent="0.2">
      <c r="A1066" s="2" t="s">
        <v>75</v>
      </c>
      <c r="B1066" s="2" t="s">
        <v>42</v>
      </c>
      <c r="C1066" s="2" t="s">
        <v>606</v>
      </c>
      <c r="D1066" s="2" t="s">
        <v>957</v>
      </c>
      <c r="E1066" s="3" t="s">
        <v>84</v>
      </c>
      <c r="F1066" s="2" t="s">
        <v>46</v>
      </c>
      <c r="G1066" s="2" t="s">
        <v>64</v>
      </c>
      <c r="H1066" s="2" t="s">
        <v>48</v>
      </c>
      <c r="I1066" s="13"/>
      <c r="J1066" s="2" t="s">
        <v>48</v>
      </c>
      <c r="K1066" s="2" t="s">
        <v>85</v>
      </c>
      <c r="L1066" s="2"/>
      <c r="M1066" s="2" t="s">
        <v>85</v>
      </c>
      <c r="N1066" s="2"/>
      <c r="O1066" s="2"/>
      <c r="P1066" s="2" t="s">
        <v>958</v>
      </c>
      <c r="Q1066" s="2"/>
    </row>
    <row r="1067" spans="1:17" ht="12.95" customHeight="1" x14ac:dyDescent="0.2">
      <c r="A1067" s="2" t="s">
        <v>81</v>
      </c>
      <c r="B1067" s="2" t="s">
        <v>42</v>
      </c>
      <c r="C1067" s="2" t="s">
        <v>141</v>
      </c>
      <c r="D1067" s="2" t="s">
        <v>959</v>
      </c>
      <c r="E1067" s="3" t="s">
        <v>685</v>
      </c>
      <c r="F1067" s="2" t="s">
        <v>46</v>
      </c>
      <c r="G1067" s="2" t="s">
        <v>140</v>
      </c>
      <c r="H1067" s="2" t="s">
        <v>48</v>
      </c>
      <c r="I1067" s="13"/>
      <c r="J1067" s="2" t="s">
        <v>48</v>
      </c>
      <c r="K1067" s="2" t="s">
        <v>436</v>
      </c>
      <c r="L1067" s="2"/>
      <c r="M1067" s="2" t="s">
        <v>436</v>
      </c>
      <c r="N1067" s="2" t="s">
        <v>676</v>
      </c>
      <c r="O1067" s="2"/>
      <c r="P1067" s="2" t="s">
        <v>954</v>
      </c>
      <c r="Q1067" s="2"/>
    </row>
    <row r="1068" spans="1:17" ht="12.95" customHeight="1" x14ac:dyDescent="0.2">
      <c r="A1068" s="4" t="s">
        <v>87</v>
      </c>
      <c r="B1068" s="4" t="s">
        <v>31</v>
      </c>
      <c r="C1068" s="4"/>
      <c r="D1068" s="4"/>
      <c r="E1068" s="3"/>
      <c r="F1068" s="4"/>
      <c r="G1068" s="4"/>
      <c r="H1068" s="4"/>
      <c r="I1068" s="35"/>
      <c r="J1068" s="4"/>
      <c r="K1068" s="4"/>
      <c r="L1068" s="4"/>
      <c r="M1068" s="4"/>
      <c r="N1068" s="4"/>
      <c r="O1068" s="4"/>
      <c r="P1068" s="4"/>
      <c r="Q1068" s="4"/>
    </row>
    <row r="1069" spans="1:17" ht="12.95" customHeight="1" x14ac:dyDescent="0.2">
      <c r="A1069" s="4" t="s">
        <v>88</v>
      </c>
      <c r="B1069" s="4" t="s">
        <v>31</v>
      </c>
      <c r="C1069" s="4"/>
      <c r="D1069" s="4"/>
      <c r="E1069" s="3"/>
      <c r="F1069" s="4"/>
      <c r="G1069" s="4"/>
      <c r="H1069" s="4"/>
      <c r="I1069" s="35"/>
      <c r="J1069" s="4"/>
      <c r="K1069" s="4"/>
      <c r="L1069" s="4"/>
      <c r="M1069" s="4"/>
      <c r="N1069" s="4"/>
      <c r="O1069" s="4"/>
      <c r="P1069" s="4"/>
      <c r="Q1069" s="4"/>
    </row>
    <row r="1070" spans="1:17" x14ac:dyDescent="0.2">
      <c r="A1070" s="4" t="s">
        <v>33</v>
      </c>
      <c r="B1070" s="4" t="s">
        <v>34</v>
      </c>
      <c r="C1070" s="4" t="s">
        <v>34</v>
      </c>
      <c r="D1070" s="4" t="s">
        <v>34</v>
      </c>
      <c r="E1070" s="4" t="s">
        <v>960</v>
      </c>
      <c r="F1070" s="4" t="s">
        <v>90</v>
      </c>
      <c r="G1070" s="4" t="s">
        <v>961</v>
      </c>
      <c r="H1070" s="4" t="s">
        <v>92</v>
      </c>
      <c r="I1070" s="35"/>
      <c r="J1070" s="4" t="s">
        <v>92</v>
      </c>
      <c r="K1070" s="4" t="s">
        <v>467</v>
      </c>
      <c r="L1070" s="4" t="s">
        <v>142</v>
      </c>
      <c r="M1070" s="4" t="s">
        <v>962</v>
      </c>
      <c r="N1070" s="4" t="s">
        <v>963</v>
      </c>
      <c r="O1070" s="4"/>
      <c r="P1070" s="4"/>
      <c r="Q1070" s="4"/>
    </row>
    <row r="1071" spans="1:17" ht="12.95" customHeight="1" x14ac:dyDescent="0.2">
      <c r="A1071" s="2" t="s">
        <v>97</v>
      </c>
      <c r="B1071" s="2" t="s">
        <v>42</v>
      </c>
      <c r="C1071" s="2" t="s">
        <v>480</v>
      </c>
      <c r="D1071" s="2" t="s">
        <v>826</v>
      </c>
      <c r="E1071" s="3" t="s">
        <v>365</v>
      </c>
      <c r="F1071" s="2" t="s">
        <v>46</v>
      </c>
      <c r="G1071" s="2" t="s">
        <v>876</v>
      </c>
      <c r="H1071" s="2" t="s">
        <v>48</v>
      </c>
      <c r="I1071" s="13"/>
      <c r="J1071" s="2" t="s">
        <v>48</v>
      </c>
      <c r="K1071" s="2" t="s">
        <v>705</v>
      </c>
      <c r="L1071" s="2"/>
      <c r="M1071" s="2" t="s">
        <v>705</v>
      </c>
      <c r="N1071" s="2"/>
      <c r="O1071" s="2"/>
      <c r="P1071" s="2" t="s">
        <v>964</v>
      </c>
      <c r="Q1071" s="2"/>
    </row>
    <row r="1072" spans="1:17" ht="12.95" customHeight="1" x14ac:dyDescent="0.2">
      <c r="A1072" s="2" t="s">
        <v>104</v>
      </c>
      <c r="B1072" s="2" t="s">
        <v>42</v>
      </c>
      <c r="C1072" s="2" t="s">
        <v>426</v>
      </c>
      <c r="D1072" s="2" t="s">
        <v>965</v>
      </c>
      <c r="E1072" s="3" t="s">
        <v>966</v>
      </c>
      <c r="F1072" s="2" t="s">
        <v>46</v>
      </c>
      <c r="G1072" s="2" t="s">
        <v>616</v>
      </c>
      <c r="H1072" s="2" t="s">
        <v>108</v>
      </c>
      <c r="I1072" s="13"/>
      <c r="J1072" s="2" t="s">
        <v>48</v>
      </c>
      <c r="K1072" s="2" t="s">
        <v>272</v>
      </c>
      <c r="L1072" s="2" t="s">
        <v>662</v>
      </c>
      <c r="M1072" s="2" t="s">
        <v>327</v>
      </c>
      <c r="N1072" s="2" t="s">
        <v>428</v>
      </c>
      <c r="O1072" s="2"/>
      <c r="P1072" s="2" t="s">
        <v>967</v>
      </c>
      <c r="Q1072" s="2"/>
    </row>
    <row r="1073" spans="1:17" ht="12.95" customHeight="1" x14ac:dyDescent="0.2">
      <c r="A1073" s="2" t="s">
        <v>112</v>
      </c>
      <c r="B1073" s="2" t="s">
        <v>22</v>
      </c>
      <c r="C1073" s="2" t="s">
        <v>227</v>
      </c>
      <c r="D1073" s="2" t="s">
        <v>44</v>
      </c>
      <c r="E1073" s="3" t="s">
        <v>286</v>
      </c>
      <c r="F1073" s="2" t="s">
        <v>46</v>
      </c>
      <c r="G1073" s="2" t="s">
        <v>666</v>
      </c>
      <c r="H1073" s="2" t="s">
        <v>113</v>
      </c>
      <c r="I1073" s="13"/>
      <c r="J1073" s="2" t="s">
        <v>113</v>
      </c>
      <c r="K1073" s="2" t="s">
        <v>67</v>
      </c>
      <c r="L1073" s="2"/>
      <c r="M1073" s="2" t="s">
        <v>67</v>
      </c>
      <c r="N1073" s="2"/>
      <c r="O1073" s="2" t="s">
        <v>24</v>
      </c>
      <c r="P1073" s="2" t="s">
        <v>954</v>
      </c>
      <c r="Q1073" s="2"/>
    </row>
    <row r="1074" spans="1:17" ht="12.95" customHeight="1" x14ac:dyDescent="0.2">
      <c r="A1074" s="2" t="s">
        <v>114</v>
      </c>
      <c r="B1074" s="2" t="s">
        <v>27</v>
      </c>
      <c r="C1074" s="2"/>
      <c r="D1074" s="2"/>
      <c r="E1074" s="3"/>
      <c r="F1074" s="2"/>
      <c r="G1074" s="2"/>
      <c r="H1074" s="2"/>
      <c r="I1074" s="13"/>
      <c r="J1074" s="2"/>
      <c r="K1074" s="2"/>
      <c r="L1074" s="2"/>
      <c r="M1074" s="2"/>
      <c r="N1074" s="2"/>
      <c r="O1074" s="2" t="s">
        <v>28</v>
      </c>
      <c r="P1074" s="2" t="s">
        <v>111</v>
      </c>
      <c r="Q1074" s="2"/>
    </row>
    <row r="1075" spans="1:17" ht="12.95" customHeight="1" x14ac:dyDescent="0.2">
      <c r="A1075" s="2" t="s">
        <v>115</v>
      </c>
      <c r="B1075" s="2" t="s">
        <v>42</v>
      </c>
      <c r="C1075" s="2"/>
      <c r="D1075" s="2"/>
      <c r="E1075" s="3"/>
      <c r="F1075" s="2"/>
      <c r="G1075" s="2"/>
      <c r="H1075" s="2"/>
      <c r="I1075" s="13"/>
      <c r="J1075" s="2"/>
      <c r="K1075" s="2"/>
      <c r="L1075" s="2"/>
      <c r="M1075" s="2"/>
      <c r="N1075" s="2"/>
      <c r="O1075" s="2" t="s">
        <v>194</v>
      </c>
      <c r="P1075" s="2"/>
      <c r="Q1075" s="2"/>
    </row>
    <row r="1076" spans="1:17" ht="12.95" customHeight="1" x14ac:dyDescent="0.2">
      <c r="A1076" s="4" t="s">
        <v>122</v>
      </c>
      <c r="B1076" s="4" t="s">
        <v>31</v>
      </c>
      <c r="C1076" s="4"/>
      <c r="D1076" s="4"/>
      <c r="E1076" s="3"/>
      <c r="F1076" s="4"/>
      <c r="G1076" s="4"/>
      <c r="H1076" s="4"/>
      <c r="I1076" s="35"/>
      <c r="J1076" s="4"/>
      <c r="K1076" s="4"/>
      <c r="L1076" s="4"/>
      <c r="M1076" s="4"/>
      <c r="N1076" s="4"/>
      <c r="O1076" s="4"/>
      <c r="P1076" s="4"/>
      <c r="Q1076" s="4"/>
    </row>
    <row r="1077" spans="1:17" ht="12.95" customHeight="1" x14ac:dyDescent="0.2">
      <c r="A1077" s="4" t="s">
        <v>123</v>
      </c>
      <c r="B1077" s="4" t="s">
        <v>31</v>
      </c>
      <c r="C1077" s="4"/>
      <c r="D1077" s="4"/>
      <c r="E1077" s="3"/>
      <c r="F1077" s="4"/>
      <c r="G1077" s="4"/>
      <c r="H1077" s="4"/>
      <c r="I1077" s="35"/>
      <c r="J1077" s="4"/>
      <c r="K1077" s="4"/>
      <c r="L1077" s="4"/>
      <c r="M1077" s="4"/>
      <c r="N1077" s="4"/>
      <c r="O1077" s="4"/>
      <c r="P1077" s="4"/>
      <c r="Q1077" s="4"/>
    </row>
    <row r="1078" spans="1:17" x14ac:dyDescent="0.2">
      <c r="A1078" s="4" t="s">
        <v>33</v>
      </c>
      <c r="B1078" s="4" t="s">
        <v>34</v>
      </c>
      <c r="C1078" s="4" t="s">
        <v>34</v>
      </c>
      <c r="D1078" s="4" t="s">
        <v>34</v>
      </c>
      <c r="E1078" s="4" t="s">
        <v>968</v>
      </c>
      <c r="F1078" s="4" t="s">
        <v>125</v>
      </c>
      <c r="G1078" s="4" t="s">
        <v>969</v>
      </c>
      <c r="H1078" s="4" t="s">
        <v>170</v>
      </c>
      <c r="I1078" s="35"/>
      <c r="J1078" s="4" t="s">
        <v>970</v>
      </c>
      <c r="K1078" s="4" t="s">
        <v>971</v>
      </c>
      <c r="L1078" s="4" t="s">
        <v>662</v>
      </c>
      <c r="M1078" s="4" t="s">
        <v>776</v>
      </c>
      <c r="N1078" s="4" t="s">
        <v>428</v>
      </c>
      <c r="O1078" s="4"/>
      <c r="P1078" s="4"/>
      <c r="Q1078" s="4"/>
    </row>
    <row r="1079" spans="1:17" ht="12.95" customHeight="1" x14ac:dyDescent="0.2">
      <c r="A1079" s="2" t="s">
        <v>131</v>
      </c>
      <c r="B1079" s="2" t="s">
        <v>42</v>
      </c>
      <c r="C1079" s="2" t="s">
        <v>623</v>
      </c>
      <c r="D1079" s="2" t="s">
        <v>568</v>
      </c>
      <c r="E1079" s="3" t="s">
        <v>71</v>
      </c>
      <c r="F1079" s="2" t="s">
        <v>46</v>
      </c>
      <c r="G1079" s="2" t="s">
        <v>72</v>
      </c>
      <c r="H1079" s="2" t="s">
        <v>48</v>
      </c>
      <c r="I1079" s="13"/>
      <c r="J1079" s="2" t="s">
        <v>48</v>
      </c>
      <c r="K1079" s="2" t="s">
        <v>73</v>
      </c>
      <c r="L1079" s="2"/>
      <c r="M1079" s="2" t="s">
        <v>73</v>
      </c>
      <c r="N1079" s="2"/>
      <c r="O1079" s="2"/>
      <c r="P1079" s="2" t="s">
        <v>964</v>
      </c>
      <c r="Q1079" s="2"/>
    </row>
    <row r="1080" spans="1:17" ht="12.95" customHeight="1" x14ac:dyDescent="0.2">
      <c r="A1080" s="2" t="s">
        <v>138</v>
      </c>
      <c r="B1080" s="2" t="s">
        <v>42</v>
      </c>
      <c r="C1080" s="2" t="s">
        <v>972</v>
      </c>
      <c r="D1080" s="2" t="s">
        <v>204</v>
      </c>
      <c r="E1080" s="3" t="s">
        <v>712</v>
      </c>
      <c r="F1080" s="2" t="s">
        <v>46</v>
      </c>
      <c r="G1080" s="2" t="s">
        <v>306</v>
      </c>
      <c r="H1080" s="2" t="s">
        <v>48</v>
      </c>
      <c r="I1080" s="13"/>
      <c r="J1080" s="2" t="s">
        <v>48</v>
      </c>
      <c r="K1080" s="2" t="s">
        <v>147</v>
      </c>
      <c r="L1080" s="2"/>
      <c r="M1080" s="2" t="s">
        <v>147</v>
      </c>
      <c r="N1080" s="2"/>
      <c r="O1080" s="2"/>
      <c r="P1080" s="2" t="s">
        <v>954</v>
      </c>
      <c r="Q1080" s="2"/>
    </row>
    <row r="1081" spans="1:17" ht="12.95" customHeight="1" x14ac:dyDescent="0.2">
      <c r="A1081" s="2" t="s">
        <v>143</v>
      </c>
      <c r="B1081" s="2" t="s">
        <v>42</v>
      </c>
      <c r="C1081" s="2" t="s">
        <v>72</v>
      </c>
      <c r="D1081" s="2" t="s">
        <v>864</v>
      </c>
      <c r="E1081" s="3" t="s">
        <v>973</v>
      </c>
      <c r="F1081" s="2"/>
      <c r="G1081" s="2" t="s">
        <v>973</v>
      </c>
      <c r="H1081" s="2" t="s">
        <v>48</v>
      </c>
      <c r="I1081" s="13"/>
      <c r="J1081" s="2" t="s">
        <v>973</v>
      </c>
      <c r="K1081" s="2"/>
      <c r="L1081" s="2"/>
      <c r="M1081" s="2"/>
      <c r="N1081" s="2" t="s">
        <v>799</v>
      </c>
      <c r="O1081" s="2"/>
      <c r="P1081" s="2" t="s">
        <v>954</v>
      </c>
      <c r="Q1081" s="2"/>
    </row>
    <row r="1082" spans="1:17" ht="12.95" customHeight="1" x14ac:dyDescent="0.2">
      <c r="A1082" s="2" t="s">
        <v>143</v>
      </c>
      <c r="B1082" s="2" t="s">
        <v>42</v>
      </c>
      <c r="C1082" s="2" t="s">
        <v>974</v>
      </c>
      <c r="D1082" s="2" t="s">
        <v>975</v>
      </c>
      <c r="E1082" s="3" t="s">
        <v>623</v>
      </c>
      <c r="F1082" s="2" t="s">
        <v>46</v>
      </c>
      <c r="G1082" s="2" t="s">
        <v>541</v>
      </c>
      <c r="H1082" s="2"/>
      <c r="I1082" s="13"/>
      <c r="J1082" s="2" t="s">
        <v>754</v>
      </c>
      <c r="K1082" s="2" t="s">
        <v>328</v>
      </c>
      <c r="L1082" s="2"/>
      <c r="M1082" s="2" t="s">
        <v>328</v>
      </c>
      <c r="N1082" s="2"/>
      <c r="O1082" s="2"/>
      <c r="P1082" s="2" t="s">
        <v>954</v>
      </c>
      <c r="Q1082" s="2"/>
    </row>
    <row r="1083" spans="1:17" ht="12.95" customHeight="1" x14ac:dyDescent="0.2">
      <c r="A1083" s="2" t="s">
        <v>148</v>
      </c>
      <c r="B1083" s="2" t="s">
        <v>42</v>
      </c>
      <c r="C1083" s="2" t="s">
        <v>288</v>
      </c>
      <c r="D1083" s="2" t="s">
        <v>976</v>
      </c>
      <c r="E1083" s="3" t="s">
        <v>463</v>
      </c>
      <c r="F1083" s="2" t="s">
        <v>46</v>
      </c>
      <c r="G1083" s="2" t="s">
        <v>403</v>
      </c>
      <c r="H1083" s="2" t="s">
        <v>48</v>
      </c>
      <c r="I1083" s="13"/>
      <c r="J1083" s="2" t="s">
        <v>48</v>
      </c>
      <c r="K1083" s="2" t="s">
        <v>679</v>
      </c>
      <c r="L1083" s="2"/>
      <c r="M1083" s="2" t="s">
        <v>679</v>
      </c>
      <c r="N1083" s="2"/>
      <c r="O1083" s="2"/>
      <c r="P1083" s="2" t="s">
        <v>954</v>
      </c>
      <c r="Q1083" s="2"/>
    </row>
    <row r="1084" spans="1:17" ht="12.95" customHeight="1" x14ac:dyDescent="0.2">
      <c r="A1084" s="2" t="s">
        <v>155</v>
      </c>
      <c r="B1084" s="2" t="s">
        <v>42</v>
      </c>
      <c r="C1084" s="2" t="s">
        <v>45</v>
      </c>
      <c r="D1084" s="2" t="s">
        <v>977</v>
      </c>
      <c r="E1084" s="3" t="s">
        <v>483</v>
      </c>
      <c r="F1084" s="2" t="s">
        <v>46</v>
      </c>
      <c r="G1084" s="2" t="s">
        <v>694</v>
      </c>
      <c r="H1084" s="2" t="s">
        <v>48</v>
      </c>
      <c r="I1084" s="13"/>
      <c r="J1084" s="2" t="s">
        <v>48</v>
      </c>
      <c r="K1084" s="2" t="s">
        <v>625</v>
      </c>
      <c r="L1084" s="2"/>
      <c r="M1084" s="2" t="s">
        <v>625</v>
      </c>
      <c r="N1084" s="2" t="s">
        <v>451</v>
      </c>
      <c r="O1084" s="2"/>
      <c r="P1084" s="2" t="s">
        <v>954</v>
      </c>
      <c r="Q1084" s="2"/>
    </row>
    <row r="1085" spans="1:17" ht="12.95" customHeight="1" x14ac:dyDescent="0.2">
      <c r="A1085" s="8" t="s">
        <v>161</v>
      </c>
      <c r="B1085" s="8"/>
      <c r="C1085" s="8"/>
      <c r="D1085" s="8"/>
      <c r="E1085" s="5" t="s">
        <v>978</v>
      </c>
      <c r="F1085" s="5" t="s">
        <v>163</v>
      </c>
      <c r="G1085" s="5" t="s">
        <v>979</v>
      </c>
      <c r="H1085" s="5" t="s">
        <v>980</v>
      </c>
      <c r="I1085" s="36" t="s">
        <v>319</v>
      </c>
      <c r="J1085" s="5" t="s">
        <v>981</v>
      </c>
      <c r="K1085" s="5" t="s">
        <v>56</v>
      </c>
      <c r="L1085" s="5" t="s">
        <v>522</v>
      </c>
      <c r="M1085" s="5" t="s">
        <v>982</v>
      </c>
      <c r="N1085" s="5" t="s">
        <v>983</v>
      </c>
      <c r="O1085" s="5"/>
      <c r="P1085" s="5"/>
      <c r="Q1085" s="5"/>
    </row>
    <row r="1086" spans="1:17" ht="12.95" customHeight="1" x14ac:dyDescent="0.2">
      <c r="A1086" s="8" t="s">
        <v>171</v>
      </c>
      <c r="B1086" s="8"/>
      <c r="C1086" s="8"/>
      <c r="D1086" s="8"/>
      <c r="E1086" s="5" t="s">
        <v>978</v>
      </c>
      <c r="F1086" s="5" t="s">
        <v>163</v>
      </c>
      <c r="G1086" s="5" t="s">
        <v>979</v>
      </c>
      <c r="H1086" s="5" t="s">
        <v>980</v>
      </c>
      <c r="I1086" s="36" t="s">
        <v>296</v>
      </c>
      <c r="J1086" s="5" t="s">
        <v>981</v>
      </c>
      <c r="K1086" s="5" t="s">
        <v>56</v>
      </c>
      <c r="L1086" s="5" t="s">
        <v>522</v>
      </c>
      <c r="M1086" s="5" t="s">
        <v>982</v>
      </c>
      <c r="N1086" s="5" t="s">
        <v>983</v>
      </c>
      <c r="O1086" s="5"/>
      <c r="P1086" s="5"/>
      <c r="Q1086" s="5"/>
    </row>
    <row r="1087" spans="1:17" ht="12.95" customHeight="1" x14ac:dyDescent="0.2">
      <c r="A1087" s="8" t="s">
        <v>173</v>
      </c>
      <c r="B1087" s="8"/>
      <c r="C1087" s="8"/>
      <c r="D1087" s="8"/>
      <c r="E1087" s="5">
        <v>158.86000000000001</v>
      </c>
      <c r="F1087" s="5">
        <v>7</v>
      </c>
      <c r="G1087" s="5">
        <v>151.86000000000001</v>
      </c>
      <c r="H1087" s="5">
        <v>110.4</v>
      </c>
      <c r="I1087" s="36">
        <v>0</v>
      </c>
      <c r="J1087" s="5">
        <v>133.4</v>
      </c>
      <c r="K1087" s="5">
        <v>17.149999999999999</v>
      </c>
      <c r="L1087" s="5">
        <v>1.31</v>
      </c>
      <c r="M1087" s="5">
        <v>22.48</v>
      </c>
      <c r="N1087" s="5">
        <v>7.8</v>
      </c>
      <c r="O1087" s="5"/>
      <c r="P1087" s="5"/>
      <c r="Q1087" s="5"/>
    </row>
    <row r="1088" spans="1:17" x14ac:dyDescent="0.2">
      <c r="I1088" s="37"/>
    </row>
    <row r="1089" spans="1:17" ht="12.95" customHeight="1" x14ac:dyDescent="0.2">
      <c r="A1089" s="9" t="s">
        <v>174</v>
      </c>
      <c r="B1089" s="9"/>
      <c r="C1089" s="9"/>
      <c r="E1089" s="9" t="s">
        <v>180</v>
      </c>
      <c r="F1089" s="9"/>
      <c r="G1089" s="9"/>
      <c r="I1089" s="9" t="s">
        <v>181</v>
      </c>
      <c r="J1089" s="9"/>
      <c r="K1089" s="9"/>
    </row>
    <row r="1090" spans="1:17" ht="12.95" customHeight="1" x14ac:dyDescent="0.2">
      <c r="A1090" s="10" t="s">
        <v>175</v>
      </c>
      <c r="B1090" s="10"/>
      <c r="C1090" s="6">
        <v>16</v>
      </c>
      <c r="E1090" s="10" t="s">
        <v>14</v>
      </c>
      <c r="F1090" s="10"/>
      <c r="G1090" s="6">
        <v>133.4</v>
      </c>
      <c r="I1090" s="10" t="s">
        <v>264</v>
      </c>
      <c r="J1090" s="10"/>
      <c r="K1090" s="43">
        <v>1</v>
      </c>
    </row>
    <row r="1091" spans="1:17" ht="12.95" customHeight="1" x14ac:dyDescent="0.2">
      <c r="A1091" s="10" t="s">
        <v>1531</v>
      </c>
      <c r="B1091" s="10"/>
      <c r="C1091" s="6">
        <v>22</v>
      </c>
      <c r="E1091" s="10" t="s">
        <v>15</v>
      </c>
      <c r="F1091" s="10"/>
      <c r="G1091" s="6">
        <v>17.149999999999999</v>
      </c>
      <c r="I1091" s="10" t="s">
        <v>27</v>
      </c>
      <c r="J1091" s="10"/>
      <c r="K1091" s="26">
        <v>3</v>
      </c>
    </row>
    <row r="1092" spans="1:17" ht="12.95" customHeight="1" x14ac:dyDescent="0.2">
      <c r="A1092" s="10" t="s">
        <v>176</v>
      </c>
      <c r="B1092" s="10"/>
      <c r="C1092" s="6">
        <v>158.86000000000001</v>
      </c>
      <c r="E1092" s="10" t="s">
        <v>267</v>
      </c>
      <c r="F1092" s="10"/>
      <c r="G1092" s="6">
        <v>1.31</v>
      </c>
      <c r="I1092" s="10" t="s">
        <v>22</v>
      </c>
      <c r="J1092" s="10"/>
      <c r="K1092" s="26">
        <v>2</v>
      </c>
    </row>
    <row r="1093" spans="1:17" ht="12.95" customHeight="1" x14ac:dyDescent="0.2">
      <c r="A1093" s="10" t="s">
        <v>177</v>
      </c>
      <c r="B1093" s="10"/>
      <c r="C1093" s="6">
        <v>110.4</v>
      </c>
      <c r="I1093" s="10" t="s">
        <v>36</v>
      </c>
      <c r="J1093" s="10"/>
      <c r="K1093" s="26">
        <v>2</v>
      </c>
    </row>
    <row r="1094" spans="1:17" ht="12.95" customHeight="1" x14ac:dyDescent="0.2">
      <c r="A1094" s="10" t="s">
        <v>11</v>
      </c>
      <c r="B1094" s="10"/>
      <c r="C1094" s="6">
        <v>151.86000000000001</v>
      </c>
      <c r="I1094" s="39" t="s">
        <v>1591</v>
      </c>
      <c r="J1094" s="19"/>
      <c r="K1094" s="20">
        <v>1</v>
      </c>
    </row>
    <row r="1095" spans="1:17" ht="12.95" customHeight="1" x14ac:dyDescent="0.2">
      <c r="A1095" s="10" t="s">
        <v>178</v>
      </c>
      <c r="B1095" s="10"/>
      <c r="C1095" s="30">
        <v>0.8</v>
      </c>
      <c r="I1095" s="39" t="s">
        <v>1592</v>
      </c>
      <c r="J1095" s="19"/>
      <c r="K1095" s="38">
        <v>0</v>
      </c>
    </row>
    <row r="1096" spans="1:17" ht="12.95" customHeight="1" x14ac:dyDescent="0.25">
      <c r="A1096" s="28" t="s">
        <v>1571</v>
      </c>
      <c r="B1096" s="27"/>
      <c r="C1096" s="31">
        <v>-0.8</v>
      </c>
      <c r="I1096" s="41" t="s">
        <v>1593</v>
      </c>
      <c r="J1096" s="40"/>
      <c r="K1096" s="42">
        <f>K1090+K1094+K1095</f>
        <v>2</v>
      </c>
    </row>
    <row r="1097" spans="1:17" ht="12.95" customHeight="1" x14ac:dyDescent="0.2">
      <c r="A1097" s="29" t="s">
        <v>1572</v>
      </c>
      <c r="B1097" s="29"/>
      <c r="C1097" s="32">
        <f>C1095+C1096</f>
        <v>0</v>
      </c>
    </row>
    <row r="1098" spans="1:17" x14ac:dyDescent="0.2">
      <c r="A1098" s="10" t="s">
        <v>10</v>
      </c>
      <c r="B1098" s="10"/>
      <c r="C1098" s="6">
        <v>7</v>
      </c>
    </row>
    <row r="1099" spans="1:17" x14ac:dyDescent="0.2">
      <c r="A1099" t="s">
        <v>1615</v>
      </c>
      <c r="C1099" cm="1">
        <f t="array" ref="C1099">IFERROR(SUMPRODUCT(ISNUMBER(SEARCH("מילואים",O1050:O1088))*(C1050:C1088&lt;&gt;"")*(J1050:J1088+0))*24,0)</f>
        <v>0</v>
      </c>
    </row>
    <row r="1100" spans="1:17" ht="12.95" customHeight="1" x14ac:dyDescent="0.2">
      <c r="A1100" s="7" t="s">
        <v>984</v>
      </c>
      <c r="B1100" s="7"/>
      <c r="C1100" s="7"/>
      <c r="D1100" s="7" t="s">
        <v>1</v>
      </c>
      <c r="E1100" s="7"/>
      <c r="F1100" s="7"/>
      <c r="G1100" s="7"/>
      <c r="H1100" s="7" t="s">
        <v>944</v>
      </c>
      <c r="I1100" s="7"/>
      <c r="J1100" s="7"/>
      <c r="K1100" s="7"/>
      <c r="L1100" s="7"/>
      <c r="M1100" s="7"/>
      <c r="N1100" s="7"/>
      <c r="O1100" s="7"/>
      <c r="P1100" s="7"/>
      <c r="Q1100" s="7"/>
    </row>
    <row r="1101" spans="1:17" ht="12.95" customHeight="1" x14ac:dyDescent="0.2">
      <c r="A1101" s="7" t="s">
        <v>3</v>
      </c>
      <c r="B1101" s="7"/>
      <c r="C1101" s="7"/>
      <c r="D1101" s="7"/>
      <c r="E1101" s="7"/>
      <c r="F1101" s="7">
        <v>54</v>
      </c>
      <c r="G1101" s="7"/>
      <c r="H1101" s="7" t="s">
        <v>4</v>
      </c>
      <c r="I1101" s="7"/>
      <c r="J1101" s="7"/>
      <c r="K1101" s="7"/>
      <c r="L1101" s="7"/>
      <c r="M1101" s="7"/>
      <c r="N1101" s="7"/>
      <c r="O1101" s="7"/>
      <c r="P1101" s="7"/>
      <c r="Q1101" s="7"/>
    </row>
    <row r="1102" spans="1:17" ht="22.5" customHeight="1" x14ac:dyDescent="0.2">
      <c r="A1102" s="1" t="s">
        <v>5</v>
      </c>
      <c r="B1102" s="1" t="s">
        <v>6</v>
      </c>
      <c r="C1102" s="1" t="s">
        <v>7</v>
      </c>
      <c r="D1102" s="1" t="s">
        <v>8</v>
      </c>
      <c r="E1102" s="1" t="s">
        <v>9</v>
      </c>
      <c r="F1102" s="1" t="s">
        <v>10</v>
      </c>
      <c r="G1102" s="1" t="s">
        <v>11</v>
      </c>
      <c r="H1102" s="1" t="s">
        <v>12</v>
      </c>
      <c r="I1102" s="1" t="s">
        <v>13</v>
      </c>
      <c r="J1102" s="1" t="s">
        <v>14</v>
      </c>
      <c r="K1102" s="1" t="s">
        <v>15</v>
      </c>
      <c r="L1102" s="1" t="s">
        <v>267</v>
      </c>
      <c r="M1102" s="1" t="s">
        <v>16</v>
      </c>
      <c r="N1102" s="1" t="s">
        <v>17</v>
      </c>
      <c r="O1102" s="108" t="s">
        <v>1769</v>
      </c>
      <c r="P1102" s="1" t="s">
        <v>19</v>
      </c>
      <c r="Q1102" s="1" t="s">
        <v>20</v>
      </c>
    </row>
    <row r="1103" spans="1:17" ht="12.95" customHeight="1" x14ac:dyDescent="0.2">
      <c r="A1103" s="2" t="s">
        <v>21</v>
      </c>
      <c r="B1103" s="2" t="s">
        <v>22</v>
      </c>
      <c r="C1103" s="2"/>
      <c r="D1103" s="2"/>
      <c r="E1103" s="3"/>
      <c r="F1103" s="2"/>
      <c r="G1103" s="2"/>
      <c r="H1103" s="2" t="s">
        <v>23</v>
      </c>
      <c r="I1103" s="12" t="s">
        <v>23</v>
      </c>
      <c r="J1103" s="2"/>
      <c r="K1103" s="2"/>
      <c r="L1103" s="2"/>
      <c r="M1103" s="2"/>
      <c r="N1103" s="2"/>
      <c r="O1103" s="2" t="s">
        <v>24</v>
      </c>
      <c r="P1103" s="2" t="s">
        <v>25</v>
      </c>
      <c r="Q1103" s="2"/>
    </row>
    <row r="1104" spans="1:17" ht="12.95" customHeight="1" x14ac:dyDescent="0.2">
      <c r="A1104" s="2" t="s">
        <v>26</v>
      </c>
      <c r="B1104" s="2" t="s">
        <v>27</v>
      </c>
      <c r="C1104" s="2"/>
      <c r="D1104" s="2"/>
      <c r="E1104" s="3"/>
      <c r="F1104" s="2"/>
      <c r="G1104" s="2"/>
      <c r="H1104" s="2"/>
      <c r="I1104" s="13"/>
      <c r="J1104" s="2"/>
      <c r="K1104" s="2"/>
      <c r="L1104" s="2"/>
      <c r="M1104" s="2"/>
      <c r="N1104" s="2"/>
      <c r="O1104" s="2" t="s">
        <v>28</v>
      </c>
      <c r="P1104" s="2" t="s">
        <v>29</v>
      </c>
      <c r="Q1104" s="2"/>
    </row>
    <row r="1105" spans="1:17" ht="12.95" customHeight="1" x14ac:dyDescent="0.2">
      <c r="A1105" s="4" t="s">
        <v>30</v>
      </c>
      <c r="B1105" s="4" t="s">
        <v>31</v>
      </c>
      <c r="C1105" s="4"/>
      <c r="D1105" s="4"/>
      <c r="E1105" s="3"/>
      <c r="F1105" s="4"/>
      <c r="G1105" s="4"/>
      <c r="H1105" s="4"/>
      <c r="I1105" s="35"/>
      <c r="J1105" s="4"/>
      <c r="K1105" s="4"/>
      <c r="L1105" s="4"/>
      <c r="M1105" s="4"/>
      <c r="N1105" s="4"/>
      <c r="O1105" s="4"/>
      <c r="P1105" s="4"/>
      <c r="Q1105" s="4"/>
    </row>
    <row r="1106" spans="1:17" ht="12.95" customHeight="1" x14ac:dyDescent="0.2">
      <c r="A1106" s="4" t="s">
        <v>32</v>
      </c>
      <c r="B1106" s="4" t="s">
        <v>31</v>
      </c>
      <c r="C1106" s="4"/>
      <c r="D1106" s="4"/>
      <c r="E1106" s="3"/>
      <c r="F1106" s="4"/>
      <c r="G1106" s="4"/>
      <c r="H1106" s="4"/>
      <c r="I1106" s="35"/>
      <c r="J1106" s="4"/>
      <c r="K1106" s="4"/>
      <c r="L1106" s="4"/>
      <c r="M1106" s="4"/>
      <c r="N1106" s="4"/>
      <c r="O1106" s="4" t="s">
        <v>985</v>
      </c>
      <c r="P1106" s="4"/>
      <c r="Q1106" s="4"/>
    </row>
    <row r="1107" spans="1:17" x14ac:dyDescent="0.2">
      <c r="A1107" s="4" t="s">
        <v>33</v>
      </c>
      <c r="B1107" s="4" t="s">
        <v>34</v>
      </c>
      <c r="C1107" s="4" t="s">
        <v>34</v>
      </c>
      <c r="D1107" s="4" t="s">
        <v>34</v>
      </c>
      <c r="E1107" s="4"/>
      <c r="F1107" s="4"/>
      <c r="G1107" s="4"/>
      <c r="H1107" s="4" t="s">
        <v>23</v>
      </c>
      <c r="I1107" s="35" t="s">
        <v>23</v>
      </c>
      <c r="J1107" s="4"/>
      <c r="K1107" s="4"/>
      <c r="L1107" s="4"/>
      <c r="M1107" s="4"/>
      <c r="N1107" s="4"/>
      <c r="O1107" s="4"/>
      <c r="P1107" s="4"/>
      <c r="Q1107" s="4"/>
    </row>
    <row r="1108" spans="1:17" ht="12.95" customHeight="1" x14ac:dyDescent="0.2">
      <c r="A1108" s="2" t="s">
        <v>35</v>
      </c>
      <c r="B1108" s="2" t="s">
        <v>36</v>
      </c>
      <c r="C1108" s="2"/>
      <c r="D1108" s="2"/>
      <c r="E1108" s="3"/>
      <c r="F1108" s="2"/>
      <c r="G1108" s="2"/>
      <c r="H1108" s="2"/>
      <c r="I1108" s="13"/>
      <c r="J1108" s="2"/>
      <c r="K1108" s="2"/>
      <c r="L1108" s="2"/>
      <c r="M1108" s="2"/>
      <c r="N1108" s="2"/>
      <c r="O1108" s="2" t="s">
        <v>37</v>
      </c>
      <c r="P1108" s="2"/>
      <c r="Q1108" s="2"/>
    </row>
    <row r="1109" spans="1:17" ht="12.95" customHeight="1" x14ac:dyDescent="0.2">
      <c r="A1109" s="2" t="s">
        <v>38</v>
      </c>
      <c r="B1109" s="2" t="s">
        <v>36</v>
      </c>
      <c r="C1109" s="2"/>
      <c r="D1109" s="2"/>
      <c r="E1109" s="3"/>
      <c r="F1109" s="2"/>
      <c r="G1109" s="2"/>
      <c r="H1109" s="2"/>
      <c r="I1109" s="13"/>
      <c r="J1109" s="2"/>
      <c r="K1109" s="2"/>
      <c r="L1109" s="2"/>
      <c r="M1109" s="2"/>
      <c r="N1109" s="2"/>
      <c r="O1109" s="2" t="s">
        <v>37</v>
      </c>
      <c r="P1109" s="2"/>
      <c r="Q1109" s="2"/>
    </row>
    <row r="1110" spans="1:17" ht="12.95" customHeight="1" x14ac:dyDescent="0.2">
      <c r="A1110" s="2" t="s">
        <v>39</v>
      </c>
      <c r="B1110" s="2" t="s">
        <v>22</v>
      </c>
      <c r="C1110" s="2"/>
      <c r="D1110" s="2"/>
      <c r="E1110" s="3"/>
      <c r="F1110" s="2"/>
      <c r="G1110" s="2"/>
      <c r="H1110" s="2" t="s">
        <v>23</v>
      </c>
      <c r="I1110" s="12" t="s">
        <v>23</v>
      </c>
      <c r="J1110" s="2"/>
      <c r="K1110" s="2"/>
      <c r="L1110" s="2"/>
      <c r="M1110" s="2"/>
      <c r="N1110" s="2"/>
      <c r="O1110" s="2" t="s">
        <v>24</v>
      </c>
      <c r="P1110" s="2" t="s">
        <v>25</v>
      </c>
      <c r="Q1110" s="2"/>
    </row>
    <row r="1111" spans="1:17" ht="12.95" customHeight="1" x14ac:dyDescent="0.2">
      <c r="A1111" s="2" t="s">
        <v>40</v>
      </c>
      <c r="B1111" s="2" t="s">
        <v>27</v>
      </c>
      <c r="C1111" s="2"/>
      <c r="D1111" s="2"/>
      <c r="E1111" s="3"/>
      <c r="F1111" s="2"/>
      <c r="G1111" s="2"/>
      <c r="H1111" s="2"/>
      <c r="I1111" s="13"/>
      <c r="J1111" s="2"/>
      <c r="K1111" s="2"/>
      <c r="L1111" s="2"/>
      <c r="M1111" s="2"/>
      <c r="N1111" s="2"/>
      <c r="O1111" s="2" t="s">
        <v>28</v>
      </c>
      <c r="P1111" s="2" t="s">
        <v>25</v>
      </c>
      <c r="Q1111" s="2"/>
    </row>
    <row r="1112" spans="1:17" ht="12.95" customHeight="1" x14ac:dyDescent="0.2">
      <c r="A1112" s="2" t="s">
        <v>41</v>
      </c>
      <c r="B1112" s="2" t="s">
        <v>42</v>
      </c>
      <c r="C1112" s="2"/>
      <c r="D1112" s="2"/>
      <c r="E1112" s="3"/>
      <c r="F1112" s="2"/>
      <c r="G1112" s="2"/>
      <c r="H1112" s="2" t="s">
        <v>48</v>
      </c>
      <c r="I1112" s="13" t="s">
        <v>48</v>
      </c>
      <c r="J1112" s="2"/>
      <c r="K1112" s="2"/>
      <c r="L1112" s="2"/>
      <c r="M1112" s="2"/>
      <c r="N1112" s="2"/>
      <c r="O1112" s="2" t="s">
        <v>985</v>
      </c>
      <c r="P1112" s="2"/>
      <c r="Q1112" s="2"/>
    </row>
    <row r="1113" spans="1:17" ht="12.95" customHeight="1" x14ac:dyDescent="0.2">
      <c r="A1113" s="4" t="s">
        <v>51</v>
      </c>
      <c r="B1113" s="4" t="s">
        <v>31</v>
      </c>
      <c r="C1113" s="4"/>
      <c r="D1113" s="4"/>
      <c r="E1113" s="3"/>
      <c r="F1113" s="4"/>
      <c r="G1113" s="4"/>
      <c r="H1113" s="4"/>
      <c r="I1113" s="35"/>
      <c r="J1113" s="4"/>
      <c r="K1113" s="4"/>
      <c r="L1113" s="4"/>
      <c r="M1113" s="4"/>
      <c r="N1113" s="4"/>
      <c r="O1113" s="4"/>
      <c r="P1113" s="4"/>
      <c r="Q1113" s="4"/>
    </row>
    <row r="1114" spans="1:17" ht="12.95" customHeight="1" x14ac:dyDescent="0.2">
      <c r="A1114" s="4" t="s">
        <v>52</v>
      </c>
      <c r="B1114" s="4" t="s">
        <v>31</v>
      </c>
      <c r="C1114" s="4"/>
      <c r="D1114" s="4"/>
      <c r="E1114" s="3"/>
      <c r="F1114" s="4"/>
      <c r="G1114" s="4"/>
      <c r="H1114" s="4"/>
      <c r="I1114" s="35"/>
      <c r="J1114" s="4"/>
      <c r="K1114" s="4"/>
      <c r="L1114" s="4"/>
      <c r="M1114" s="4"/>
      <c r="N1114" s="4"/>
      <c r="O1114" s="4"/>
      <c r="P1114" s="4"/>
      <c r="Q1114" s="4"/>
    </row>
    <row r="1115" spans="1:17" x14ac:dyDescent="0.2">
      <c r="A1115" s="4" t="s">
        <v>33</v>
      </c>
      <c r="B1115" s="4" t="s">
        <v>34</v>
      </c>
      <c r="C1115" s="4" t="s">
        <v>34</v>
      </c>
      <c r="D1115" s="4" t="s">
        <v>34</v>
      </c>
      <c r="E1115" s="4"/>
      <c r="F1115" s="4"/>
      <c r="G1115" s="4"/>
      <c r="H1115" s="4" t="s">
        <v>53</v>
      </c>
      <c r="I1115" s="35" t="s">
        <v>53</v>
      </c>
      <c r="J1115" s="4"/>
      <c r="K1115" s="4"/>
      <c r="L1115" s="4"/>
      <c r="M1115" s="4"/>
      <c r="N1115" s="4"/>
      <c r="O1115" s="4"/>
      <c r="P1115" s="4"/>
      <c r="Q1115" s="4"/>
    </row>
    <row r="1116" spans="1:17" ht="12.95" customHeight="1" x14ac:dyDescent="0.2">
      <c r="A1116" s="2" t="s">
        <v>54</v>
      </c>
      <c r="B1116" s="2" t="s">
        <v>42</v>
      </c>
      <c r="C1116" s="2" t="s">
        <v>205</v>
      </c>
      <c r="D1116" s="2" t="s">
        <v>819</v>
      </c>
      <c r="E1116" s="3" t="s">
        <v>499</v>
      </c>
      <c r="F1116" s="2" t="s">
        <v>46</v>
      </c>
      <c r="G1116" s="2" t="s">
        <v>986</v>
      </c>
      <c r="H1116" s="2" t="s">
        <v>48</v>
      </c>
      <c r="I1116" s="13" t="s">
        <v>340</v>
      </c>
      <c r="J1116" s="2" t="s">
        <v>986</v>
      </c>
      <c r="K1116" s="2"/>
      <c r="L1116" s="2"/>
      <c r="M1116" s="2"/>
      <c r="N1116" s="2" t="s">
        <v>360</v>
      </c>
      <c r="O1116" s="2"/>
      <c r="P1116" s="2"/>
      <c r="Q1116" s="2"/>
    </row>
    <row r="1117" spans="1:17" ht="12.95" customHeight="1" x14ac:dyDescent="0.2">
      <c r="A1117" s="2" t="s">
        <v>61</v>
      </c>
      <c r="B1117" s="2" t="s">
        <v>42</v>
      </c>
      <c r="C1117" s="2" t="s">
        <v>680</v>
      </c>
      <c r="D1117" s="2" t="s">
        <v>987</v>
      </c>
      <c r="E1117" s="3" t="s">
        <v>402</v>
      </c>
      <c r="F1117" s="2" t="s">
        <v>46</v>
      </c>
      <c r="G1117" s="2" t="s">
        <v>732</v>
      </c>
      <c r="H1117" s="2" t="s">
        <v>48</v>
      </c>
      <c r="I1117" s="13" t="s">
        <v>436</v>
      </c>
      <c r="J1117" s="2" t="s">
        <v>732</v>
      </c>
      <c r="K1117" s="2"/>
      <c r="L1117" s="2"/>
      <c r="M1117" s="2"/>
      <c r="N1117" s="2" t="s">
        <v>342</v>
      </c>
      <c r="O1117" s="2"/>
      <c r="P1117" s="2"/>
      <c r="Q1117" s="2"/>
    </row>
    <row r="1118" spans="1:17" ht="12.95" customHeight="1" x14ac:dyDescent="0.2">
      <c r="A1118" s="2" t="s">
        <v>68</v>
      </c>
      <c r="B1118" s="2" t="s">
        <v>42</v>
      </c>
      <c r="C1118" s="2" t="s">
        <v>98</v>
      </c>
      <c r="D1118" s="2" t="s">
        <v>988</v>
      </c>
      <c r="E1118" s="3" t="s">
        <v>276</v>
      </c>
      <c r="F1118" s="2" t="s">
        <v>46</v>
      </c>
      <c r="G1118" s="2" t="s">
        <v>277</v>
      </c>
      <c r="H1118" s="2" t="s">
        <v>48</v>
      </c>
      <c r="I1118" s="13"/>
      <c r="J1118" s="2" t="s">
        <v>48</v>
      </c>
      <c r="K1118" s="2" t="s">
        <v>278</v>
      </c>
      <c r="L1118" s="2"/>
      <c r="M1118" s="2" t="s">
        <v>278</v>
      </c>
      <c r="N1118" s="2" t="s">
        <v>103</v>
      </c>
      <c r="O1118" s="2"/>
      <c r="P1118" s="2"/>
      <c r="Q1118" s="2"/>
    </row>
    <row r="1119" spans="1:17" ht="12.95" customHeight="1" x14ac:dyDescent="0.2">
      <c r="A1119" s="2" t="s">
        <v>75</v>
      </c>
      <c r="B1119" s="2" t="s">
        <v>42</v>
      </c>
      <c r="C1119" s="2" t="s">
        <v>224</v>
      </c>
      <c r="D1119" s="2" t="s">
        <v>989</v>
      </c>
      <c r="E1119" s="3" t="s">
        <v>543</v>
      </c>
      <c r="F1119" s="2" t="s">
        <v>46</v>
      </c>
      <c r="G1119" s="2" t="s">
        <v>544</v>
      </c>
      <c r="H1119" s="2" t="s">
        <v>48</v>
      </c>
      <c r="I1119" s="13"/>
      <c r="J1119" s="2" t="s">
        <v>48</v>
      </c>
      <c r="K1119" s="2" t="s">
        <v>397</v>
      </c>
      <c r="L1119" s="2"/>
      <c r="M1119" s="2" t="s">
        <v>397</v>
      </c>
      <c r="N1119" s="2"/>
      <c r="O1119" s="2"/>
      <c r="P1119" s="2" t="s">
        <v>990</v>
      </c>
      <c r="Q1119" s="2"/>
    </row>
    <row r="1120" spans="1:17" ht="12.95" customHeight="1" x14ac:dyDescent="0.2">
      <c r="A1120" s="2" t="s">
        <v>81</v>
      </c>
      <c r="B1120" s="2" t="s">
        <v>42</v>
      </c>
      <c r="C1120" s="2" t="s">
        <v>991</v>
      </c>
      <c r="D1120" s="2" t="s">
        <v>992</v>
      </c>
      <c r="E1120" s="3" t="s">
        <v>993</v>
      </c>
      <c r="F1120" s="2" t="s">
        <v>46</v>
      </c>
      <c r="G1120" s="2" t="s">
        <v>994</v>
      </c>
      <c r="H1120" s="2" t="s">
        <v>48</v>
      </c>
      <c r="I1120" s="13" t="s">
        <v>392</v>
      </c>
      <c r="J1120" s="2" t="s">
        <v>994</v>
      </c>
      <c r="K1120" s="2"/>
      <c r="L1120" s="2"/>
      <c r="M1120" s="2"/>
      <c r="N1120" s="2" t="s">
        <v>409</v>
      </c>
      <c r="O1120" s="2"/>
      <c r="P1120" s="2"/>
      <c r="Q1120" s="2"/>
    </row>
    <row r="1121" spans="1:17" ht="12.95" customHeight="1" x14ac:dyDescent="0.2">
      <c r="A1121" s="4" t="s">
        <v>87</v>
      </c>
      <c r="B1121" s="4" t="s">
        <v>31</v>
      </c>
      <c r="C1121" s="4"/>
      <c r="D1121" s="4"/>
      <c r="E1121" s="3"/>
      <c r="F1121" s="4"/>
      <c r="G1121" s="4"/>
      <c r="H1121" s="4"/>
      <c r="I1121" s="35"/>
      <c r="J1121" s="4"/>
      <c r="K1121" s="4"/>
      <c r="L1121" s="4"/>
      <c r="M1121" s="4"/>
      <c r="N1121" s="4"/>
      <c r="O1121" s="4"/>
      <c r="P1121" s="4"/>
      <c r="Q1121" s="4"/>
    </row>
    <row r="1122" spans="1:17" ht="12.95" customHeight="1" x14ac:dyDescent="0.2">
      <c r="A1122" s="4" t="s">
        <v>88</v>
      </c>
      <c r="B1122" s="4" t="s">
        <v>31</v>
      </c>
      <c r="C1122" s="4"/>
      <c r="D1122" s="4"/>
      <c r="E1122" s="3"/>
      <c r="F1122" s="4"/>
      <c r="G1122" s="4"/>
      <c r="H1122" s="4"/>
      <c r="I1122" s="35"/>
      <c r="J1122" s="4"/>
      <c r="K1122" s="4"/>
      <c r="L1122" s="4"/>
      <c r="M1122" s="4"/>
      <c r="N1122" s="4"/>
      <c r="O1122" s="4"/>
      <c r="P1122" s="4"/>
      <c r="Q1122" s="4"/>
    </row>
    <row r="1123" spans="1:17" x14ac:dyDescent="0.2">
      <c r="A1123" s="4" t="s">
        <v>33</v>
      </c>
      <c r="B1123" s="4" t="s">
        <v>34</v>
      </c>
      <c r="C1123" s="4" t="s">
        <v>34</v>
      </c>
      <c r="D1123" s="4" t="s">
        <v>34</v>
      </c>
      <c r="E1123" s="4" t="s">
        <v>995</v>
      </c>
      <c r="F1123" s="4" t="s">
        <v>90</v>
      </c>
      <c r="G1123" s="4" t="s">
        <v>996</v>
      </c>
      <c r="H1123" s="4" t="s">
        <v>92</v>
      </c>
      <c r="I1123" s="35" t="s">
        <v>997</v>
      </c>
      <c r="J1123" s="4" t="s">
        <v>998</v>
      </c>
      <c r="K1123" s="4" t="s">
        <v>240</v>
      </c>
      <c r="L1123" s="4"/>
      <c r="M1123" s="4" t="s">
        <v>240</v>
      </c>
      <c r="N1123" s="4" t="s">
        <v>999</v>
      </c>
      <c r="O1123" s="4"/>
      <c r="P1123" s="4"/>
      <c r="Q1123" s="4"/>
    </row>
    <row r="1124" spans="1:17" ht="12.95" customHeight="1" x14ac:dyDescent="0.2">
      <c r="A1124" s="2" t="s">
        <v>97</v>
      </c>
      <c r="B1124" s="2" t="s">
        <v>42</v>
      </c>
      <c r="C1124" s="2" t="s">
        <v>47</v>
      </c>
      <c r="D1124" s="2" t="s">
        <v>873</v>
      </c>
      <c r="E1124" s="3" t="s">
        <v>1000</v>
      </c>
      <c r="F1124" s="2" t="s">
        <v>46</v>
      </c>
      <c r="G1124" s="2" t="s">
        <v>1001</v>
      </c>
      <c r="H1124" s="2" t="s">
        <v>48</v>
      </c>
      <c r="I1124" s="13" t="s">
        <v>445</v>
      </c>
      <c r="J1124" s="2" t="s">
        <v>1001</v>
      </c>
      <c r="K1124" s="2"/>
      <c r="L1124" s="2"/>
      <c r="M1124" s="2"/>
      <c r="N1124" s="2" t="s">
        <v>607</v>
      </c>
      <c r="O1124" s="2"/>
      <c r="P1124" s="2"/>
      <c r="Q1124" s="2"/>
    </row>
    <row r="1125" spans="1:17" ht="12.95" customHeight="1" x14ac:dyDescent="0.2">
      <c r="A1125" s="2" t="s">
        <v>104</v>
      </c>
      <c r="B1125" s="2" t="s">
        <v>42</v>
      </c>
      <c r="C1125" s="2" t="s">
        <v>496</v>
      </c>
      <c r="D1125" s="2" t="s">
        <v>221</v>
      </c>
      <c r="E1125" s="3" t="s">
        <v>1002</v>
      </c>
      <c r="F1125" s="2" t="s">
        <v>46</v>
      </c>
      <c r="G1125" s="2" t="s">
        <v>1003</v>
      </c>
      <c r="H1125" s="2" t="s">
        <v>108</v>
      </c>
      <c r="I1125" s="13"/>
      <c r="J1125" s="2" t="s">
        <v>48</v>
      </c>
      <c r="K1125" s="2" t="s">
        <v>272</v>
      </c>
      <c r="L1125" s="2" t="s">
        <v>249</v>
      </c>
      <c r="M1125" s="2" t="s">
        <v>744</v>
      </c>
      <c r="N1125" s="2"/>
      <c r="O1125" s="2"/>
      <c r="P1125" s="2" t="s">
        <v>111</v>
      </c>
      <c r="Q1125" s="2"/>
    </row>
    <row r="1126" spans="1:17" ht="12.95" customHeight="1" x14ac:dyDescent="0.2">
      <c r="A1126" s="2" t="s">
        <v>112</v>
      </c>
      <c r="B1126" s="2" t="s">
        <v>22</v>
      </c>
      <c r="C1126" s="2" t="s">
        <v>1004</v>
      </c>
      <c r="D1126" s="2" t="s">
        <v>1005</v>
      </c>
      <c r="E1126" s="3" t="s">
        <v>1006</v>
      </c>
      <c r="F1126" s="2" t="s">
        <v>46</v>
      </c>
      <c r="G1126" s="2" t="s">
        <v>1007</v>
      </c>
      <c r="H1126" s="2" t="s">
        <v>113</v>
      </c>
      <c r="I1126" s="111" t="s">
        <v>554</v>
      </c>
      <c r="J1126" s="2" t="s">
        <v>1007</v>
      </c>
      <c r="K1126" s="2"/>
      <c r="L1126" s="2"/>
      <c r="M1126" s="2"/>
      <c r="N1126" s="2"/>
      <c r="O1126" s="2" t="s">
        <v>24</v>
      </c>
      <c r="P1126" s="2"/>
      <c r="Q1126" s="2"/>
    </row>
    <row r="1127" spans="1:17" ht="12.95" customHeight="1" x14ac:dyDescent="0.2">
      <c r="A1127" s="2" t="s">
        <v>114</v>
      </c>
      <c r="B1127" s="2" t="s">
        <v>27</v>
      </c>
      <c r="C1127" s="2" t="s">
        <v>367</v>
      </c>
      <c r="D1127" s="2" t="s">
        <v>367</v>
      </c>
      <c r="E1127" s="3"/>
      <c r="F1127" s="2"/>
      <c r="G1127" s="2"/>
      <c r="H1127" s="2"/>
      <c r="I1127" s="13"/>
      <c r="J1127" s="2"/>
      <c r="K1127" s="2"/>
      <c r="L1127" s="2"/>
      <c r="M1127" s="2"/>
      <c r="N1127" s="2"/>
      <c r="O1127" s="2" t="s">
        <v>28</v>
      </c>
      <c r="P1127" s="2" t="s">
        <v>111</v>
      </c>
      <c r="Q1127" s="2"/>
    </row>
    <row r="1128" spans="1:17" ht="12.95" customHeight="1" x14ac:dyDescent="0.2">
      <c r="A1128" s="2" t="s">
        <v>115</v>
      </c>
      <c r="B1128" s="2" t="s">
        <v>42</v>
      </c>
      <c r="C1128" s="2"/>
      <c r="D1128" s="2"/>
      <c r="E1128" s="3"/>
      <c r="F1128" s="2"/>
      <c r="G1128" s="2"/>
      <c r="H1128" s="2"/>
      <c r="I1128" s="13"/>
      <c r="J1128" s="2"/>
      <c r="K1128" s="2"/>
      <c r="L1128" s="2"/>
      <c r="M1128" s="2"/>
      <c r="N1128" s="2"/>
      <c r="O1128" s="2" t="s">
        <v>194</v>
      </c>
      <c r="P1128" s="2"/>
      <c r="Q1128" s="2"/>
    </row>
    <row r="1129" spans="1:17" ht="12.95" customHeight="1" x14ac:dyDescent="0.2">
      <c r="A1129" s="4" t="s">
        <v>122</v>
      </c>
      <c r="B1129" s="4" t="s">
        <v>31</v>
      </c>
      <c r="C1129" s="4"/>
      <c r="D1129" s="4"/>
      <c r="E1129" s="3"/>
      <c r="F1129" s="4"/>
      <c r="G1129" s="4"/>
      <c r="H1129" s="4"/>
      <c r="I1129" s="35"/>
      <c r="J1129" s="4"/>
      <c r="K1129" s="4"/>
      <c r="L1129" s="4"/>
      <c r="M1129" s="4"/>
      <c r="N1129" s="4"/>
      <c r="O1129" s="4"/>
      <c r="P1129" s="4"/>
      <c r="Q1129" s="4"/>
    </row>
    <row r="1130" spans="1:17" ht="12.95" customHeight="1" x14ac:dyDescent="0.2">
      <c r="A1130" s="4" t="s">
        <v>123</v>
      </c>
      <c r="B1130" s="4" t="s">
        <v>31</v>
      </c>
      <c r="C1130" s="4"/>
      <c r="D1130" s="4"/>
      <c r="E1130" s="3"/>
      <c r="F1130" s="4"/>
      <c r="G1130" s="4"/>
      <c r="H1130" s="4"/>
      <c r="I1130" s="35"/>
      <c r="J1130" s="4"/>
      <c r="K1130" s="4"/>
      <c r="L1130" s="4"/>
      <c r="M1130" s="4"/>
      <c r="N1130" s="4"/>
      <c r="O1130" s="4"/>
      <c r="P1130" s="4"/>
      <c r="Q1130" s="4"/>
    </row>
    <row r="1131" spans="1:17" x14ac:dyDescent="0.2">
      <c r="A1131" s="4" t="s">
        <v>33</v>
      </c>
      <c r="B1131" s="4" t="s">
        <v>34</v>
      </c>
      <c r="C1131" s="4" t="s">
        <v>34</v>
      </c>
      <c r="D1131" s="4" t="s">
        <v>34</v>
      </c>
      <c r="E1131" s="4" t="s">
        <v>1008</v>
      </c>
      <c r="F1131" s="4" t="s">
        <v>125</v>
      </c>
      <c r="G1131" s="4" t="s">
        <v>1009</v>
      </c>
      <c r="H1131" s="4" t="s">
        <v>170</v>
      </c>
      <c r="I1131" s="35" t="s">
        <v>93</v>
      </c>
      <c r="J1131" s="4" t="s">
        <v>1010</v>
      </c>
      <c r="K1131" s="4" t="s">
        <v>272</v>
      </c>
      <c r="L1131" s="4" t="s">
        <v>249</v>
      </c>
      <c r="M1131" s="4" t="s">
        <v>744</v>
      </c>
      <c r="N1131" s="4" t="s">
        <v>607</v>
      </c>
      <c r="O1131" s="4"/>
      <c r="P1131" s="4"/>
      <c r="Q1131" s="4"/>
    </row>
    <row r="1132" spans="1:17" ht="12.95" customHeight="1" x14ac:dyDescent="0.2">
      <c r="A1132" s="2" t="s">
        <v>131</v>
      </c>
      <c r="B1132" s="2" t="s">
        <v>42</v>
      </c>
      <c r="C1132" s="2"/>
      <c r="D1132" s="2"/>
      <c r="E1132" s="3"/>
      <c r="F1132" s="2"/>
      <c r="G1132" s="2"/>
      <c r="H1132" s="2"/>
      <c r="I1132" s="13"/>
      <c r="J1132" s="2"/>
      <c r="K1132" s="2"/>
      <c r="L1132" s="2"/>
      <c r="M1132" s="2"/>
      <c r="N1132" s="2"/>
      <c r="O1132" s="2" t="s">
        <v>1011</v>
      </c>
      <c r="P1132" s="2"/>
      <c r="Q1132" s="2"/>
    </row>
    <row r="1133" spans="1:17" ht="12.95" customHeight="1" x14ac:dyDescent="0.2">
      <c r="A1133" s="2" t="s">
        <v>138</v>
      </c>
      <c r="B1133" s="2" t="s">
        <v>42</v>
      </c>
      <c r="C1133" s="2"/>
      <c r="D1133" s="2"/>
      <c r="E1133" s="3"/>
      <c r="F1133" s="2"/>
      <c r="G1133" s="2"/>
      <c r="H1133" s="2"/>
      <c r="I1133" s="13"/>
      <c r="J1133" s="2"/>
      <c r="K1133" s="2"/>
      <c r="L1133" s="2"/>
      <c r="M1133" s="2"/>
      <c r="N1133" s="2"/>
      <c r="O1133" s="2" t="s">
        <v>1011</v>
      </c>
      <c r="P1133" s="2"/>
      <c r="Q1133" s="2"/>
    </row>
    <row r="1134" spans="1:17" ht="12.95" customHeight="1" x14ac:dyDescent="0.2">
      <c r="A1134" s="2" t="s">
        <v>143</v>
      </c>
      <c r="B1134" s="2" t="s">
        <v>42</v>
      </c>
      <c r="C1134" s="2"/>
      <c r="D1134" s="2"/>
      <c r="E1134" s="3"/>
      <c r="F1134" s="2"/>
      <c r="G1134" s="2"/>
      <c r="H1134" s="2"/>
      <c r="I1134" s="13"/>
      <c r="J1134" s="2"/>
      <c r="K1134" s="2"/>
      <c r="L1134" s="2"/>
      <c r="M1134" s="2"/>
      <c r="N1134" s="2"/>
      <c r="O1134" s="2" t="s">
        <v>1011</v>
      </c>
      <c r="P1134" s="2"/>
      <c r="Q1134" s="2"/>
    </row>
    <row r="1135" spans="1:17" ht="12.95" customHeight="1" x14ac:dyDescent="0.2">
      <c r="A1135" s="2" t="s">
        <v>148</v>
      </c>
      <c r="B1135" s="2" t="s">
        <v>42</v>
      </c>
      <c r="C1135" s="2"/>
      <c r="D1135" s="2"/>
      <c r="E1135" s="3"/>
      <c r="F1135" s="2"/>
      <c r="G1135" s="2"/>
      <c r="H1135" s="2"/>
      <c r="I1135" s="13"/>
      <c r="J1135" s="2"/>
      <c r="K1135" s="2"/>
      <c r="L1135" s="2"/>
      <c r="M1135" s="2"/>
      <c r="N1135" s="2"/>
      <c r="O1135" s="2" t="s">
        <v>1011</v>
      </c>
      <c r="P1135" s="2"/>
      <c r="Q1135" s="2"/>
    </row>
    <row r="1136" spans="1:17" ht="12.95" customHeight="1" x14ac:dyDescent="0.2">
      <c r="A1136" s="2" t="s">
        <v>155</v>
      </c>
      <c r="B1136" s="2" t="s">
        <v>42</v>
      </c>
      <c r="C1136" s="2" t="s">
        <v>703</v>
      </c>
      <c r="D1136" s="2" t="s">
        <v>1012</v>
      </c>
      <c r="E1136" s="3" t="s">
        <v>983</v>
      </c>
      <c r="F1136" s="2" t="s">
        <v>46</v>
      </c>
      <c r="G1136" s="2" t="s">
        <v>703</v>
      </c>
      <c r="H1136" s="2" t="s">
        <v>48</v>
      </c>
      <c r="I1136" s="13" t="s">
        <v>154</v>
      </c>
      <c r="J1136" s="2" t="s">
        <v>703</v>
      </c>
      <c r="K1136" s="2"/>
      <c r="L1136" s="2"/>
      <c r="M1136" s="2"/>
      <c r="N1136" s="2" t="s">
        <v>705</v>
      </c>
      <c r="O1136" s="2"/>
      <c r="P1136" s="2"/>
      <c r="Q1136" s="2"/>
    </row>
    <row r="1137" spans="1:17" ht="12.95" customHeight="1" x14ac:dyDescent="0.2">
      <c r="A1137" s="8" t="s">
        <v>161</v>
      </c>
      <c r="B1137" s="8"/>
      <c r="C1137" s="8"/>
      <c r="D1137" s="8"/>
      <c r="E1137" s="5" t="s">
        <v>1013</v>
      </c>
      <c r="F1137" s="5" t="s">
        <v>1014</v>
      </c>
      <c r="G1137" s="5" t="s">
        <v>1015</v>
      </c>
      <c r="H1137" s="5" t="s">
        <v>1016</v>
      </c>
      <c r="I1137" s="36" t="s">
        <v>743</v>
      </c>
      <c r="J1137" s="5" t="s">
        <v>1017</v>
      </c>
      <c r="K1137" s="5" t="s">
        <v>693</v>
      </c>
      <c r="L1137" s="5" t="s">
        <v>249</v>
      </c>
      <c r="M1137" s="5" t="s">
        <v>301</v>
      </c>
      <c r="N1137" s="5" t="s">
        <v>740</v>
      </c>
      <c r="O1137" s="5"/>
      <c r="P1137" s="5"/>
      <c r="Q1137" s="5"/>
    </row>
    <row r="1138" spans="1:17" ht="12.95" customHeight="1" x14ac:dyDescent="0.2">
      <c r="A1138" s="8" t="s">
        <v>171</v>
      </c>
      <c r="B1138" s="8"/>
      <c r="C1138" s="8"/>
      <c r="D1138" s="8"/>
      <c r="E1138" s="5" t="s">
        <v>1013</v>
      </c>
      <c r="F1138" s="5" t="s">
        <v>1014</v>
      </c>
      <c r="G1138" s="5" t="s">
        <v>1015</v>
      </c>
      <c r="H1138" s="5" t="s">
        <v>1016</v>
      </c>
      <c r="I1138" s="36" t="s">
        <v>1018</v>
      </c>
      <c r="J1138" s="5" t="s">
        <v>1017</v>
      </c>
      <c r="K1138" s="5" t="s">
        <v>693</v>
      </c>
      <c r="L1138" s="5" t="s">
        <v>249</v>
      </c>
      <c r="M1138" s="5" t="s">
        <v>301</v>
      </c>
      <c r="N1138" s="5" t="s">
        <v>740</v>
      </c>
      <c r="O1138" s="5"/>
      <c r="P1138" s="5"/>
      <c r="Q1138" s="5"/>
    </row>
    <row r="1139" spans="1:17" ht="12.95" customHeight="1" x14ac:dyDescent="0.2">
      <c r="A1139" s="8" t="s">
        <v>173</v>
      </c>
      <c r="B1139" s="8"/>
      <c r="C1139" s="8"/>
      <c r="D1139" s="8"/>
      <c r="E1139" s="5">
        <v>74.36</v>
      </c>
      <c r="F1139" s="5">
        <v>4.5</v>
      </c>
      <c r="G1139" s="5">
        <v>69.86</v>
      </c>
      <c r="H1139" s="5">
        <v>76.8</v>
      </c>
      <c r="I1139" s="36">
        <v>6.93</v>
      </c>
      <c r="J1139" s="5">
        <v>67.13</v>
      </c>
      <c r="K1139" s="5">
        <v>2.38</v>
      </c>
      <c r="L1139" s="5">
        <v>0.35</v>
      </c>
      <c r="M1139" s="5">
        <v>9.73</v>
      </c>
      <c r="N1139" s="5">
        <v>7.28</v>
      </c>
      <c r="O1139" s="5"/>
      <c r="P1139" s="5"/>
      <c r="Q1139" s="5"/>
    </row>
    <row r="1140" spans="1:17" x14ac:dyDescent="0.2">
      <c r="I1140" s="37"/>
    </row>
    <row r="1141" spans="1:17" ht="12.95" customHeight="1" x14ac:dyDescent="0.2">
      <c r="A1141" s="9" t="s">
        <v>174</v>
      </c>
      <c r="B1141" s="9"/>
      <c r="C1141" s="9"/>
      <c r="E1141" s="9" t="s">
        <v>180</v>
      </c>
      <c r="F1141" s="9"/>
      <c r="G1141" s="9"/>
      <c r="I1141" s="9" t="s">
        <v>181</v>
      </c>
      <c r="J1141" s="9"/>
      <c r="K1141" s="9"/>
    </row>
    <row r="1142" spans="1:17" ht="12.95" customHeight="1" x14ac:dyDescent="0.2">
      <c r="A1142" s="10" t="s">
        <v>175</v>
      </c>
      <c r="B1142" s="10"/>
      <c r="C1142" s="6">
        <v>10</v>
      </c>
      <c r="E1142" s="10" t="s">
        <v>14</v>
      </c>
      <c r="F1142" s="10"/>
      <c r="G1142" s="6">
        <v>67.13</v>
      </c>
      <c r="I1142" s="10" t="s">
        <v>264</v>
      </c>
      <c r="J1142" s="10"/>
      <c r="K1142" s="43">
        <v>1</v>
      </c>
    </row>
    <row r="1143" spans="1:17" ht="12.95" customHeight="1" x14ac:dyDescent="0.2">
      <c r="A1143" s="10" t="s">
        <v>1531</v>
      </c>
      <c r="B1143" s="10"/>
      <c r="C1143" s="6">
        <v>18</v>
      </c>
      <c r="E1143" s="10" t="s">
        <v>15</v>
      </c>
      <c r="F1143" s="10"/>
      <c r="G1143" s="6">
        <v>2.38</v>
      </c>
      <c r="I1143" s="10" t="s">
        <v>1019</v>
      </c>
      <c r="J1143" s="10"/>
      <c r="K1143" s="6">
        <v>4</v>
      </c>
    </row>
    <row r="1144" spans="1:17" ht="12.95" customHeight="1" x14ac:dyDescent="0.2">
      <c r="A1144" s="10" t="s">
        <v>176</v>
      </c>
      <c r="B1144" s="10"/>
      <c r="C1144" s="6">
        <v>74.36</v>
      </c>
      <c r="E1144" s="10" t="s">
        <v>267</v>
      </c>
      <c r="F1144" s="10"/>
      <c r="G1144" s="6">
        <v>0.35</v>
      </c>
      <c r="I1144" s="10" t="s">
        <v>1768</v>
      </c>
      <c r="J1144" s="10"/>
      <c r="K1144" s="6">
        <v>2</v>
      </c>
    </row>
    <row r="1145" spans="1:17" ht="12.95" customHeight="1" x14ac:dyDescent="0.2">
      <c r="A1145" s="10" t="s">
        <v>177</v>
      </c>
      <c r="B1145" s="10"/>
      <c r="C1145" s="6">
        <v>76.8</v>
      </c>
      <c r="I1145" s="10" t="s">
        <v>27</v>
      </c>
      <c r="J1145" s="10"/>
      <c r="K1145" s="26">
        <v>3</v>
      </c>
    </row>
    <row r="1146" spans="1:17" ht="12.95" customHeight="1" x14ac:dyDescent="0.2">
      <c r="A1146" s="10" t="s">
        <v>11</v>
      </c>
      <c r="B1146" s="10"/>
      <c r="C1146" s="6">
        <v>69.86</v>
      </c>
      <c r="I1146" s="10" t="s">
        <v>22</v>
      </c>
      <c r="J1146" s="10"/>
      <c r="K1146" s="26">
        <v>2</v>
      </c>
    </row>
    <row r="1147" spans="1:17" ht="12.95" customHeight="1" x14ac:dyDescent="0.2">
      <c r="A1147" s="10" t="s">
        <v>178</v>
      </c>
      <c r="B1147" s="10"/>
      <c r="C1147" s="30">
        <v>16.66</v>
      </c>
      <c r="I1147" s="10" t="s">
        <v>36</v>
      </c>
      <c r="J1147" s="10"/>
      <c r="K1147" s="26">
        <v>2</v>
      </c>
    </row>
    <row r="1148" spans="1:17" ht="12.95" customHeight="1" x14ac:dyDescent="0.2">
      <c r="A1148" s="28" t="s">
        <v>1571</v>
      </c>
      <c r="B1148" s="27"/>
      <c r="C1148" s="112">
        <v>-2.3199999999999998</v>
      </c>
      <c r="I1148" s="10" t="s">
        <v>1020</v>
      </c>
      <c r="J1148" s="10"/>
      <c r="K1148" s="6" cm="1">
        <f t="array" ref="K1148">SUMPRODUCT(--ISNUMBER(SEARCH("חל""ת",O1103:O1140)))</f>
        <v>2</v>
      </c>
    </row>
    <row r="1149" spans="1:17" ht="12.95" customHeight="1" x14ac:dyDescent="0.2">
      <c r="A1149" s="29" t="s">
        <v>1572</v>
      </c>
      <c r="B1149" s="29"/>
      <c r="C1149" s="32">
        <f>C1147+C1148</f>
        <v>14.34</v>
      </c>
      <c r="I1149" s="39" t="s">
        <v>1591</v>
      </c>
      <c r="J1149" s="19"/>
      <c r="K1149" s="20">
        <v>1</v>
      </c>
    </row>
    <row r="1150" spans="1:17" x14ac:dyDescent="0.2">
      <c r="A1150" s="10" t="s">
        <v>10</v>
      </c>
      <c r="B1150" s="10"/>
      <c r="C1150" s="6">
        <v>4.5</v>
      </c>
      <c r="I1150" s="39" t="s">
        <v>1592</v>
      </c>
      <c r="J1150" s="19"/>
      <c r="K1150" s="38">
        <v>2</v>
      </c>
    </row>
    <row r="1151" spans="1:17" ht="15" x14ac:dyDescent="0.25">
      <c r="A1151" t="s">
        <v>1615</v>
      </c>
      <c r="C1151" cm="1">
        <f t="array" ref="C1151">IFERROR(SUMPRODUCT(ISNUMBER(SEARCH("מילואים",O1103:O1140))*(C1103:C1140&lt;&gt;"")*(J1103:J1140+0))*24,0)</f>
        <v>0</v>
      </c>
      <c r="I1151" s="41" t="s">
        <v>1593</v>
      </c>
      <c r="J1151" s="40"/>
      <c r="K1151" s="42">
        <f>K1142+K1149+K1150</f>
        <v>4</v>
      </c>
    </row>
    <row r="1152" spans="1:17" ht="12.95" customHeight="1" x14ac:dyDescent="0.2">
      <c r="A1152" s="7" t="s">
        <v>1021</v>
      </c>
      <c r="B1152" s="7"/>
      <c r="C1152" s="7"/>
      <c r="D1152" s="7" t="s">
        <v>1</v>
      </c>
      <c r="E1152" s="7"/>
      <c r="F1152" s="7"/>
      <c r="G1152" s="7"/>
      <c r="H1152" s="7" t="s">
        <v>944</v>
      </c>
      <c r="I1152" s="7"/>
      <c r="J1152" s="7"/>
      <c r="K1152" s="7"/>
      <c r="L1152" s="7"/>
      <c r="M1152" s="7"/>
      <c r="N1152" s="7"/>
      <c r="O1152" s="7"/>
    </row>
    <row r="1153" spans="1:15" ht="12.95" customHeight="1" x14ac:dyDescent="0.2">
      <c r="A1153" s="7" t="s">
        <v>3</v>
      </c>
      <c r="B1153" s="7"/>
      <c r="C1153" s="7"/>
      <c r="D1153" s="7"/>
      <c r="E1153" s="7"/>
      <c r="F1153" s="7">
        <v>125</v>
      </c>
      <c r="G1153" s="7"/>
      <c r="H1153" s="7" t="s">
        <v>4</v>
      </c>
      <c r="I1153" s="7"/>
      <c r="J1153" s="7"/>
      <c r="K1153" s="7"/>
      <c r="L1153" s="7"/>
      <c r="M1153" s="7"/>
      <c r="N1153" s="7"/>
      <c r="O1153" s="7"/>
    </row>
    <row r="1154" spans="1:15" ht="22.5" customHeight="1" x14ac:dyDescent="0.2">
      <c r="A1154" s="1" t="s">
        <v>5</v>
      </c>
      <c r="B1154" s="1" t="s">
        <v>6</v>
      </c>
      <c r="C1154" s="1" t="s">
        <v>7</v>
      </c>
      <c r="D1154" s="1" t="s">
        <v>8</v>
      </c>
      <c r="E1154" s="1" t="s">
        <v>9</v>
      </c>
      <c r="F1154" s="1" t="s">
        <v>10</v>
      </c>
      <c r="G1154" s="1" t="s">
        <v>11</v>
      </c>
      <c r="H1154" s="1" t="s">
        <v>12</v>
      </c>
      <c r="I1154" s="1" t="s">
        <v>13</v>
      </c>
      <c r="J1154" s="1" t="s">
        <v>14</v>
      </c>
      <c r="K1154" s="1" t="s">
        <v>16</v>
      </c>
      <c r="L1154" s="1" t="s">
        <v>17</v>
      </c>
      <c r="M1154" s="1" t="s">
        <v>18</v>
      </c>
      <c r="N1154" s="1" t="s">
        <v>19</v>
      </c>
      <c r="O1154" s="109" t="s">
        <v>1716</v>
      </c>
    </row>
    <row r="1155" spans="1:15" ht="12.95" customHeight="1" x14ac:dyDescent="0.2">
      <c r="A1155" s="2" t="s">
        <v>21</v>
      </c>
      <c r="B1155" s="2" t="s">
        <v>22</v>
      </c>
      <c r="C1155" s="2"/>
      <c r="D1155" s="2"/>
      <c r="E1155" s="3"/>
      <c r="F1155" s="2"/>
      <c r="G1155" s="2"/>
      <c r="H1155" s="2"/>
      <c r="I1155" s="13"/>
      <c r="J1155" s="2"/>
      <c r="K1155" s="2"/>
      <c r="L1155" s="2"/>
      <c r="M1155" s="2" t="s">
        <v>214</v>
      </c>
      <c r="N1155" s="2" t="s">
        <v>25</v>
      </c>
      <c r="O1155" s="2"/>
    </row>
    <row r="1156" spans="1:15" ht="12.95" customHeight="1" x14ac:dyDescent="0.2">
      <c r="A1156" s="2" t="s">
        <v>26</v>
      </c>
      <c r="B1156" s="2" t="s">
        <v>27</v>
      </c>
      <c r="C1156" s="2"/>
      <c r="D1156" s="2"/>
      <c r="E1156" s="3"/>
      <c r="F1156" s="2"/>
      <c r="G1156" s="2"/>
      <c r="H1156" s="2"/>
      <c r="I1156" s="13"/>
      <c r="J1156" s="2"/>
      <c r="K1156" s="2"/>
      <c r="L1156" s="2"/>
      <c r="M1156" s="2" t="s">
        <v>214</v>
      </c>
      <c r="N1156" s="2" t="s">
        <v>29</v>
      </c>
      <c r="O1156" s="2"/>
    </row>
    <row r="1157" spans="1:15" ht="12.95" customHeight="1" x14ac:dyDescent="0.2">
      <c r="A1157" s="4" t="s">
        <v>30</v>
      </c>
      <c r="B1157" s="4" t="s">
        <v>31</v>
      </c>
      <c r="C1157" s="4"/>
      <c r="D1157" s="4"/>
      <c r="E1157" s="3"/>
      <c r="F1157" s="4"/>
      <c r="G1157" s="4"/>
      <c r="H1157" s="4"/>
      <c r="I1157" s="35"/>
      <c r="J1157" s="4"/>
      <c r="K1157" s="4"/>
      <c r="L1157" s="4"/>
      <c r="M1157" s="4" t="s">
        <v>214</v>
      </c>
      <c r="N1157" s="4"/>
      <c r="O1157" s="4"/>
    </row>
    <row r="1158" spans="1:15" ht="12.95" customHeight="1" x14ac:dyDescent="0.2">
      <c r="A1158" s="4" t="s">
        <v>32</v>
      </c>
      <c r="B1158" s="4" t="s">
        <v>31</v>
      </c>
      <c r="C1158" s="4"/>
      <c r="D1158" s="4"/>
      <c r="E1158" s="3"/>
      <c r="F1158" s="4"/>
      <c r="G1158" s="4"/>
      <c r="H1158" s="4"/>
      <c r="I1158" s="35"/>
      <c r="J1158" s="4"/>
      <c r="K1158" s="4"/>
      <c r="L1158" s="4"/>
      <c r="M1158" s="4" t="s">
        <v>214</v>
      </c>
      <c r="N1158" s="4"/>
      <c r="O1158" s="4"/>
    </row>
    <row r="1159" spans="1:15" x14ac:dyDescent="0.2">
      <c r="A1159" s="4" t="s">
        <v>33</v>
      </c>
      <c r="B1159" s="4" t="s">
        <v>34</v>
      </c>
      <c r="C1159" s="4" t="s">
        <v>34</v>
      </c>
      <c r="D1159" s="4" t="s">
        <v>34</v>
      </c>
      <c r="E1159" s="4"/>
      <c r="F1159" s="4"/>
      <c r="G1159" s="4"/>
      <c r="H1159" s="4"/>
      <c r="I1159" s="35"/>
      <c r="J1159" s="4"/>
      <c r="K1159" s="4"/>
      <c r="L1159" s="4"/>
      <c r="M1159" s="4"/>
      <c r="N1159" s="4"/>
      <c r="O1159" s="4"/>
    </row>
    <row r="1160" spans="1:15" ht="12.95" customHeight="1" x14ac:dyDescent="0.2">
      <c r="A1160" s="2" t="s">
        <v>35</v>
      </c>
      <c r="B1160" s="2" t="s">
        <v>36</v>
      </c>
      <c r="C1160" s="2"/>
      <c r="D1160" s="2"/>
      <c r="E1160" s="3"/>
      <c r="F1160" s="2"/>
      <c r="G1160" s="2"/>
      <c r="H1160" s="2"/>
      <c r="I1160" s="13"/>
      <c r="J1160" s="2"/>
      <c r="K1160" s="2"/>
      <c r="L1160" s="2"/>
      <c r="M1160" s="2" t="s">
        <v>214</v>
      </c>
      <c r="N1160" s="2"/>
      <c r="O1160" s="2"/>
    </row>
    <row r="1161" spans="1:15" ht="12.95" customHeight="1" x14ac:dyDescent="0.2">
      <c r="A1161" s="2" t="s">
        <v>38</v>
      </c>
      <c r="B1161" s="2" t="s">
        <v>36</v>
      </c>
      <c r="C1161" s="2"/>
      <c r="D1161" s="2"/>
      <c r="E1161" s="3"/>
      <c r="F1161" s="2"/>
      <c r="G1161" s="2"/>
      <c r="H1161" s="2"/>
      <c r="I1161" s="13"/>
      <c r="J1161" s="2"/>
      <c r="K1161" s="2"/>
      <c r="L1161" s="2"/>
      <c r="M1161" s="2" t="s">
        <v>214</v>
      </c>
      <c r="N1161" s="2"/>
      <c r="O1161" s="2"/>
    </row>
    <row r="1162" spans="1:15" ht="12.95" customHeight="1" x14ac:dyDescent="0.2">
      <c r="A1162" s="2" t="s">
        <v>39</v>
      </c>
      <c r="B1162" s="2" t="s">
        <v>22</v>
      </c>
      <c r="C1162" s="2"/>
      <c r="D1162" s="2"/>
      <c r="E1162" s="3"/>
      <c r="F1162" s="2"/>
      <c r="G1162" s="2"/>
      <c r="H1162" s="2"/>
      <c r="I1162" s="13"/>
      <c r="J1162" s="2"/>
      <c r="K1162" s="2"/>
      <c r="L1162" s="2"/>
      <c r="M1162" s="2" t="s">
        <v>214</v>
      </c>
      <c r="N1162" s="2" t="s">
        <v>25</v>
      </c>
      <c r="O1162" s="2"/>
    </row>
    <row r="1163" spans="1:15" ht="12.95" customHeight="1" x14ac:dyDescent="0.2">
      <c r="A1163" s="2" t="s">
        <v>40</v>
      </c>
      <c r="B1163" s="2" t="s">
        <v>27</v>
      </c>
      <c r="C1163" s="2"/>
      <c r="D1163" s="2"/>
      <c r="E1163" s="3"/>
      <c r="F1163" s="2"/>
      <c r="G1163" s="2"/>
      <c r="H1163" s="2"/>
      <c r="I1163" s="13"/>
      <c r="J1163" s="2"/>
      <c r="K1163" s="2"/>
      <c r="L1163" s="2"/>
      <c r="M1163" s="2" t="s">
        <v>214</v>
      </c>
      <c r="N1163" s="2" t="s">
        <v>25</v>
      </c>
      <c r="O1163" s="2"/>
    </row>
    <row r="1164" spans="1:15" ht="12.95" customHeight="1" x14ac:dyDescent="0.2">
      <c r="A1164" s="2" t="s">
        <v>41</v>
      </c>
      <c r="B1164" s="2" t="s">
        <v>42</v>
      </c>
      <c r="C1164" s="2"/>
      <c r="D1164" s="2"/>
      <c r="E1164" s="3"/>
      <c r="F1164" s="2"/>
      <c r="G1164" s="2"/>
      <c r="H1164" s="2"/>
      <c r="I1164" s="13"/>
      <c r="J1164" s="2"/>
      <c r="K1164" s="2"/>
      <c r="L1164" s="2"/>
      <c r="M1164" s="2" t="s">
        <v>214</v>
      </c>
      <c r="N1164" s="2"/>
      <c r="O1164" s="2"/>
    </row>
    <row r="1165" spans="1:15" ht="12.95" customHeight="1" x14ac:dyDescent="0.2">
      <c r="A1165" s="4" t="s">
        <v>51</v>
      </c>
      <c r="B1165" s="4" t="s">
        <v>31</v>
      </c>
      <c r="C1165" s="4"/>
      <c r="D1165" s="4"/>
      <c r="E1165" s="3"/>
      <c r="F1165" s="4"/>
      <c r="G1165" s="4"/>
      <c r="H1165" s="4"/>
      <c r="I1165" s="35"/>
      <c r="J1165" s="4"/>
      <c r="K1165" s="4"/>
      <c r="L1165" s="4"/>
      <c r="M1165" s="4" t="s">
        <v>214</v>
      </c>
      <c r="N1165" s="4"/>
      <c r="O1165" s="4"/>
    </row>
    <row r="1166" spans="1:15" ht="12.95" customHeight="1" x14ac:dyDescent="0.2">
      <c r="A1166" s="4" t="s">
        <v>52</v>
      </c>
      <c r="B1166" s="4" t="s">
        <v>31</v>
      </c>
      <c r="C1166" s="4"/>
      <c r="D1166" s="4"/>
      <c r="E1166" s="3"/>
      <c r="F1166" s="4"/>
      <c r="G1166" s="4"/>
      <c r="H1166" s="4"/>
      <c r="I1166" s="35"/>
      <c r="J1166" s="4"/>
      <c r="K1166" s="4"/>
      <c r="L1166" s="4"/>
      <c r="M1166" s="4" t="s">
        <v>214</v>
      </c>
      <c r="N1166" s="4"/>
      <c r="O1166" s="4"/>
    </row>
    <row r="1167" spans="1:15" x14ac:dyDescent="0.2">
      <c r="A1167" s="4" t="s">
        <v>33</v>
      </c>
      <c r="B1167" s="4" t="s">
        <v>34</v>
      </c>
      <c r="C1167" s="4" t="s">
        <v>34</v>
      </c>
      <c r="D1167" s="4" t="s">
        <v>34</v>
      </c>
      <c r="E1167" s="4"/>
      <c r="F1167" s="4"/>
      <c r="G1167" s="4"/>
      <c r="H1167" s="4"/>
      <c r="I1167" s="35"/>
      <c r="J1167" s="4"/>
      <c r="K1167" s="4"/>
      <c r="L1167" s="4"/>
      <c r="M1167" s="4"/>
      <c r="N1167" s="4"/>
      <c r="O1167" s="4"/>
    </row>
    <row r="1168" spans="1:15" ht="12.95" customHeight="1" x14ac:dyDescent="0.2">
      <c r="A1168" s="2" t="s">
        <v>54</v>
      </c>
      <c r="B1168" s="2" t="s">
        <v>42</v>
      </c>
      <c r="C1168" s="2"/>
      <c r="D1168" s="2"/>
      <c r="E1168" s="3"/>
      <c r="F1168" s="2"/>
      <c r="G1168" s="2"/>
      <c r="H1168" s="2"/>
      <c r="I1168" s="13"/>
      <c r="J1168" s="2"/>
      <c r="K1168" s="2"/>
      <c r="L1168" s="2"/>
      <c r="M1168" s="2" t="s">
        <v>214</v>
      </c>
      <c r="N1168" s="2"/>
      <c r="O1168" s="2"/>
    </row>
    <row r="1169" spans="1:15" ht="12.95" customHeight="1" x14ac:dyDescent="0.2">
      <c r="A1169" s="2" t="s">
        <v>61</v>
      </c>
      <c r="B1169" s="2" t="s">
        <v>42</v>
      </c>
      <c r="C1169" s="2"/>
      <c r="D1169" s="2"/>
      <c r="E1169" s="3"/>
      <c r="F1169" s="2"/>
      <c r="G1169" s="2"/>
      <c r="H1169" s="2"/>
      <c r="I1169" s="13"/>
      <c r="J1169" s="2"/>
      <c r="K1169" s="2"/>
      <c r="L1169" s="2"/>
      <c r="M1169" s="2" t="s">
        <v>214</v>
      </c>
      <c r="N1169" s="2"/>
      <c r="O1169" s="2"/>
    </row>
    <row r="1170" spans="1:15" ht="12.95" customHeight="1" x14ac:dyDescent="0.2">
      <c r="A1170" s="153" t="s">
        <v>68</v>
      </c>
      <c r="B1170" s="153" t="s">
        <v>42</v>
      </c>
      <c r="C1170" s="153" t="s">
        <v>116</v>
      </c>
      <c r="D1170" s="153" t="s">
        <v>1022</v>
      </c>
      <c r="E1170" s="152" t="s">
        <v>820</v>
      </c>
      <c r="F1170" s="153" t="s">
        <v>46</v>
      </c>
      <c r="G1170" s="153" t="s">
        <v>714</v>
      </c>
      <c r="H1170" s="153"/>
      <c r="I1170" s="153"/>
      <c r="J1170" s="153" t="s">
        <v>714</v>
      </c>
      <c r="K1170" s="153"/>
      <c r="L1170" s="153" t="s">
        <v>121</v>
      </c>
      <c r="M1170" s="153" t="s">
        <v>214</v>
      </c>
      <c r="N1170" s="153"/>
      <c r="O1170" s="153"/>
    </row>
    <row r="1171" spans="1:15" ht="12.95" customHeight="1" x14ac:dyDescent="0.2">
      <c r="A1171" s="153" t="s">
        <v>75</v>
      </c>
      <c r="B1171" s="153" t="s">
        <v>42</v>
      </c>
      <c r="C1171" s="153" t="s">
        <v>721</v>
      </c>
      <c r="D1171" s="153" t="s">
        <v>1023</v>
      </c>
      <c r="E1171" s="152" t="s">
        <v>878</v>
      </c>
      <c r="F1171" s="153" t="s">
        <v>46</v>
      </c>
      <c r="G1171" s="153" t="s">
        <v>210</v>
      </c>
      <c r="H1171" s="153"/>
      <c r="I1171" s="153"/>
      <c r="J1171" s="153" t="s">
        <v>210</v>
      </c>
      <c r="K1171" s="153"/>
      <c r="L1171" s="153" t="s">
        <v>85</v>
      </c>
      <c r="M1171" s="153" t="s">
        <v>214</v>
      </c>
      <c r="N1171" s="153" t="s">
        <v>1024</v>
      </c>
      <c r="O1171" s="153"/>
    </row>
    <row r="1172" spans="1:15" ht="12.95" customHeight="1" x14ac:dyDescent="0.2">
      <c r="A1172" s="153" t="s">
        <v>81</v>
      </c>
      <c r="B1172" s="153" t="s">
        <v>42</v>
      </c>
      <c r="C1172" s="153" t="s">
        <v>418</v>
      </c>
      <c r="D1172" s="153" t="s">
        <v>1025</v>
      </c>
      <c r="E1172" s="152" t="s">
        <v>885</v>
      </c>
      <c r="F1172" s="153"/>
      <c r="G1172" s="153" t="s">
        <v>885</v>
      </c>
      <c r="H1172" s="153"/>
      <c r="I1172" s="153"/>
      <c r="J1172" s="153" t="s">
        <v>885</v>
      </c>
      <c r="K1172" s="153"/>
      <c r="L1172" s="153" t="s">
        <v>308</v>
      </c>
      <c r="M1172" s="153" t="s">
        <v>214</v>
      </c>
      <c r="N1172" s="153" t="s">
        <v>1024</v>
      </c>
      <c r="O1172" s="153"/>
    </row>
    <row r="1173" spans="1:15" ht="12.95" customHeight="1" x14ac:dyDescent="0.2">
      <c r="A1173" s="4" t="s">
        <v>87</v>
      </c>
      <c r="B1173" s="4" t="s">
        <v>31</v>
      </c>
      <c r="C1173" s="4"/>
      <c r="D1173" s="4"/>
      <c r="E1173" s="3"/>
      <c r="F1173" s="4"/>
      <c r="G1173" s="4"/>
      <c r="H1173" s="4"/>
      <c r="I1173" s="35"/>
      <c r="J1173" s="4"/>
      <c r="K1173" s="4"/>
      <c r="L1173" s="4"/>
      <c r="M1173" s="4" t="s">
        <v>214</v>
      </c>
      <c r="N1173" s="4"/>
      <c r="O1173" s="4"/>
    </row>
    <row r="1174" spans="1:15" ht="12.95" customHeight="1" x14ac:dyDescent="0.2">
      <c r="A1174" s="4" t="s">
        <v>88</v>
      </c>
      <c r="B1174" s="4" t="s">
        <v>31</v>
      </c>
      <c r="C1174" s="4"/>
      <c r="D1174" s="4"/>
      <c r="E1174" s="3"/>
      <c r="F1174" s="4"/>
      <c r="G1174" s="4"/>
      <c r="H1174" s="4"/>
      <c r="I1174" s="35"/>
      <c r="J1174" s="4"/>
      <c r="K1174" s="4"/>
      <c r="L1174" s="4"/>
      <c r="M1174" s="4" t="s">
        <v>214</v>
      </c>
      <c r="N1174" s="4"/>
      <c r="O1174" s="4"/>
    </row>
    <row r="1175" spans="1:15" x14ac:dyDescent="0.2">
      <c r="A1175" s="4" t="s">
        <v>33</v>
      </c>
      <c r="B1175" s="4" t="s">
        <v>34</v>
      </c>
      <c r="C1175" s="4" t="s">
        <v>34</v>
      </c>
      <c r="D1175" s="4" t="s">
        <v>34</v>
      </c>
      <c r="E1175" s="4" t="s">
        <v>1026</v>
      </c>
      <c r="F1175" s="4" t="s">
        <v>95</v>
      </c>
      <c r="G1175" s="4" t="s">
        <v>1027</v>
      </c>
      <c r="H1175" s="4"/>
      <c r="I1175" s="35"/>
      <c r="J1175" s="4" t="s">
        <v>1027</v>
      </c>
      <c r="K1175" s="4"/>
      <c r="L1175" s="4" t="s">
        <v>1028</v>
      </c>
      <c r="M1175" s="4"/>
      <c r="N1175" s="4"/>
      <c r="O1175" s="4"/>
    </row>
    <row r="1176" spans="1:15" ht="12.95" customHeight="1" x14ac:dyDescent="0.2">
      <c r="A1176" s="2" t="s">
        <v>97</v>
      </c>
      <c r="B1176" s="2" t="s">
        <v>42</v>
      </c>
      <c r="C1176" s="2"/>
      <c r="D1176" s="2"/>
      <c r="E1176" s="3"/>
      <c r="F1176" s="2"/>
      <c r="G1176" s="2"/>
      <c r="H1176" s="2"/>
      <c r="I1176" s="13"/>
      <c r="J1176" s="2"/>
      <c r="K1176" s="2"/>
      <c r="L1176" s="2"/>
      <c r="M1176" s="2" t="s">
        <v>214</v>
      </c>
      <c r="N1176" s="2"/>
      <c r="O1176" s="2"/>
    </row>
    <row r="1177" spans="1:15" ht="12.95" customHeight="1" x14ac:dyDescent="0.2">
      <c r="A1177" s="2" t="s">
        <v>104</v>
      </c>
      <c r="B1177" s="2" t="s">
        <v>42</v>
      </c>
      <c r="C1177" s="2"/>
      <c r="D1177" s="2"/>
      <c r="E1177" s="3"/>
      <c r="F1177" s="2"/>
      <c r="G1177" s="2"/>
      <c r="H1177" s="2"/>
      <c r="I1177" s="13"/>
      <c r="J1177" s="2"/>
      <c r="K1177" s="2"/>
      <c r="L1177" s="2"/>
      <c r="M1177" s="2" t="s">
        <v>214</v>
      </c>
      <c r="N1177" s="2"/>
      <c r="O1177" s="2"/>
    </row>
    <row r="1178" spans="1:15" ht="12.95" customHeight="1" x14ac:dyDescent="0.2">
      <c r="A1178" s="2" t="s">
        <v>112</v>
      </c>
      <c r="B1178" s="2" t="s">
        <v>22</v>
      </c>
      <c r="C1178" s="2"/>
      <c r="D1178" s="2"/>
      <c r="E1178" s="3"/>
      <c r="F1178" s="2"/>
      <c r="G1178" s="2"/>
      <c r="H1178" s="2"/>
      <c r="I1178" s="13"/>
      <c r="J1178" s="2"/>
      <c r="K1178" s="2"/>
      <c r="L1178" s="2"/>
      <c r="M1178" s="2" t="s">
        <v>214</v>
      </c>
      <c r="N1178" s="2" t="s">
        <v>111</v>
      </c>
      <c r="O1178" s="2"/>
    </row>
    <row r="1179" spans="1:15" ht="12.95" customHeight="1" x14ac:dyDescent="0.2">
      <c r="A1179" s="2" t="s">
        <v>114</v>
      </c>
      <c r="B1179" s="2" t="s">
        <v>27</v>
      </c>
      <c r="C1179" s="2"/>
      <c r="D1179" s="2"/>
      <c r="E1179" s="3"/>
      <c r="F1179" s="2"/>
      <c r="G1179" s="2"/>
      <c r="H1179" s="2"/>
      <c r="I1179" s="13"/>
      <c r="J1179" s="2"/>
      <c r="K1179" s="2"/>
      <c r="L1179" s="2"/>
      <c r="M1179" s="2" t="s">
        <v>214</v>
      </c>
      <c r="N1179" s="2" t="s">
        <v>111</v>
      </c>
      <c r="O1179" s="2"/>
    </row>
    <row r="1180" spans="1:15" ht="12.95" customHeight="1" x14ac:dyDescent="0.2">
      <c r="A1180" s="2" t="s">
        <v>115</v>
      </c>
      <c r="B1180" s="2" t="s">
        <v>42</v>
      </c>
      <c r="C1180" s="2"/>
      <c r="D1180" s="2"/>
      <c r="E1180" s="3"/>
      <c r="F1180" s="2"/>
      <c r="G1180" s="2"/>
      <c r="H1180" s="2"/>
      <c r="I1180" s="13"/>
      <c r="J1180" s="2"/>
      <c r="K1180" s="2"/>
      <c r="L1180" s="2"/>
      <c r="M1180" s="2" t="s">
        <v>214</v>
      </c>
      <c r="N1180" s="2"/>
      <c r="O1180" s="2"/>
    </row>
    <row r="1181" spans="1:15" ht="12.95" customHeight="1" x14ac:dyDescent="0.2">
      <c r="A1181" s="4" t="s">
        <v>122</v>
      </c>
      <c r="B1181" s="4" t="s">
        <v>31</v>
      </c>
      <c r="C1181" s="4"/>
      <c r="D1181" s="4"/>
      <c r="E1181" s="3"/>
      <c r="F1181" s="4"/>
      <c r="G1181" s="4"/>
      <c r="H1181" s="4"/>
      <c r="I1181" s="35"/>
      <c r="J1181" s="4"/>
      <c r="K1181" s="4"/>
      <c r="L1181" s="4"/>
      <c r="M1181" s="4" t="s">
        <v>214</v>
      </c>
      <c r="N1181" s="4"/>
      <c r="O1181" s="4"/>
    </row>
    <row r="1182" spans="1:15" ht="12.95" customHeight="1" x14ac:dyDescent="0.2">
      <c r="A1182" s="4" t="s">
        <v>123</v>
      </c>
      <c r="B1182" s="4" t="s">
        <v>31</v>
      </c>
      <c r="C1182" s="4"/>
      <c r="D1182" s="4"/>
      <c r="E1182" s="3"/>
      <c r="F1182" s="4"/>
      <c r="G1182" s="4"/>
      <c r="H1182" s="4"/>
      <c r="I1182" s="35"/>
      <c r="J1182" s="4"/>
      <c r="K1182" s="4"/>
      <c r="L1182" s="4"/>
      <c r="M1182" s="4" t="s">
        <v>214</v>
      </c>
      <c r="N1182" s="4"/>
      <c r="O1182" s="4"/>
    </row>
    <row r="1183" spans="1:15" x14ac:dyDescent="0.2">
      <c r="A1183" s="4" t="s">
        <v>33</v>
      </c>
      <c r="B1183" s="4" t="s">
        <v>34</v>
      </c>
      <c r="C1183" s="4" t="s">
        <v>34</v>
      </c>
      <c r="D1183" s="4" t="s">
        <v>34</v>
      </c>
      <c r="E1183" s="4"/>
      <c r="F1183" s="4"/>
      <c r="G1183" s="4"/>
      <c r="H1183" s="4"/>
      <c r="I1183" s="35"/>
      <c r="J1183" s="4"/>
      <c r="K1183" s="4"/>
      <c r="L1183" s="4"/>
      <c r="M1183" s="4"/>
      <c r="N1183" s="4"/>
      <c r="O1183" s="4"/>
    </row>
    <row r="1184" spans="1:15" ht="12.95" customHeight="1" x14ac:dyDescent="0.2">
      <c r="A1184" s="153" t="s">
        <v>131</v>
      </c>
      <c r="B1184" s="153" t="s">
        <v>42</v>
      </c>
      <c r="C1184" s="153" t="s">
        <v>1000</v>
      </c>
      <c r="D1184" s="153" t="s">
        <v>1029</v>
      </c>
      <c r="E1184" s="152" t="s">
        <v>106</v>
      </c>
      <c r="F1184" s="153" t="s">
        <v>46</v>
      </c>
      <c r="G1184" s="153" t="s">
        <v>107</v>
      </c>
      <c r="H1184" s="153"/>
      <c r="I1184" s="153"/>
      <c r="J1184" s="153" t="s">
        <v>107</v>
      </c>
      <c r="K1184" s="153"/>
      <c r="L1184" s="153" t="s">
        <v>634</v>
      </c>
      <c r="M1184" s="153" t="s">
        <v>214</v>
      </c>
      <c r="N1184" s="153" t="s">
        <v>1024</v>
      </c>
      <c r="O1184" s="153"/>
    </row>
    <row r="1185" spans="1:15" ht="12.95" customHeight="1" x14ac:dyDescent="0.2">
      <c r="A1185" s="153" t="s">
        <v>138</v>
      </c>
      <c r="B1185" s="153" t="s">
        <v>42</v>
      </c>
      <c r="C1185" s="153" t="s">
        <v>116</v>
      </c>
      <c r="D1185" s="153" t="s">
        <v>1030</v>
      </c>
      <c r="E1185" s="152" t="s">
        <v>672</v>
      </c>
      <c r="F1185" s="153" t="s">
        <v>46</v>
      </c>
      <c r="G1185" s="153" t="s">
        <v>1031</v>
      </c>
      <c r="H1185" s="153"/>
      <c r="I1185" s="153"/>
      <c r="J1185" s="153" t="s">
        <v>1031</v>
      </c>
      <c r="K1185" s="153"/>
      <c r="L1185" s="153" t="s">
        <v>121</v>
      </c>
      <c r="M1185" s="153" t="s">
        <v>214</v>
      </c>
      <c r="N1185" s="153"/>
      <c r="O1185" s="153"/>
    </row>
    <row r="1186" spans="1:15" ht="12.95" customHeight="1" x14ac:dyDescent="0.2">
      <c r="A1186" s="153" t="s">
        <v>143</v>
      </c>
      <c r="B1186" s="153" t="s">
        <v>42</v>
      </c>
      <c r="C1186" s="153" t="s">
        <v>98</v>
      </c>
      <c r="D1186" s="153" t="s">
        <v>1032</v>
      </c>
      <c r="E1186" s="152" t="s">
        <v>593</v>
      </c>
      <c r="F1186" s="153" t="s">
        <v>46</v>
      </c>
      <c r="G1186" s="153" t="s">
        <v>448</v>
      </c>
      <c r="H1186" s="153"/>
      <c r="I1186" s="153"/>
      <c r="J1186" s="153" t="s">
        <v>448</v>
      </c>
      <c r="K1186" s="153"/>
      <c r="L1186" s="153" t="s">
        <v>103</v>
      </c>
      <c r="M1186" s="153" t="s">
        <v>214</v>
      </c>
      <c r="N1186" s="153"/>
      <c r="O1186" s="153"/>
    </row>
    <row r="1187" spans="1:15" ht="12.95" customHeight="1" x14ac:dyDescent="0.2">
      <c r="A1187" s="2" t="s">
        <v>148</v>
      </c>
      <c r="B1187" s="2" t="s">
        <v>42</v>
      </c>
      <c r="C1187" s="2" t="s">
        <v>983</v>
      </c>
      <c r="D1187" s="2" t="s">
        <v>537</v>
      </c>
      <c r="E1187" s="3" t="s">
        <v>55</v>
      </c>
      <c r="F1187" s="2" t="s">
        <v>46</v>
      </c>
      <c r="G1187" s="2" t="s">
        <v>486</v>
      </c>
      <c r="H1187" s="2" t="s">
        <v>48</v>
      </c>
      <c r="I1187" s="13" t="s">
        <v>642</v>
      </c>
      <c r="J1187" s="2" t="s">
        <v>486</v>
      </c>
      <c r="K1187" s="2"/>
      <c r="L1187" s="2" t="s">
        <v>319</v>
      </c>
      <c r="M1187" s="2"/>
      <c r="N1187" s="2" t="s">
        <v>1024</v>
      </c>
      <c r="O1187" s="2"/>
    </row>
    <row r="1188" spans="1:15" ht="12.95" customHeight="1" x14ac:dyDescent="0.2">
      <c r="A1188" s="2" t="s">
        <v>155</v>
      </c>
      <c r="B1188" s="2" t="s">
        <v>42</v>
      </c>
      <c r="C1188" s="2" t="s">
        <v>810</v>
      </c>
      <c r="D1188" s="2" t="s">
        <v>894</v>
      </c>
      <c r="E1188" s="3" t="s">
        <v>680</v>
      </c>
      <c r="F1188" s="2" t="s">
        <v>46</v>
      </c>
      <c r="G1188" s="2" t="s">
        <v>592</v>
      </c>
      <c r="H1188" s="2" t="s">
        <v>48</v>
      </c>
      <c r="I1188" s="13" t="s">
        <v>369</v>
      </c>
      <c r="J1188" s="2" t="s">
        <v>592</v>
      </c>
      <c r="K1188" s="2"/>
      <c r="L1188" s="2" t="s">
        <v>95</v>
      </c>
      <c r="M1188" s="2"/>
      <c r="N1188" s="2"/>
      <c r="O1188" s="2"/>
    </row>
    <row r="1189" spans="1:15" ht="12.95" customHeight="1" x14ac:dyDescent="0.2">
      <c r="A1189" s="8" t="s">
        <v>161</v>
      </c>
      <c r="B1189" s="8"/>
      <c r="C1189" s="8"/>
      <c r="D1189" s="8"/>
      <c r="E1189" s="5" t="s">
        <v>1033</v>
      </c>
      <c r="F1189" s="5" t="s">
        <v>356</v>
      </c>
      <c r="G1189" s="5" t="s">
        <v>1034</v>
      </c>
      <c r="H1189" s="5" t="s">
        <v>63</v>
      </c>
      <c r="I1189" s="36" t="s">
        <v>610</v>
      </c>
      <c r="J1189" s="5" t="s">
        <v>1034</v>
      </c>
      <c r="K1189" s="5" t="s">
        <v>296</v>
      </c>
      <c r="L1189" s="5" t="s">
        <v>1035</v>
      </c>
      <c r="M1189" s="5"/>
      <c r="N1189" s="5"/>
      <c r="O1189" s="5"/>
    </row>
    <row r="1190" spans="1:15" ht="12.95" customHeight="1" x14ac:dyDescent="0.2">
      <c r="A1190" s="8" t="s">
        <v>171</v>
      </c>
      <c r="B1190" s="8"/>
      <c r="C1190" s="8"/>
      <c r="D1190" s="8"/>
      <c r="E1190" s="5" t="s">
        <v>1033</v>
      </c>
      <c r="F1190" s="5" t="s">
        <v>356</v>
      </c>
      <c r="G1190" s="5" t="s">
        <v>1034</v>
      </c>
      <c r="H1190" s="5" t="s">
        <v>63</v>
      </c>
      <c r="I1190" s="36" t="s">
        <v>296</v>
      </c>
      <c r="J1190" s="5" t="s">
        <v>1034</v>
      </c>
      <c r="K1190" s="5" t="s">
        <v>296</v>
      </c>
      <c r="L1190" s="5" t="s">
        <v>1035</v>
      </c>
      <c r="M1190" s="5"/>
      <c r="N1190" s="5"/>
      <c r="O1190" s="5"/>
    </row>
    <row r="1191" spans="1:15" ht="12.95" customHeight="1" x14ac:dyDescent="0.2">
      <c r="A1191" s="8" t="s">
        <v>173</v>
      </c>
      <c r="B1191" s="8"/>
      <c r="C1191" s="8"/>
      <c r="D1191" s="8"/>
      <c r="E1191" s="5">
        <v>58.58</v>
      </c>
      <c r="F1191" s="5">
        <v>3.5</v>
      </c>
      <c r="G1191" s="5">
        <v>55.08</v>
      </c>
      <c r="H1191" s="5">
        <v>16.8</v>
      </c>
      <c r="I1191" s="36">
        <v>0</v>
      </c>
      <c r="J1191" s="5">
        <v>55.08</v>
      </c>
      <c r="K1191" s="5">
        <v>0</v>
      </c>
      <c r="L1191" s="5">
        <v>7.38</v>
      </c>
      <c r="M1191" s="5"/>
      <c r="N1191" s="5"/>
      <c r="O1191" s="5"/>
    </row>
    <row r="1192" spans="1:15" x14ac:dyDescent="0.2">
      <c r="I1192" s="37"/>
    </row>
    <row r="1193" spans="1:15" ht="12.95" customHeight="1" x14ac:dyDescent="0.2">
      <c r="A1193" s="9" t="s">
        <v>174</v>
      </c>
      <c r="B1193" s="9"/>
      <c r="C1193" s="9"/>
      <c r="E1193" s="9" t="s">
        <v>180</v>
      </c>
      <c r="F1193" s="9"/>
      <c r="G1193" s="9"/>
      <c r="I1193" s="9" t="s">
        <v>181</v>
      </c>
      <c r="J1193" s="9"/>
      <c r="K1193" s="9"/>
    </row>
    <row r="1194" spans="1:15" ht="12.95" customHeight="1" x14ac:dyDescent="0.2">
      <c r="A1194" s="10" t="s">
        <v>175</v>
      </c>
      <c r="B1194" s="10"/>
      <c r="C1194" s="6">
        <v>8</v>
      </c>
      <c r="E1194" s="10" t="s">
        <v>14</v>
      </c>
      <c r="F1194" s="10"/>
      <c r="G1194" s="6">
        <v>55.08</v>
      </c>
      <c r="I1194" s="10" t="s">
        <v>265</v>
      </c>
      <c r="J1194" s="10"/>
      <c r="K1194" s="6">
        <v>28</v>
      </c>
    </row>
    <row r="1195" spans="1:15" ht="12.95" customHeight="1" x14ac:dyDescent="0.2">
      <c r="A1195" s="10" t="s">
        <v>1531</v>
      </c>
      <c r="B1195" s="10"/>
      <c r="C1195" s="6">
        <v>22</v>
      </c>
      <c r="I1195" s="39" t="s">
        <v>1591</v>
      </c>
      <c r="J1195" s="19"/>
      <c r="K1195" s="20">
        <v>0</v>
      </c>
    </row>
    <row r="1196" spans="1:15" ht="12.95" customHeight="1" x14ac:dyDescent="0.2">
      <c r="A1196" s="10" t="s">
        <v>176</v>
      </c>
      <c r="B1196" s="10"/>
      <c r="C1196" s="6">
        <v>58.58</v>
      </c>
      <c r="I1196" s="39" t="s">
        <v>1592</v>
      </c>
      <c r="J1196" s="19"/>
      <c r="K1196" s="20">
        <v>0</v>
      </c>
    </row>
    <row r="1197" spans="1:15" ht="12.95" customHeight="1" x14ac:dyDescent="0.25">
      <c r="A1197" s="10" t="s">
        <v>177</v>
      </c>
      <c r="B1197" s="10"/>
      <c r="C1197" s="6">
        <v>16.8</v>
      </c>
      <c r="I1197" s="41" t="s">
        <v>1593</v>
      </c>
      <c r="J1197" s="40"/>
      <c r="K1197" s="42">
        <f>K1195+K1196</f>
        <v>0</v>
      </c>
    </row>
    <row r="1198" spans="1:15" ht="12.95" customHeight="1" x14ac:dyDescent="0.2">
      <c r="A1198" s="10" t="s">
        <v>11</v>
      </c>
      <c r="B1198" s="10"/>
      <c r="C1198" s="6">
        <v>55.08</v>
      </c>
    </row>
    <row r="1199" spans="1:15" ht="12.95" customHeight="1" x14ac:dyDescent="0.2">
      <c r="A1199" s="10" t="s">
        <v>178</v>
      </c>
      <c r="B1199" s="10"/>
      <c r="C1199" s="6">
        <v>2.0099999999999998</v>
      </c>
    </row>
    <row r="1200" spans="1:15" ht="12.95" customHeight="1" x14ac:dyDescent="0.2">
      <c r="A1200" s="10" t="s">
        <v>17</v>
      </c>
      <c r="B1200" s="10"/>
      <c r="C1200" s="6">
        <v>7.38</v>
      </c>
    </row>
    <row r="1201" spans="1:17" ht="12.95" customHeight="1" x14ac:dyDescent="0.2">
      <c r="A1201" s="10" t="s">
        <v>179</v>
      </c>
      <c r="B1201" s="10"/>
      <c r="C1201" s="6">
        <v>0</v>
      </c>
    </row>
    <row r="1202" spans="1:17" x14ac:dyDescent="0.2">
      <c r="A1202" s="10" t="s">
        <v>10</v>
      </c>
      <c r="B1202" s="10"/>
      <c r="C1202" s="6">
        <v>3.5</v>
      </c>
    </row>
    <row r="1203" spans="1:17" ht="15" x14ac:dyDescent="0.25">
      <c r="A1203" s="154" t="s">
        <v>1615</v>
      </c>
      <c r="B1203" s="154"/>
      <c r="C1203" s="154" cm="1">
        <f t="array" ref="C1203">IFERROR(SUMPRODUCT((ISNUMBER(SEARCH("מילואים",M1155:M1192))+ISNUMBER(SEARCH("מילואים",N1155:N1192))&gt;0)*(C1155:C1192&lt;&gt;"")*(J1155:J1192+0))*24,0)</f>
        <v>40.299999999999997</v>
      </c>
    </row>
    <row r="1204" spans="1:17" ht="12.95" customHeight="1" x14ac:dyDescent="0.2">
      <c r="A1204" s="7" t="s">
        <v>1036</v>
      </c>
      <c r="B1204" s="7"/>
      <c r="C1204" s="7"/>
      <c r="D1204" s="7" t="s">
        <v>1</v>
      </c>
      <c r="E1204" s="7"/>
      <c r="F1204" s="7"/>
      <c r="G1204" s="7"/>
      <c r="H1204" s="7" t="s">
        <v>944</v>
      </c>
      <c r="I1204" s="7"/>
      <c r="J1204" s="7"/>
      <c r="K1204" s="7"/>
      <c r="L1204" s="7"/>
      <c r="M1204" s="7"/>
      <c r="N1204" s="7"/>
      <c r="O1204" s="7"/>
      <c r="P1204" s="7"/>
      <c r="Q1204" s="7"/>
    </row>
    <row r="1205" spans="1:17" ht="12.95" customHeight="1" x14ac:dyDescent="0.2">
      <c r="A1205" s="7" t="s">
        <v>3</v>
      </c>
      <c r="B1205" s="7"/>
      <c r="C1205" s="7"/>
      <c r="D1205" s="7"/>
      <c r="E1205" s="7"/>
      <c r="F1205" s="7">
        <v>117</v>
      </c>
      <c r="G1205" s="7"/>
      <c r="H1205" s="7" t="s">
        <v>4</v>
      </c>
      <c r="I1205" s="7"/>
      <c r="J1205" s="7"/>
      <c r="K1205" s="7"/>
      <c r="L1205" s="7"/>
      <c r="M1205" s="7"/>
      <c r="N1205" s="7"/>
      <c r="O1205" s="7"/>
      <c r="P1205" s="7"/>
      <c r="Q1205" s="7"/>
    </row>
    <row r="1206" spans="1:17" ht="22.5" customHeight="1" x14ac:dyDescent="0.2">
      <c r="A1206" s="1" t="s">
        <v>5</v>
      </c>
      <c r="B1206" s="1" t="s">
        <v>6</v>
      </c>
      <c r="C1206" s="1" t="s">
        <v>7</v>
      </c>
      <c r="D1206" s="1" t="s">
        <v>8</v>
      </c>
      <c r="E1206" s="1" t="s">
        <v>9</v>
      </c>
      <c r="F1206" s="1" t="s">
        <v>10</v>
      </c>
      <c r="G1206" s="1" t="s">
        <v>11</v>
      </c>
      <c r="H1206" s="1" t="s">
        <v>12</v>
      </c>
      <c r="I1206" s="1" t="s">
        <v>13</v>
      </c>
      <c r="J1206" s="1" t="s">
        <v>14</v>
      </c>
      <c r="K1206" s="1" t="s">
        <v>15</v>
      </c>
      <c r="L1206" s="1" t="s">
        <v>267</v>
      </c>
      <c r="M1206" s="1" t="s">
        <v>16</v>
      </c>
      <c r="N1206" s="1" t="s">
        <v>17</v>
      </c>
      <c r="O1206" s="108"/>
      <c r="P1206" s="1" t="s">
        <v>19</v>
      </c>
      <c r="Q1206" s="1" t="s">
        <v>20</v>
      </c>
    </row>
    <row r="1207" spans="1:17" ht="12.95" customHeight="1" x14ac:dyDescent="0.2">
      <c r="A1207" s="2" t="s">
        <v>21</v>
      </c>
      <c r="B1207" s="2" t="s">
        <v>22</v>
      </c>
      <c r="C1207" s="2"/>
      <c r="D1207" s="2"/>
      <c r="E1207" s="3"/>
      <c r="F1207" s="2"/>
      <c r="G1207" s="2"/>
      <c r="H1207" s="2" t="s">
        <v>23</v>
      </c>
      <c r="I1207" s="12" t="s">
        <v>23</v>
      </c>
      <c r="J1207" s="2"/>
      <c r="K1207" s="2"/>
      <c r="L1207" s="2"/>
      <c r="M1207" s="2"/>
      <c r="N1207" s="2"/>
      <c r="O1207" s="2" t="s">
        <v>24</v>
      </c>
      <c r="P1207" s="2" t="s">
        <v>25</v>
      </c>
      <c r="Q1207" s="2"/>
    </row>
    <row r="1208" spans="1:17" ht="12.95" customHeight="1" x14ac:dyDescent="0.2">
      <c r="A1208" s="2" t="s">
        <v>26</v>
      </c>
      <c r="B1208" s="2" t="s">
        <v>27</v>
      </c>
      <c r="C1208" s="2"/>
      <c r="D1208" s="2"/>
      <c r="E1208" s="3"/>
      <c r="F1208" s="2"/>
      <c r="G1208" s="2"/>
      <c r="H1208" s="2"/>
      <c r="I1208" s="13"/>
      <c r="J1208" s="2"/>
      <c r="K1208" s="2"/>
      <c r="L1208" s="2"/>
      <c r="M1208" s="2"/>
      <c r="N1208" s="2"/>
      <c r="O1208" s="2" t="s">
        <v>28</v>
      </c>
      <c r="P1208" s="2" t="s">
        <v>29</v>
      </c>
      <c r="Q1208" s="2"/>
    </row>
    <row r="1209" spans="1:17" ht="12.95" customHeight="1" x14ac:dyDescent="0.2">
      <c r="A1209" s="4" t="s">
        <v>30</v>
      </c>
      <c r="B1209" s="4" t="s">
        <v>31</v>
      </c>
      <c r="C1209" s="4"/>
      <c r="D1209" s="4"/>
      <c r="E1209" s="3"/>
      <c r="F1209" s="4"/>
      <c r="G1209" s="4"/>
      <c r="H1209" s="4"/>
      <c r="I1209" s="35"/>
      <c r="J1209" s="4"/>
      <c r="K1209" s="4"/>
      <c r="L1209" s="4"/>
      <c r="M1209" s="4"/>
      <c r="N1209" s="4"/>
      <c r="O1209" s="4"/>
      <c r="P1209" s="4"/>
      <c r="Q1209" s="4"/>
    </row>
    <row r="1210" spans="1:17" ht="12.95" customHeight="1" x14ac:dyDescent="0.2">
      <c r="A1210" s="4" t="s">
        <v>32</v>
      </c>
      <c r="B1210" s="4" t="s">
        <v>31</v>
      </c>
      <c r="C1210" s="4"/>
      <c r="D1210" s="4"/>
      <c r="E1210" s="3"/>
      <c r="F1210" s="4"/>
      <c r="G1210" s="4"/>
      <c r="H1210" s="4"/>
      <c r="I1210" s="35"/>
      <c r="J1210" s="4"/>
      <c r="K1210" s="4"/>
      <c r="L1210" s="4"/>
      <c r="M1210" s="4"/>
      <c r="N1210" s="4"/>
      <c r="O1210" s="4"/>
      <c r="P1210" s="4"/>
      <c r="Q1210" s="4"/>
    </row>
    <row r="1211" spans="1:17" x14ac:dyDescent="0.2">
      <c r="A1211" s="4" t="s">
        <v>33</v>
      </c>
      <c r="B1211" s="4" t="s">
        <v>34</v>
      </c>
      <c r="C1211" s="4" t="s">
        <v>34</v>
      </c>
      <c r="D1211" s="4" t="s">
        <v>34</v>
      </c>
      <c r="E1211" s="4"/>
      <c r="F1211" s="4"/>
      <c r="G1211" s="4"/>
      <c r="H1211" s="4" t="s">
        <v>23</v>
      </c>
      <c r="I1211" s="35" t="s">
        <v>23</v>
      </c>
      <c r="J1211" s="4"/>
      <c r="K1211" s="4"/>
      <c r="L1211" s="4"/>
      <c r="M1211" s="4"/>
      <c r="N1211" s="4"/>
      <c r="O1211" s="4"/>
      <c r="P1211" s="4"/>
      <c r="Q1211" s="4"/>
    </row>
    <row r="1212" spans="1:17" ht="12.95" customHeight="1" x14ac:dyDescent="0.2">
      <c r="A1212" s="2" t="s">
        <v>35</v>
      </c>
      <c r="B1212" s="2" t="s">
        <v>36</v>
      </c>
      <c r="C1212" s="2"/>
      <c r="D1212" s="2"/>
      <c r="E1212" s="3"/>
      <c r="F1212" s="2"/>
      <c r="G1212" s="2"/>
      <c r="H1212" s="2"/>
      <c r="I1212" s="13"/>
      <c r="J1212" s="2"/>
      <c r="K1212" s="2"/>
      <c r="L1212" s="2"/>
      <c r="M1212" s="2"/>
      <c r="N1212" s="2"/>
      <c r="O1212" s="2" t="s">
        <v>37</v>
      </c>
      <c r="P1212" s="2"/>
      <c r="Q1212" s="2"/>
    </row>
    <row r="1213" spans="1:17" ht="12.95" customHeight="1" x14ac:dyDescent="0.2">
      <c r="A1213" s="2" t="s">
        <v>38</v>
      </c>
      <c r="B1213" s="2" t="s">
        <v>36</v>
      </c>
      <c r="C1213" s="2"/>
      <c r="D1213" s="2"/>
      <c r="E1213" s="3"/>
      <c r="F1213" s="2"/>
      <c r="G1213" s="2"/>
      <c r="H1213" s="2"/>
      <c r="I1213" s="13"/>
      <c r="J1213" s="2"/>
      <c r="K1213" s="2"/>
      <c r="L1213" s="2"/>
      <c r="M1213" s="2"/>
      <c r="N1213" s="2"/>
      <c r="O1213" s="2" t="s">
        <v>37</v>
      </c>
      <c r="P1213" s="2"/>
      <c r="Q1213" s="2"/>
    </row>
    <row r="1214" spans="1:17" ht="12.95" customHeight="1" x14ac:dyDescent="0.2">
      <c r="A1214" s="2" t="s">
        <v>39</v>
      </c>
      <c r="B1214" s="2" t="s">
        <v>22</v>
      </c>
      <c r="C1214" s="2"/>
      <c r="D1214" s="2"/>
      <c r="E1214" s="3"/>
      <c r="F1214" s="2"/>
      <c r="G1214" s="2"/>
      <c r="H1214" s="2" t="s">
        <v>23</v>
      </c>
      <c r="I1214" s="12" t="s">
        <v>23</v>
      </c>
      <c r="J1214" s="2"/>
      <c r="K1214" s="2"/>
      <c r="L1214" s="2"/>
      <c r="M1214" s="2"/>
      <c r="N1214" s="2"/>
      <c r="O1214" s="2" t="s">
        <v>24</v>
      </c>
      <c r="P1214" s="2" t="s">
        <v>25</v>
      </c>
      <c r="Q1214" s="2"/>
    </row>
    <row r="1215" spans="1:17" ht="12.95" customHeight="1" x14ac:dyDescent="0.2">
      <c r="A1215" s="2" t="s">
        <v>40</v>
      </c>
      <c r="B1215" s="2" t="s">
        <v>27</v>
      </c>
      <c r="C1215" s="2"/>
      <c r="D1215" s="2"/>
      <c r="E1215" s="3"/>
      <c r="F1215" s="2"/>
      <c r="G1215" s="2"/>
      <c r="H1215" s="2"/>
      <c r="I1215" s="13"/>
      <c r="J1215" s="2"/>
      <c r="K1215" s="2"/>
      <c r="L1215" s="2"/>
      <c r="M1215" s="2"/>
      <c r="N1215" s="2"/>
      <c r="O1215" s="2" t="s">
        <v>28</v>
      </c>
      <c r="P1215" s="2" t="s">
        <v>25</v>
      </c>
      <c r="Q1215" s="2"/>
    </row>
    <row r="1216" spans="1:17" ht="12.95" customHeight="1" x14ac:dyDescent="0.2">
      <c r="A1216" s="2" t="s">
        <v>41</v>
      </c>
      <c r="B1216" s="2" t="s">
        <v>42</v>
      </c>
      <c r="C1216" s="2"/>
      <c r="D1216" s="2"/>
      <c r="E1216" s="3"/>
      <c r="F1216" s="2"/>
      <c r="G1216" s="2"/>
      <c r="H1216" s="2" t="s">
        <v>48</v>
      </c>
      <c r="I1216" s="12" t="s">
        <v>48</v>
      </c>
      <c r="J1216" s="2"/>
      <c r="K1216" s="2"/>
      <c r="L1216" s="2"/>
      <c r="M1216" s="2"/>
      <c r="N1216" s="2"/>
      <c r="O1216" s="2"/>
      <c r="P1216" s="2"/>
      <c r="Q1216" s="2"/>
    </row>
    <row r="1217" spans="1:17" ht="12.95" customHeight="1" x14ac:dyDescent="0.2">
      <c r="A1217" s="4" t="s">
        <v>51</v>
      </c>
      <c r="B1217" s="4" t="s">
        <v>31</v>
      </c>
      <c r="C1217" s="4"/>
      <c r="D1217" s="4"/>
      <c r="E1217" s="3"/>
      <c r="F1217" s="4"/>
      <c r="G1217" s="4"/>
      <c r="H1217" s="4"/>
      <c r="I1217" s="35"/>
      <c r="J1217" s="4"/>
      <c r="K1217" s="4"/>
      <c r="L1217" s="4"/>
      <c r="M1217" s="4"/>
      <c r="N1217" s="4"/>
      <c r="O1217" s="4"/>
      <c r="P1217" s="4"/>
      <c r="Q1217" s="4"/>
    </row>
    <row r="1218" spans="1:17" ht="12.95" customHeight="1" x14ac:dyDescent="0.2">
      <c r="A1218" s="4" t="s">
        <v>52</v>
      </c>
      <c r="B1218" s="4" t="s">
        <v>31</v>
      </c>
      <c r="C1218" s="4"/>
      <c r="D1218" s="4"/>
      <c r="E1218" s="3"/>
      <c r="F1218" s="4"/>
      <c r="G1218" s="4"/>
      <c r="H1218" s="4"/>
      <c r="I1218" s="35"/>
      <c r="J1218" s="4"/>
      <c r="K1218" s="4"/>
      <c r="L1218" s="4"/>
      <c r="M1218" s="4"/>
      <c r="N1218" s="4"/>
      <c r="O1218" s="4"/>
      <c r="P1218" s="4"/>
      <c r="Q1218" s="4"/>
    </row>
    <row r="1219" spans="1:17" x14ac:dyDescent="0.2">
      <c r="A1219" s="4" t="s">
        <v>33</v>
      </c>
      <c r="B1219" s="4" t="s">
        <v>34</v>
      </c>
      <c r="C1219" s="4" t="s">
        <v>34</v>
      </c>
      <c r="D1219" s="4" t="s">
        <v>34</v>
      </c>
      <c r="E1219" s="4"/>
      <c r="F1219" s="4"/>
      <c r="G1219" s="4"/>
      <c r="H1219" s="4" t="s">
        <v>53</v>
      </c>
      <c r="I1219" s="35" t="s">
        <v>53</v>
      </c>
      <c r="J1219" s="4"/>
      <c r="K1219" s="4"/>
      <c r="L1219" s="4"/>
      <c r="M1219" s="4"/>
      <c r="N1219" s="4"/>
      <c r="O1219" s="4"/>
      <c r="P1219" s="4"/>
      <c r="Q1219" s="4"/>
    </row>
    <row r="1220" spans="1:17" ht="12.95" customHeight="1" x14ac:dyDescent="0.2">
      <c r="A1220" s="2" t="s">
        <v>54</v>
      </c>
      <c r="B1220" s="2" t="s">
        <v>42</v>
      </c>
      <c r="C1220" s="2" t="s">
        <v>1037</v>
      </c>
      <c r="D1220" s="2" t="s">
        <v>1038</v>
      </c>
      <c r="E1220" s="3" t="s">
        <v>418</v>
      </c>
      <c r="F1220" s="2" t="s">
        <v>46</v>
      </c>
      <c r="G1220" s="2" t="s">
        <v>1039</v>
      </c>
      <c r="H1220" s="2" t="s">
        <v>48</v>
      </c>
      <c r="I1220" s="13" t="s">
        <v>520</v>
      </c>
      <c r="J1220" s="2" t="s">
        <v>1039</v>
      </c>
      <c r="K1220" s="2"/>
      <c r="L1220" s="2"/>
      <c r="M1220" s="2"/>
      <c r="N1220" s="2" t="s">
        <v>540</v>
      </c>
      <c r="O1220" s="2"/>
      <c r="P1220" s="2" t="s">
        <v>1040</v>
      </c>
      <c r="Q1220" s="2"/>
    </row>
    <row r="1221" spans="1:17" ht="12.95" customHeight="1" x14ac:dyDescent="0.2">
      <c r="A1221" s="2" t="s">
        <v>61</v>
      </c>
      <c r="B1221" s="2" t="s">
        <v>42</v>
      </c>
      <c r="C1221" s="2" t="s">
        <v>918</v>
      </c>
      <c r="D1221" s="2" t="s">
        <v>1041</v>
      </c>
      <c r="E1221" s="3" t="s">
        <v>1042</v>
      </c>
      <c r="F1221" s="2" t="s">
        <v>46</v>
      </c>
      <c r="G1221" s="2" t="s">
        <v>317</v>
      </c>
      <c r="H1221" s="2" t="s">
        <v>48</v>
      </c>
      <c r="I1221" s="13"/>
      <c r="J1221" s="2" t="s">
        <v>48</v>
      </c>
      <c r="K1221" s="2" t="s">
        <v>108</v>
      </c>
      <c r="L1221" s="2"/>
      <c r="M1221" s="2" t="s">
        <v>108</v>
      </c>
      <c r="N1221" s="2"/>
      <c r="O1221" s="2"/>
      <c r="P1221" s="2" t="s">
        <v>1043</v>
      </c>
      <c r="Q1221" s="2"/>
    </row>
    <row r="1222" spans="1:17" ht="12.95" customHeight="1" x14ac:dyDescent="0.2">
      <c r="A1222" s="2" t="s">
        <v>68</v>
      </c>
      <c r="B1222" s="2" t="s">
        <v>42</v>
      </c>
      <c r="C1222" s="2" t="s">
        <v>199</v>
      </c>
      <c r="D1222" s="2" t="s">
        <v>1044</v>
      </c>
      <c r="E1222" s="3" t="s">
        <v>543</v>
      </c>
      <c r="F1222" s="2" t="s">
        <v>46</v>
      </c>
      <c r="G1222" s="2" t="s">
        <v>544</v>
      </c>
      <c r="H1222" s="2" t="s">
        <v>48</v>
      </c>
      <c r="I1222" s="13"/>
      <c r="J1222" s="2" t="s">
        <v>48</v>
      </c>
      <c r="K1222" s="2" t="s">
        <v>397</v>
      </c>
      <c r="L1222" s="2"/>
      <c r="M1222" s="2" t="s">
        <v>397</v>
      </c>
      <c r="N1222" s="2"/>
      <c r="O1222" s="2"/>
      <c r="P1222" s="2" t="s">
        <v>1043</v>
      </c>
      <c r="Q1222" s="2"/>
    </row>
    <row r="1223" spans="1:17" ht="12.95" customHeight="1" x14ac:dyDescent="0.2">
      <c r="A1223" s="2" t="s">
        <v>75</v>
      </c>
      <c r="B1223" s="2" t="s">
        <v>42</v>
      </c>
      <c r="C1223" s="2" t="s">
        <v>410</v>
      </c>
      <c r="D1223" s="2" t="s">
        <v>482</v>
      </c>
      <c r="E1223" s="3" t="s">
        <v>430</v>
      </c>
      <c r="F1223" s="2" t="s">
        <v>46</v>
      </c>
      <c r="G1223" s="2" t="s">
        <v>431</v>
      </c>
      <c r="H1223" s="2" t="s">
        <v>48</v>
      </c>
      <c r="I1223" s="13"/>
      <c r="J1223" s="2" t="s">
        <v>48</v>
      </c>
      <c r="K1223" s="2" t="s">
        <v>272</v>
      </c>
      <c r="L1223" s="2" t="s">
        <v>102</v>
      </c>
      <c r="M1223" s="2" t="s">
        <v>823</v>
      </c>
      <c r="N1223" s="2"/>
      <c r="O1223" s="2"/>
      <c r="P1223" s="2" t="s">
        <v>1043</v>
      </c>
      <c r="Q1223" s="2"/>
    </row>
    <row r="1224" spans="1:17" ht="12.95" customHeight="1" x14ac:dyDescent="0.2">
      <c r="A1224" s="2" t="s">
        <v>81</v>
      </c>
      <c r="B1224" s="2" t="s">
        <v>42</v>
      </c>
      <c r="C1224" s="2" t="s">
        <v>536</v>
      </c>
      <c r="D1224" s="2" t="s">
        <v>1045</v>
      </c>
      <c r="E1224" s="3" t="s">
        <v>1046</v>
      </c>
      <c r="F1224" s="2" t="s">
        <v>46</v>
      </c>
      <c r="G1224" s="2" t="s">
        <v>1047</v>
      </c>
      <c r="H1224" s="2" t="s">
        <v>48</v>
      </c>
      <c r="I1224" s="13"/>
      <c r="J1224" s="2" t="s">
        <v>48</v>
      </c>
      <c r="K1224" s="2" t="s">
        <v>272</v>
      </c>
      <c r="L1224" s="2" t="s">
        <v>1048</v>
      </c>
      <c r="M1224" s="2" t="s">
        <v>1049</v>
      </c>
      <c r="N1224" s="2"/>
      <c r="O1224" s="2"/>
      <c r="P1224" s="2" t="s">
        <v>1043</v>
      </c>
      <c r="Q1224" s="2"/>
    </row>
    <row r="1225" spans="1:17" ht="12.95" customHeight="1" x14ac:dyDescent="0.2">
      <c r="A1225" s="4" t="s">
        <v>87</v>
      </c>
      <c r="B1225" s="4" t="s">
        <v>31</v>
      </c>
      <c r="C1225" s="4"/>
      <c r="D1225" s="4"/>
      <c r="E1225" s="3"/>
      <c r="F1225" s="4"/>
      <c r="G1225" s="4"/>
      <c r="H1225" s="4"/>
      <c r="I1225" s="35"/>
      <c r="J1225" s="4"/>
      <c r="K1225" s="4"/>
      <c r="L1225" s="4"/>
      <c r="M1225" s="4"/>
      <c r="N1225" s="4"/>
      <c r="O1225" s="4"/>
      <c r="P1225" s="4"/>
      <c r="Q1225" s="4"/>
    </row>
    <row r="1226" spans="1:17" ht="12.95" customHeight="1" x14ac:dyDescent="0.2">
      <c r="A1226" s="4" t="s">
        <v>88</v>
      </c>
      <c r="B1226" s="4" t="s">
        <v>31</v>
      </c>
      <c r="C1226" s="4"/>
      <c r="D1226" s="4"/>
      <c r="E1226" s="3"/>
      <c r="F1226" s="4"/>
      <c r="G1226" s="4"/>
      <c r="H1226" s="4"/>
      <c r="I1226" s="35"/>
      <c r="J1226" s="4"/>
      <c r="K1226" s="4"/>
      <c r="L1226" s="4"/>
      <c r="M1226" s="4"/>
      <c r="N1226" s="4"/>
      <c r="O1226" s="4"/>
      <c r="P1226" s="4"/>
      <c r="Q1226" s="4"/>
    </row>
    <row r="1227" spans="1:17" x14ac:dyDescent="0.2">
      <c r="A1227" s="4" t="s">
        <v>33</v>
      </c>
      <c r="B1227" s="4" t="s">
        <v>34</v>
      </c>
      <c r="C1227" s="4" t="s">
        <v>34</v>
      </c>
      <c r="D1227" s="4" t="s">
        <v>34</v>
      </c>
      <c r="E1227" s="4" t="s">
        <v>1050</v>
      </c>
      <c r="F1227" s="4" t="s">
        <v>90</v>
      </c>
      <c r="G1227" s="4" t="s">
        <v>1051</v>
      </c>
      <c r="H1227" s="4" t="s">
        <v>92</v>
      </c>
      <c r="I1227" s="35" t="s">
        <v>520</v>
      </c>
      <c r="J1227" s="4" t="s">
        <v>1052</v>
      </c>
      <c r="K1227" s="4" t="s">
        <v>931</v>
      </c>
      <c r="L1227" s="4" t="s">
        <v>74</v>
      </c>
      <c r="M1227" s="4" t="s">
        <v>479</v>
      </c>
      <c r="N1227" s="4" t="s">
        <v>540</v>
      </c>
      <c r="O1227" s="4"/>
      <c r="P1227" s="4"/>
      <c r="Q1227" s="4"/>
    </row>
    <row r="1228" spans="1:17" ht="12.95" customHeight="1" x14ac:dyDescent="0.2">
      <c r="A1228" s="2" t="s">
        <v>97</v>
      </c>
      <c r="B1228" s="2" t="s">
        <v>42</v>
      </c>
      <c r="C1228" s="2"/>
      <c r="D1228" s="2"/>
      <c r="E1228" s="3"/>
      <c r="F1228" s="2"/>
      <c r="G1228" s="2"/>
      <c r="H1228" s="2"/>
      <c r="I1228" s="13"/>
      <c r="J1228" s="2"/>
      <c r="K1228" s="2"/>
      <c r="L1228" s="2"/>
      <c r="M1228" s="2"/>
      <c r="N1228" s="2"/>
      <c r="O1228" s="2" t="s">
        <v>194</v>
      </c>
      <c r="P1228" s="2"/>
      <c r="Q1228" s="2"/>
    </row>
    <row r="1229" spans="1:17" ht="12.95" customHeight="1" x14ac:dyDescent="0.2">
      <c r="A1229" s="2" t="s">
        <v>104</v>
      </c>
      <c r="B1229" s="2" t="s">
        <v>42</v>
      </c>
      <c r="C1229" s="2" t="s">
        <v>900</v>
      </c>
      <c r="D1229" s="2" t="s">
        <v>1053</v>
      </c>
      <c r="E1229" s="3" t="s">
        <v>71</v>
      </c>
      <c r="F1229" s="2" t="s">
        <v>46</v>
      </c>
      <c r="G1229" s="2" t="s">
        <v>72</v>
      </c>
      <c r="H1229" s="2" t="s">
        <v>108</v>
      </c>
      <c r="I1229" s="13"/>
      <c r="J1229" s="2" t="s">
        <v>48</v>
      </c>
      <c r="K1229" s="2" t="s">
        <v>73</v>
      </c>
      <c r="L1229" s="2"/>
      <c r="M1229" s="2" t="s">
        <v>672</v>
      </c>
      <c r="N1229" s="2"/>
      <c r="O1229" s="2"/>
      <c r="P1229" s="2" t="s">
        <v>1054</v>
      </c>
      <c r="Q1229" s="2"/>
    </row>
    <row r="1230" spans="1:17" ht="12.95" customHeight="1" x14ac:dyDescent="0.2">
      <c r="A1230" s="2" t="s">
        <v>112</v>
      </c>
      <c r="B1230" s="2" t="s">
        <v>22</v>
      </c>
      <c r="C1230" s="2"/>
      <c r="D1230" s="2"/>
      <c r="E1230" s="3"/>
      <c r="F1230" s="2"/>
      <c r="G1230" s="2"/>
      <c r="H1230" s="2" t="s">
        <v>113</v>
      </c>
      <c r="I1230" s="13" t="s">
        <v>113</v>
      </c>
      <c r="J1230" s="2"/>
      <c r="K1230" s="2"/>
      <c r="L1230" s="2"/>
      <c r="M1230" s="2"/>
      <c r="N1230" s="2"/>
      <c r="O1230" s="2" t="s">
        <v>24</v>
      </c>
      <c r="P1230" s="2"/>
      <c r="Q1230" s="2"/>
    </row>
    <row r="1231" spans="1:17" ht="12.95" customHeight="1" x14ac:dyDescent="0.2">
      <c r="A1231" s="2" t="s">
        <v>114</v>
      </c>
      <c r="B1231" s="2" t="s">
        <v>27</v>
      </c>
      <c r="C1231" s="2"/>
      <c r="D1231" s="2"/>
      <c r="E1231" s="3"/>
      <c r="F1231" s="2"/>
      <c r="G1231" s="2"/>
      <c r="H1231" s="2"/>
      <c r="I1231" s="13"/>
      <c r="J1231" s="2"/>
      <c r="K1231" s="2"/>
      <c r="L1231" s="2"/>
      <c r="M1231" s="2"/>
      <c r="N1231" s="2"/>
      <c r="O1231" s="2" t="s">
        <v>28</v>
      </c>
      <c r="P1231" s="2" t="s">
        <v>111</v>
      </c>
      <c r="Q1231" s="2"/>
    </row>
    <row r="1232" spans="1:17" ht="12.95" customHeight="1" x14ac:dyDescent="0.2">
      <c r="A1232" s="2" t="s">
        <v>115</v>
      </c>
      <c r="B1232" s="2" t="s">
        <v>42</v>
      </c>
      <c r="C1232" s="2" t="s">
        <v>491</v>
      </c>
      <c r="D1232" s="2" t="s">
        <v>1055</v>
      </c>
      <c r="E1232" s="3" t="s">
        <v>1056</v>
      </c>
      <c r="F1232" s="2" t="s">
        <v>46</v>
      </c>
      <c r="G1232" s="2" t="s">
        <v>1057</v>
      </c>
      <c r="H1232" s="2" t="s">
        <v>48</v>
      </c>
      <c r="I1232" s="13"/>
      <c r="J1232" s="2" t="s">
        <v>48</v>
      </c>
      <c r="K1232" s="2" t="s">
        <v>272</v>
      </c>
      <c r="L1232" s="2" t="s">
        <v>799</v>
      </c>
      <c r="M1232" s="2" t="s">
        <v>848</v>
      </c>
      <c r="N1232" s="2"/>
      <c r="O1232" s="2"/>
      <c r="P1232" s="2" t="s">
        <v>1043</v>
      </c>
      <c r="Q1232" s="2"/>
    </row>
    <row r="1233" spans="1:17" ht="12.95" customHeight="1" x14ac:dyDescent="0.2">
      <c r="A1233" s="4" t="s">
        <v>122</v>
      </c>
      <c r="B1233" s="4" t="s">
        <v>31</v>
      </c>
      <c r="C1233" s="4"/>
      <c r="D1233" s="4"/>
      <c r="E1233" s="3"/>
      <c r="F1233" s="4"/>
      <c r="G1233" s="4"/>
      <c r="H1233" s="4"/>
      <c r="I1233" s="35"/>
      <c r="J1233" s="4"/>
      <c r="K1233" s="4"/>
      <c r="L1233" s="4"/>
      <c r="M1233" s="4"/>
      <c r="N1233" s="4"/>
      <c r="O1233" s="4"/>
      <c r="P1233" s="4"/>
      <c r="Q1233" s="4"/>
    </row>
    <row r="1234" spans="1:17" ht="12.95" customHeight="1" x14ac:dyDescent="0.2">
      <c r="A1234" s="4" t="s">
        <v>123</v>
      </c>
      <c r="B1234" s="4" t="s">
        <v>31</v>
      </c>
      <c r="C1234" s="4"/>
      <c r="D1234" s="4"/>
      <c r="E1234" s="3"/>
      <c r="F1234" s="4"/>
      <c r="G1234" s="4"/>
      <c r="H1234" s="4"/>
      <c r="I1234" s="35"/>
      <c r="J1234" s="4"/>
      <c r="K1234" s="4"/>
      <c r="L1234" s="4"/>
      <c r="M1234" s="4"/>
      <c r="N1234" s="4"/>
      <c r="O1234" s="4"/>
      <c r="P1234" s="4"/>
      <c r="Q1234" s="4"/>
    </row>
    <row r="1235" spans="1:17" x14ac:dyDescent="0.2">
      <c r="A1235" s="4" t="s">
        <v>33</v>
      </c>
      <c r="B1235" s="4" t="s">
        <v>34</v>
      </c>
      <c r="C1235" s="4" t="s">
        <v>34</v>
      </c>
      <c r="D1235" s="4" t="s">
        <v>34</v>
      </c>
      <c r="E1235" s="4" t="s">
        <v>1058</v>
      </c>
      <c r="F1235" s="4" t="s">
        <v>95</v>
      </c>
      <c r="G1235" s="4" t="s">
        <v>1059</v>
      </c>
      <c r="H1235" s="4" t="s">
        <v>170</v>
      </c>
      <c r="I1235" s="35" t="s">
        <v>113</v>
      </c>
      <c r="J1235" s="4" t="s">
        <v>63</v>
      </c>
      <c r="K1235" s="4" t="s">
        <v>237</v>
      </c>
      <c r="L1235" s="4" t="s">
        <v>799</v>
      </c>
      <c r="M1235" s="4" t="s">
        <v>559</v>
      </c>
      <c r="N1235" s="4"/>
      <c r="O1235" s="4"/>
      <c r="P1235" s="4"/>
      <c r="Q1235" s="4"/>
    </row>
    <row r="1236" spans="1:17" ht="12.95" customHeight="1" x14ac:dyDescent="0.2">
      <c r="A1236" s="2" t="s">
        <v>131</v>
      </c>
      <c r="B1236" s="2" t="s">
        <v>42</v>
      </c>
      <c r="C1236" s="2" t="s">
        <v>552</v>
      </c>
      <c r="D1236" s="2" t="s">
        <v>989</v>
      </c>
      <c r="E1236" s="3" t="s">
        <v>685</v>
      </c>
      <c r="F1236" s="2" t="s">
        <v>46</v>
      </c>
      <c r="G1236" s="2" t="s">
        <v>140</v>
      </c>
      <c r="H1236" s="2" t="s">
        <v>48</v>
      </c>
      <c r="I1236" s="13"/>
      <c r="J1236" s="2" t="s">
        <v>48</v>
      </c>
      <c r="K1236" s="2" t="s">
        <v>436</v>
      </c>
      <c r="L1236" s="2"/>
      <c r="M1236" s="2" t="s">
        <v>436</v>
      </c>
      <c r="N1236" s="2"/>
      <c r="O1236" s="2"/>
      <c r="P1236" s="2" t="s">
        <v>1043</v>
      </c>
      <c r="Q1236" s="2"/>
    </row>
    <row r="1237" spans="1:17" ht="12.95" customHeight="1" x14ac:dyDescent="0.2">
      <c r="A1237" s="2" t="s">
        <v>138</v>
      </c>
      <c r="B1237" s="2" t="s">
        <v>42</v>
      </c>
      <c r="C1237" s="2" t="s">
        <v>1060</v>
      </c>
      <c r="D1237" s="2" t="s">
        <v>1061</v>
      </c>
      <c r="E1237" s="3" t="s">
        <v>1062</v>
      </c>
      <c r="F1237" s="2" t="s">
        <v>46</v>
      </c>
      <c r="G1237" s="2" t="s">
        <v>640</v>
      </c>
      <c r="H1237" s="2" t="s">
        <v>48</v>
      </c>
      <c r="I1237" s="13"/>
      <c r="J1237" s="2" t="s">
        <v>48</v>
      </c>
      <c r="K1237" s="2" t="s">
        <v>485</v>
      </c>
      <c r="L1237" s="2"/>
      <c r="M1237" s="2" t="s">
        <v>485</v>
      </c>
      <c r="N1237" s="2"/>
      <c r="O1237" s="2"/>
      <c r="P1237" s="2" t="s">
        <v>1043</v>
      </c>
      <c r="Q1237" s="2"/>
    </row>
    <row r="1238" spans="1:17" ht="12.95" customHeight="1" x14ac:dyDescent="0.2">
      <c r="A1238" s="2" t="s">
        <v>143</v>
      </c>
      <c r="B1238" s="2" t="s">
        <v>42</v>
      </c>
      <c r="C1238" s="2" t="s">
        <v>472</v>
      </c>
      <c r="D1238" s="2" t="s">
        <v>1063</v>
      </c>
      <c r="E1238" s="3" t="s">
        <v>458</v>
      </c>
      <c r="F1238" s="2" t="s">
        <v>46</v>
      </c>
      <c r="G1238" s="2" t="s">
        <v>483</v>
      </c>
      <c r="H1238" s="2" t="s">
        <v>48</v>
      </c>
      <c r="I1238" s="13"/>
      <c r="J1238" s="2" t="s">
        <v>48</v>
      </c>
      <c r="K1238" s="2" t="s">
        <v>484</v>
      </c>
      <c r="L1238" s="2"/>
      <c r="M1238" s="2" t="s">
        <v>484</v>
      </c>
      <c r="N1238" s="2"/>
      <c r="O1238" s="2"/>
      <c r="P1238" s="2" t="s">
        <v>1043</v>
      </c>
      <c r="Q1238" s="2"/>
    </row>
    <row r="1239" spans="1:17" ht="12.95" customHeight="1" x14ac:dyDescent="0.2">
      <c r="A1239" s="2" t="s">
        <v>148</v>
      </c>
      <c r="B1239" s="2" t="s">
        <v>42</v>
      </c>
      <c r="C1239" s="2" t="s">
        <v>832</v>
      </c>
      <c r="D1239" s="2" t="s">
        <v>743</v>
      </c>
      <c r="E1239" s="3" t="s">
        <v>1064</v>
      </c>
      <c r="F1239" s="2" t="s">
        <v>46</v>
      </c>
      <c r="G1239" s="2" t="s">
        <v>1065</v>
      </c>
      <c r="H1239" s="2" t="s">
        <v>48</v>
      </c>
      <c r="I1239" s="13"/>
      <c r="J1239" s="2" t="s">
        <v>48</v>
      </c>
      <c r="K1239" s="2" t="s">
        <v>799</v>
      </c>
      <c r="L1239" s="2"/>
      <c r="M1239" s="2" t="s">
        <v>799</v>
      </c>
      <c r="N1239" s="2"/>
      <c r="O1239" s="2"/>
      <c r="P1239" s="2" t="s">
        <v>1043</v>
      </c>
      <c r="Q1239" s="2"/>
    </row>
    <row r="1240" spans="1:17" ht="12.95" customHeight="1" x14ac:dyDescent="0.2">
      <c r="A1240" s="2" t="s">
        <v>155</v>
      </c>
      <c r="B1240" s="2" t="s">
        <v>42</v>
      </c>
      <c r="C1240" s="2" t="s">
        <v>1060</v>
      </c>
      <c r="D1240" s="2" t="s">
        <v>846</v>
      </c>
      <c r="E1240" s="3" t="s">
        <v>744</v>
      </c>
      <c r="F1240" s="2" t="s">
        <v>46</v>
      </c>
      <c r="G1240" s="2" t="s">
        <v>238</v>
      </c>
      <c r="H1240" s="2" t="s">
        <v>48</v>
      </c>
      <c r="I1240" s="13"/>
      <c r="J1240" s="2" t="s">
        <v>48</v>
      </c>
      <c r="K1240" s="2" t="s">
        <v>250</v>
      </c>
      <c r="L1240" s="2"/>
      <c r="M1240" s="2" t="s">
        <v>250</v>
      </c>
      <c r="N1240" s="2"/>
      <c r="O1240" s="2"/>
      <c r="P1240" s="2" t="s">
        <v>1043</v>
      </c>
      <c r="Q1240" s="2"/>
    </row>
    <row r="1241" spans="1:17" ht="12.95" customHeight="1" x14ac:dyDescent="0.2">
      <c r="A1241" s="8" t="s">
        <v>161</v>
      </c>
      <c r="B1241" s="8"/>
      <c r="C1241" s="8"/>
      <c r="D1241" s="8"/>
      <c r="E1241" s="5" t="s">
        <v>1066</v>
      </c>
      <c r="F1241" s="5" t="s">
        <v>503</v>
      </c>
      <c r="G1241" s="5" t="s">
        <v>1067</v>
      </c>
      <c r="H1241" s="5" t="s">
        <v>980</v>
      </c>
      <c r="I1241" s="36" t="s">
        <v>513</v>
      </c>
      <c r="J1241" s="5" t="s">
        <v>1068</v>
      </c>
      <c r="K1241" s="5" t="s">
        <v>1069</v>
      </c>
      <c r="L1241" s="5" t="s">
        <v>508</v>
      </c>
      <c r="M1241" s="5" t="s">
        <v>1070</v>
      </c>
      <c r="N1241" s="5" t="s">
        <v>540</v>
      </c>
      <c r="O1241" s="5"/>
      <c r="P1241" s="5"/>
      <c r="Q1241" s="5"/>
    </row>
    <row r="1242" spans="1:17" ht="12.95" customHeight="1" x14ac:dyDescent="0.2">
      <c r="A1242" s="8" t="s">
        <v>171</v>
      </c>
      <c r="B1242" s="8"/>
      <c r="C1242" s="8"/>
      <c r="D1242" s="8"/>
      <c r="E1242" s="5" t="s">
        <v>1066</v>
      </c>
      <c r="F1242" s="5" t="s">
        <v>503</v>
      </c>
      <c r="G1242" s="5" t="s">
        <v>1067</v>
      </c>
      <c r="H1242" s="5" t="s">
        <v>980</v>
      </c>
      <c r="I1242" s="36" t="s">
        <v>296</v>
      </c>
      <c r="J1242" s="5" t="s">
        <v>1068</v>
      </c>
      <c r="K1242" s="5" t="s">
        <v>1069</v>
      </c>
      <c r="L1242" s="5" t="s">
        <v>508</v>
      </c>
      <c r="M1242" s="5" t="s">
        <v>1070</v>
      </c>
      <c r="N1242" s="5" t="s">
        <v>540</v>
      </c>
      <c r="O1242" s="5"/>
      <c r="P1242" s="5"/>
      <c r="Q1242" s="5"/>
    </row>
    <row r="1243" spans="1:17" ht="12.95" customHeight="1" x14ac:dyDescent="0.2">
      <c r="A1243" s="8" t="s">
        <v>173</v>
      </c>
      <c r="B1243" s="8"/>
      <c r="C1243" s="8"/>
      <c r="D1243" s="8"/>
      <c r="E1243" s="5">
        <v>122.65</v>
      </c>
      <c r="F1243" s="5">
        <v>6</v>
      </c>
      <c r="G1243" s="5">
        <v>116.65</v>
      </c>
      <c r="H1243" s="5">
        <v>110.4</v>
      </c>
      <c r="I1243" s="36">
        <v>0</v>
      </c>
      <c r="J1243" s="5">
        <v>99.5</v>
      </c>
      <c r="K1243" s="5">
        <v>14.21</v>
      </c>
      <c r="L1243" s="5">
        <v>2.93</v>
      </c>
      <c r="M1243" s="5">
        <v>24.15</v>
      </c>
      <c r="N1243" s="5">
        <v>0.55000000000000004</v>
      </c>
      <c r="O1243" s="5"/>
      <c r="P1243" s="5"/>
      <c r="Q1243" s="5"/>
    </row>
    <row r="1244" spans="1:17" x14ac:dyDescent="0.2">
      <c r="I1244" s="37"/>
    </row>
    <row r="1245" spans="1:17" ht="12.95" customHeight="1" x14ac:dyDescent="0.2">
      <c r="A1245" s="9" t="s">
        <v>174</v>
      </c>
      <c r="B1245" s="9"/>
      <c r="C1245" s="9"/>
      <c r="E1245" s="9" t="s">
        <v>180</v>
      </c>
      <c r="F1245" s="9"/>
      <c r="G1245" s="9"/>
      <c r="I1245" s="9" t="s">
        <v>181</v>
      </c>
      <c r="J1245" s="9"/>
      <c r="K1245" s="9"/>
    </row>
    <row r="1246" spans="1:17" ht="12.95" customHeight="1" x14ac:dyDescent="0.2">
      <c r="A1246" s="10" t="s">
        <v>175</v>
      </c>
      <c r="B1246" s="10"/>
      <c r="C1246" s="6">
        <v>12</v>
      </c>
      <c r="E1246" s="10" t="s">
        <v>14</v>
      </c>
      <c r="F1246" s="10"/>
      <c r="G1246" s="6">
        <v>99.5</v>
      </c>
      <c r="I1246" s="10" t="s">
        <v>264</v>
      </c>
      <c r="J1246" s="10"/>
      <c r="K1246" s="43">
        <v>1</v>
      </c>
    </row>
    <row r="1247" spans="1:17" ht="12.95" customHeight="1" x14ac:dyDescent="0.2">
      <c r="A1247" s="10" t="s">
        <v>1531</v>
      </c>
      <c r="B1247" s="10"/>
      <c r="C1247" s="131">
        <v>21</v>
      </c>
      <c r="E1247" s="10" t="s">
        <v>15</v>
      </c>
      <c r="F1247" s="10"/>
      <c r="G1247" s="6">
        <v>14.21</v>
      </c>
      <c r="I1247" s="10" t="s">
        <v>27</v>
      </c>
      <c r="J1247" s="10"/>
      <c r="K1247" s="26">
        <v>3</v>
      </c>
    </row>
    <row r="1248" spans="1:17" ht="12.95" customHeight="1" x14ac:dyDescent="0.2">
      <c r="A1248" s="10" t="s">
        <v>176</v>
      </c>
      <c r="B1248" s="10"/>
      <c r="C1248" s="6">
        <v>122.65</v>
      </c>
      <c r="E1248" s="10" t="s">
        <v>267</v>
      </c>
      <c r="F1248" s="10"/>
      <c r="G1248" s="6">
        <v>2.93</v>
      </c>
      <c r="I1248" s="10" t="s">
        <v>22</v>
      </c>
      <c r="J1248" s="10"/>
      <c r="K1248" s="26">
        <v>3</v>
      </c>
    </row>
    <row r="1249" spans="1:17" ht="12.95" customHeight="1" x14ac:dyDescent="0.2">
      <c r="A1249" s="10" t="s">
        <v>177</v>
      </c>
      <c r="B1249" s="10"/>
      <c r="C1249" s="6">
        <v>110.4</v>
      </c>
      <c r="I1249" s="10" t="s">
        <v>36</v>
      </c>
      <c r="J1249" s="10"/>
      <c r="K1249" s="26">
        <v>2</v>
      </c>
    </row>
    <row r="1250" spans="1:17" ht="12.95" customHeight="1" x14ac:dyDescent="0.2">
      <c r="A1250" s="10" t="s">
        <v>11</v>
      </c>
      <c r="B1250" s="10"/>
      <c r="C1250" s="6">
        <v>116.65</v>
      </c>
      <c r="I1250" s="39" t="s">
        <v>1591</v>
      </c>
      <c r="J1250" s="19"/>
      <c r="K1250" s="20">
        <v>1.5</v>
      </c>
    </row>
    <row r="1251" spans="1:17" ht="12.95" customHeight="1" x14ac:dyDescent="0.2">
      <c r="A1251" s="10" t="s">
        <v>178</v>
      </c>
      <c r="B1251" s="10"/>
      <c r="C1251" s="30">
        <v>17.899999999999999</v>
      </c>
      <c r="I1251" s="39" t="s">
        <v>1592</v>
      </c>
      <c r="J1251" s="19"/>
      <c r="K1251" s="38">
        <v>2</v>
      </c>
    </row>
    <row r="1252" spans="1:17" ht="12.95" customHeight="1" x14ac:dyDescent="0.25">
      <c r="A1252" s="28" t="s">
        <v>1571</v>
      </c>
      <c r="B1252" s="27"/>
      <c r="C1252" s="31">
        <v>-0.8</v>
      </c>
      <c r="I1252" s="41" t="s">
        <v>1593</v>
      </c>
      <c r="J1252" s="40"/>
      <c r="K1252" s="42">
        <f>K1246+K1250+K1251</f>
        <v>4.5</v>
      </c>
      <c r="L1252" s="142"/>
      <c r="M1252" s="142"/>
      <c r="N1252" s="142"/>
      <c r="O1252" s="142"/>
      <c r="P1252" s="142"/>
      <c r="Q1252" s="142"/>
    </row>
    <row r="1253" spans="1:17" ht="12.95" customHeight="1" x14ac:dyDescent="0.2">
      <c r="A1253" s="29" t="s">
        <v>1572</v>
      </c>
      <c r="B1253" s="29"/>
      <c r="C1253" s="32">
        <f>C1251+C1252</f>
        <v>17.099999999999998</v>
      </c>
      <c r="E1253" s="143" t="s">
        <v>1761</v>
      </c>
      <c r="F1253" s="143"/>
      <c r="G1253" s="143"/>
      <c r="H1253" s="143"/>
      <c r="I1253" s="143"/>
      <c r="J1253" s="143"/>
      <c r="K1253" s="143"/>
      <c r="L1253" s="143"/>
      <c r="M1253" s="143"/>
      <c r="N1253" s="143"/>
      <c r="O1253" s="143"/>
      <c r="P1253" s="143"/>
      <c r="Q1253" s="143"/>
    </row>
    <row r="1254" spans="1:17" x14ac:dyDescent="0.2">
      <c r="A1254" s="10" t="s">
        <v>10</v>
      </c>
      <c r="B1254" s="10"/>
      <c r="C1254" s="6">
        <v>6</v>
      </c>
    </row>
    <row r="1255" spans="1:17" x14ac:dyDescent="0.2">
      <c r="A1255" t="s">
        <v>1615</v>
      </c>
      <c r="C1255" cm="1">
        <f t="array" ref="C1255">IFERROR(SUMPRODUCT(ISNUMBER(SEARCH("מילואים",O1207:O1244))*(C1207:C1244&lt;&gt;"")*(J1207:J1244+0))*24,0)</f>
        <v>0</v>
      </c>
    </row>
    <row r="1256" spans="1:17" ht="12.95" customHeight="1" x14ac:dyDescent="0.2">
      <c r="A1256" s="7" t="s">
        <v>1071</v>
      </c>
      <c r="B1256" s="7"/>
      <c r="C1256" s="7"/>
      <c r="D1256" s="7" t="s">
        <v>1</v>
      </c>
      <c r="E1256" s="7"/>
      <c r="F1256" s="7"/>
      <c r="G1256" s="7"/>
      <c r="H1256" s="7" t="s">
        <v>944</v>
      </c>
      <c r="I1256" s="7"/>
      <c r="J1256" s="7"/>
      <c r="K1256" s="7"/>
      <c r="L1256" s="7"/>
      <c r="M1256" s="7"/>
      <c r="N1256" s="7"/>
      <c r="O1256" s="7"/>
      <c r="P1256" s="7"/>
    </row>
    <row r="1257" spans="1:17" ht="12.95" customHeight="1" x14ac:dyDescent="0.2">
      <c r="A1257" s="7" t="s">
        <v>3</v>
      </c>
      <c r="B1257" s="7"/>
      <c r="C1257" s="7"/>
      <c r="D1257" s="7"/>
      <c r="E1257" s="7"/>
      <c r="F1257" s="7">
        <v>119</v>
      </c>
      <c r="G1257" s="7"/>
      <c r="H1257" s="7" t="s">
        <v>4</v>
      </c>
      <c r="I1257" s="7"/>
      <c r="J1257" s="7"/>
      <c r="K1257" s="7"/>
      <c r="L1257" s="7"/>
      <c r="M1257" s="7"/>
      <c r="N1257" s="7"/>
      <c r="O1257" s="7"/>
      <c r="P1257" s="7"/>
    </row>
    <row r="1258" spans="1:17" ht="22.5" customHeight="1" x14ac:dyDescent="0.2">
      <c r="A1258" s="1" t="s">
        <v>5</v>
      </c>
      <c r="B1258" s="1" t="s">
        <v>6</v>
      </c>
      <c r="C1258" s="1" t="s">
        <v>7</v>
      </c>
      <c r="D1258" s="1" t="s">
        <v>8</v>
      </c>
      <c r="E1258" s="1" t="s">
        <v>9</v>
      </c>
      <c r="F1258" s="1" t="s">
        <v>10</v>
      </c>
      <c r="G1258" s="1" t="s">
        <v>11</v>
      </c>
      <c r="H1258" s="1" t="s">
        <v>12</v>
      </c>
      <c r="I1258" s="1" t="s">
        <v>13</v>
      </c>
      <c r="J1258" s="1" t="s">
        <v>14</v>
      </c>
      <c r="K1258" s="1" t="s">
        <v>15</v>
      </c>
      <c r="L1258" s="1" t="s">
        <v>16</v>
      </c>
      <c r="M1258" s="1" t="s">
        <v>17</v>
      </c>
      <c r="N1258" s="1" t="s">
        <v>18</v>
      </c>
      <c r="O1258" s="108" t="s">
        <v>1770</v>
      </c>
      <c r="P1258" s="1" t="s">
        <v>20</v>
      </c>
    </row>
    <row r="1259" spans="1:17" ht="12.95" customHeight="1" x14ac:dyDescent="0.2">
      <c r="A1259" s="2" t="s">
        <v>21</v>
      </c>
      <c r="B1259" s="2" t="s">
        <v>22</v>
      </c>
      <c r="C1259" s="2"/>
      <c r="D1259" s="2"/>
      <c r="E1259" s="3"/>
      <c r="F1259" s="2"/>
      <c r="G1259" s="2"/>
      <c r="H1259" s="2" t="s">
        <v>113</v>
      </c>
      <c r="I1259" s="13" t="s">
        <v>113</v>
      </c>
      <c r="J1259" s="2"/>
      <c r="K1259" s="2"/>
      <c r="L1259" s="2"/>
      <c r="M1259" s="2"/>
      <c r="N1259" s="2" t="s">
        <v>985</v>
      </c>
      <c r="O1259" s="2" t="s">
        <v>1072</v>
      </c>
      <c r="P1259" s="2"/>
    </row>
    <row r="1260" spans="1:17" ht="12.95" customHeight="1" x14ac:dyDescent="0.2">
      <c r="A1260" s="2" t="s">
        <v>26</v>
      </c>
      <c r="B1260" s="2" t="s">
        <v>27</v>
      </c>
      <c r="C1260" s="2"/>
      <c r="D1260" s="2"/>
      <c r="E1260" s="3"/>
      <c r="F1260" s="2"/>
      <c r="G1260" s="2"/>
      <c r="H1260" s="2"/>
      <c r="I1260" s="13"/>
      <c r="J1260" s="2"/>
      <c r="K1260" s="2"/>
      <c r="L1260" s="2"/>
      <c r="M1260" s="2"/>
      <c r="N1260" s="2" t="s">
        <v>985</v>
      </c>
      <c r="O1260" s="2" t="s">
        <v>29</v>
      </c>
      <c r="P1260" s="2"/>
    </row>
    <row r="1261" spans="1:17" ht="12.95" customHeight="1" x14ac:dyDescent="0.2">
      <c r="A1261" s="4" t="s">
        <v>30</v>
      </c>
      <c r="B1261" s="4" t="s">
        <v>31</v>
      </c>
      <c r="C1261" s="4"/>
      <c r="D1261" s="4"/>
      <c r="E1261" s="3"/>
      <c r="F1261" s="4"/>
      <c r="G1261" s="4"/>
      <c r="H1261" s="4"/>
      <c r="I1261" s="35"/>
      <c r="J1261" s="4"/>
      <c r="K1261" s="4"/>
      <c r="L1261" s="4"/>
      <c r="M1261" s="4"/>
      <c r="N1261" s="4" t="s">
        <v>985</v>
      </c>
      <c r="O1261" s="4"/>
      <c r="P1261" s="4"/>
    </row>
    <row r="1262" spans="1:17" ht="12.95" customHeight="1" x14ac:dyDescent="0.2">
      <c r="A1262" s="4" t="s">
        <v>32</v>
      </c>
      <c r="B1262" s="4" t="s">
        <v>31</v>
      </c>
      <c r="C1262" s="4"/>
      <c r="D1262" s="4"/>
      <c r="E1262" s="3"/>
      <c r="F1262" s="4"/>
      <c r="G1262" s="4"/>
      <c r="H1262" s="4"/>
      <c r="I1262" s="35"/>
      <c r="J1262" s="4"/>
      <c r="K1262" s="4"/>
      <c r="L1262" s="4"/>
      <c r="M1262" s="4"/>
      <c r="N1262" s="4" t="s">
        <v>985</v>
      </c>
      <c r="O1262" s="4"/>
      <c r="P1262" s="4"/>
    </row>
    <row r="1263" spans="1:17" x14ac:dyDescent="0.2">
      <c r="A1263" s="4" t="s">
        <v>33</v>
      </c>
      <c r="B1263" s="4" t="s">
        <v>34</v>
      </c>
      <c r="C1263" s="4" t="s">
        <v>34</v>
      </c>
      <c r="D1263" s="4" t="s">
        <v>34</v>
      </c>
      <c r="E1263" s="4"/>
      <c r="F1263" s="4"/>
      <c r="G1263" s="4"/>
      <c r="H1263" s="4" t="s">
        <v>113</v>
      </c>
      <c r="I1263" s="35" t="s">
        <v>113</v>
      </c>
      <c r="J1263" s="4"/>
      <c r="K1263" s="4"/>
      <c r="L1263" s="4"/>
      <c r="M1263" s="4"/>
      <c r="N1263" s="4"/>
      <c r="O1263" s="4"/>
      <c r="P1263" s="4"/>
    </row>
    <row r="1264" spans="1:17" ht="12.95" customHeight="1" x14ac:dyDescent="0.2">
      <c r="A1264" s="2" t="s">
        <v>35</v>
      </c>
      <c r="B1264" s="2" t="s">
        <v>36</v>
      </c>
      <c r="C1264" s="2"/>
      <c r="D1264" s="2"/>
      <c r="E1264" s="3"/>
      <c r="F1264" s="2"/>
      <c r="G1264" s="2"/>
      <c r="H1264" s="2" t="s">
        <v>113</v>
      </c>
      <c r="I1264" s="13" t="s">
        <v>113</v>
      </c>
      <c r="J1264" s="2"/>
      <c r="K1264" s="2"/>
      <c r="L1264" s="2"/>
      <c r="M1264" s="2"/>
      <c r="N1264" s="2" t="s">
        <v>985</v>
      </c>
      <c r="O1264" s="2"/>
      <c r="P1264" s="2"/>
    </row>
    <row r="1265" spans="1:16" ht="12.95" customHeight="1" x14ac:dyDescent="0.2">
      <c r="A1265" s="2" t="s">
        <v>38</v>
      </c>
      <c r="B1265" s="2" t="s">
        <v>36</v>
      </c>
      <c r="C1265" s="2"/>
      <c r="D1265" s="2"/>
      <c r="E1265" s="3"/>
      <c r="F1265" s="2"/>
      <c r="G1265" s="2"/>
      <c r="H1265" s="2" t="s">
        <v>113</v>
      </c>
      <c r="I1265" s="13" t="s">
        <v>113</v>
      </c>
      <c r="J1265" s="2"/>
      <c r="K1265" s="2"/>
      <c r="L1265" s="2"/>
      <c r="M1265" s="2"/>
      <c r="N1265" s="2" t="s">
        <v>985</v>
      </c>
      <c r="O1265" s="2"/>
      <c r="P1265" s="2"/>
    </row>
    <row r="1266" spans="1:16" ht="12.95" customHeight="1" x14ac:dyDescent="0.2">
      <c r="A1266" s="2" t="s">
        <v>39</v>
      </c>
      <c r="B1266" s="2" t="s">
        <v>22</v>
      </c>
      <c r="C1266" s="2"/>
      <c r="D1266" s="2"/>
      <c r="E1266" s="3"/>
      <c r="F1266" s="2"/>
      <c r="G1266" s="2"/>
      <c r="H1266" s="2" t="s">
        <v>113</v>
      </c>
      <c r="I1266" s="13" t="s">
        <v>113</v>
      </c>
      <c r="J1266" s="2"/>
      <c r="K1266" s="2"/>
      <c r="L1266" s="2"/>
      <c r="M1266" s="2"/>
      <c r="N1266" s="2" t="s">
        <v>985</v>
      </c>
      <c r="O1266" s="2" t="s">
        <v>25</v>
      </c>
      <c r="P1266" s="2"/>
    </row>
    <row r="1267" spans="1:16" ht="12.95" customHeight="1" x14ac:dyDescent="0.2">
      <c r="A1267" s="2" t="s">
        <v>40</v>
      </c>
      <c r="B1267" s="2" t="s">
        <v>27</v>
      </c>
      <c r="C1267" s="2"/>
      <c r="D1267" s="2"/>
      <c r="E1267" s="3"/>
      <c r="F1267" s="2"/>
      <c r="G1267" s="2"/>
      <c r="H1267" s="2"/>
      <c r="I1267" s="13"/>
      <c r="J1267" s="2"/>
      <c r="K1267" s="2"/>
      <c r="L1267" s="2"/>
      <c r="M1267" s="2"/>
      <c r="N1267" s="2" t="s">
        <v>985</v>
      </c>
      <c r="O1267" s="2" t="s">
        <v>25</v>
      </c>
      <c r="P1267" s="2"/>
    </row>
    <row r="1268" spans="1:16" ht="12.95" customHeight="1" x14ac:dyDescent="0.2">
      <c r="A1268" s="2" t="s">
        <v>41</v>
      </c>
      <c r="B1268" s="2" t="s">
        <v>42</v>
      </c>
      <c r="C1268" s="2"/>
      <c r="D1268" s="2"/>
      <c r="E1268" s="3"/>
      <c r="F1268" s="2"/>
      <c r="G1268" s="2"/>
      <c r="H1268" s="2" t="s">
        <v>48</v>
      </c>
      <c r="I1268" s="13" t="s">
        <v>48</v>
      </c>
      <c r="J1268" s="2"/>
      <c r="K1268" s="2"/>
      <c r="L1268" s="2"/>
      <c r="M1268" s="2"/>
      <c r="N1268" s="2" t="s">
        <v>985</v>
      </c>
      <c r="O1268" s="2" t="s">
        <v>1072</v>
      </c>
      <c r="P1268" s="2"/>
    </row>
    <row r="1269" spans="1:16" ht="12.95" customHeight="1" x14ac:dyDescent="0.2">
      <c r="A1269" s="4" t="s">
        <v>51</v>
      </c>
      <c r="B1269" s="4" t="s">
        <v>31</v>
      </c>
      <c r="C1269" s="4"/>
      <c r="D1269" s="4"/>
      <c r="E1269" s="3"/>
      <c r="F1269" s="4"/>
      <c r="G1269" s="4"/>
      <c r="H1269" s="4"/>
      <c r="I1269" s="35"/>
      <c r="J1269" s="4"/>
      <c r="K1269" s="4"/>
      <c r="L1269" s="4"/>
      <c r="M1269" s="4"/>
      <c r="N1269" s="4" t="s">
        <v>985</v>
      </c>
      <c r="O1269" s="4"/>
      <c r="P1269" s="4"/>
    </row>
    <row r="1270" spans="1:16" ht="12.95" customHeight="1" x14ac:dyDescent="0.2">
      <c r="A1270" s="4" t="s">
        <v>52</v>
      </c>
      <c r="B1270" s="4" t="s">
        <v>31</v>
      </c>
      <c r="C1270" s="4"/>
      <c r="D1270" s="4"/>
      <c r="E1270" s="3"/>
      <c r="F1270" s="4"/>
      <c r="G1270" s="4"/>
      <c r="H1270" s="4"/>
      <c r="I1270" s="35"/>
      <c r="J1270" s="4"/>
      <c r="K1270" s="4"/>
      <c r="L1270" s="4"/>
      <c r="M1270" s="4"/>
      <c r="N1270" s="4" t="s">
        <v>985</v>
      </c>
      <c r="O1270" s="4"/>
      <c r="P1270" s="4"/>
    </row>
    <row r="1271" spans="1:16" x14ac:dyDescent="0.2">
      <c r="A1271" s="4" t="s">
        <v>33</v>
      </c>
      <c r="B1271" s="4" t="s">
        <v>34</v>
      </c>
      <c r="C1271" s="4" t="s">
        <v>34</v>
      </c>
      <c r="D1271" s="4" t="s">
        <v>34</v>
      </c>
      <c r="E1271" s="4"/>
      <c r="F1271" s="4"/>
      <c r="G1271" s="4"/>
      <c r="H1271" s="4" t="s">
        <v>1073</v>
      </c>
      <c r="I1271" s="35" t="s">
        <v>1073</v>
      </c>
      <c r="J1271" s="4"/>
      <c r="K1271" s="4"/>
      <c r="L1271" s="4"/>
      <c r="M1271" s="4"/>
      <c r="N1271" s="4"/>
      <c r="O1271" s="4"/>
      <c r="P1271" s="4"/>
    </row>
    <row r="1272" spans="1:16" ht="12.95" customHeight="1" x14ac:dyDescent="0.2">
      <c r="A1272" s="2" t="s">
        <v>54</v>
      </c>
      <c r="B1272" s="2" t="s">
        <v>42</v>
      </c>
      <c r="C1272" s="2" t="s">
        <v>876</v>
      </c>
      <c r="D1272" s="2" t="s">
        <v>1074</v>
      </c>
      <c r="E1272" s="3" t="s">
        <v>810</v>
      </c>
      <c r="F1272" s="2" t="s">
        <v>46</v>
      </c>
      <c r="G1272" s="2" t="s">
        <v>227</v>
      </c>
      <c r="H1272" s="2" t="s">
        <v>48</v>
      </c>
      <c r="I1272" s="13" t="s">
        <v>318</v>
      </c>
      <c r="J1272" s="2" t="s">
        <v>227</v>
      </c>
      <c r="K1272" s="2"/>
      <c r="L1272" s="2"/>
      <c r="M1272" s="2" t="s">
        <v>1075</v>
      </c>
      <c r="N1272" s="2"/>
      <c r="O1272" s="2" t="s">
        <v>1076</v>
      </c>
      <c r="P1272" s="2"/>
    </row>
    <row r="1273" spans="1:16" ht="12.95" customHeight="1" x14ac:dyDescent="0.2">
      <c r="A1273" s="2" t="s">
        <v>61</v>
      </c>
      <c r="B1273" s="2" t="s">
        <v>42</v>
      </c>
      <c r="C1273" s="2" t="s">
        <v>1077</v>
      </c>
      <c r="D1273" s="2" t="s">
        <v>1078</v>
      </c>
      <c r="E1273" s="3" t="s">
        <v>276</v>
      </c>
      <c r="F1273" s="2" t="s">
        <v>46</v>
      </c>
      <c r="G1273" s="2" t="s">
        <v>277</v>
      </c>
      <c r="H1273" s="2" t="s">
        <v>48</v>
      </c>
      <c r="I1273" s="13"/>
      <c r="J1273" s="2" t="s">
        <v>48</v>
      </c>
      <c r="K1273" s="2" t="s">
        <v>278</v>
      </c>
      <c r="L1273" s="2" t="s">
        <v>278</v>
      </c>
      <c r="M1273" s="2" t="s">
        <v>337</v>
      </c>
      <c r="N1273" s="2"/>
      <c r="O1273" s="2" t="s">
        <v>1079</v>
      </c>
      <c r="P1273" s="2"/>
    </row>
    <row r="1274" spans="1:16" ht="12.95" customHeight="1" x14ac:dyDescent="0.2">
      <c r="A1274" s="2" t="s">
        <v>68</v>
      </c>
      <c r="B1274" s="2" t="s">
        <v>42</v>
      </c>
      <c r="C1274" s="2" t="s">
        <v>912</v>
      </c>
      <c r="D1274" s="2" t="s">
        <v>1080</v>
      </c>
      <c r="E1274" s="3" t="s">
        <v>294</v>
      </c>
      <c r="F1274" s="2"/>
      <c r="G1274" s="2" t="s">
        <v>294</v>
      </c>
      <c r="H1274" s="2" t="s">
        <v>48</v>
      </c>
      <c r="I1274" s="13" t="s">
        <v>1075</v>
      </c>
      <c r="J1274" s="2" t="s">
        <v>294</v>
      </c>
      <c r="K1274" s="2"/>
      <c r="L1274" s="2"/>
      <c r="M1274" s="2" t="s">
        <v>66</v>
      </c>
      <c r="N1274" s="2"/>
      <c r="O1274" s="2" t="s">
        <v>1081</v>
      </c>
      <c r="P1274" s="2"/>
    </row>
    <row r="1275" spans="1:16" ht="12.95" customHeight="1" x14ac:dyDescent="0.2">
      <c r="A1275" s="2" t="s">
        <v>68</v>
      </c>
      <c r="B1275" s="2" t="s">
        <v>42</v>
      </c>
      <c r="C1275" s="2" t="s">
        <v>1082</v>
      </c>
      <c r="D1275" s="2" t="s">
        <v>1083</v>
      </c>
      <c r="E1275" s="3" t="s">
        <v>771</v>
      </c>
      <c r="F1275" s="2" t="s">
        <v>46</v>
      </c>
      <c r="G1275" s="2" t="s">
        <v>739</v>
      </c>
      <c r="H1275" s="2"/>
      <c r="I1275" s="13"/>
      <c r="J1275" s="2" t="s">
        <v>739</v>
      </c>
      <c r="K1275" s="2"/>
      <c r="L1275" s="2"/>
      <c r="M1275" s="2"/>
      <c r="N1275" s="2"/>
      <c r="O1275" s="2" t="s">
        <v>1081</v>
      </c>
      <c r="P1275" s="2"/>
    </row>
    <row r="1276" spans="1:16" ht="12.95" customHeight="1" x14ac:dyDescent="0.2">
      <c r="A1276" s="2" t="s">
        <v>75</v>
      </c>
      <c r="B1276" s="2" t="s">
        <v>42</v>
      </c>
      <c r="C1276" s="2" t="s">
        <v>1084</v>
      </c>
      <c r="D1276" s="2" t="s">
        <v>1085</v>
      </c>
      <c r="E1276" s="3" t="s">
        <v>983</v>
      </c>
      <c r="F1276" s="2" t="s">
        <v>46</v>
      </c>
      <c r="G1276" s="2" t="s">
        <v>703</v>
      </c>
      <c r="H1276" s="2" t="s">
        <v>48</v>
      </c>
      <c r="I1276" s="13" t="s">
        <v>154</v>
      </c>
      <c r="J1276" s="2" t="s">
        <v>703</v>
      </c>
      <c r="K1276" s="2"/>
      <c r="L1276" s="2"/>
      <c r="M1276" s="2" t="s">
        <v>23</v>
      </c>
      <c r="N1276" s="2"/>
      <c r="O1276" s="2" t="s">
        <v>1079</v>
      </c>
      <c r="P1276" s="2"/>
    </row>
    <row r="1277" spans="1:16" ht="12.95" customHeight="1" x14ac:dyDescent="0.2">
      <c r="A1277" s="2" t="s">
        <v>81</v>
      </c>
      <c r="B1277" s="2" t="s">
        <v>42</v>
      </c>
      <c r="C1277" s="2" t="s">
        <v>1086</v>
      </c>
      <c r="D1277" s="2" t="s">
        <v>1087</v>
      </c>
      <c r="E1277" s="3" t="s">
        <v>1088</v>
      </c>
      <c r="F1277" s="2" t="s">
        <v>46</v>
      </c>
      <c r="G1277" s="2" t="s">
        <v>1089</v>
      </c>
      <c r="H1277" s="2" t="s">
        <v>48</v>
      </c>
      <c r="I1277" s="13" t="s">
        <v>720</v>
      </c>
      <c r="J1277" s="2" t="s">
        <v>1089</v>
      </c>
      <c r="K1277" s="2"/>
      <c r="L1277" s="2"/>
      <c r="M1277" s="2" t="s">
        <v>272</v>
      </c>
      <c r="N1277" s="2"/>
      <c r="O1277" s="2" t="s">
        <v>1090</v>
      </c>
      <c r="P1277" s="2"/>
    </row>
    <row r="1278" spans="1:16" ht="12.95" customHeight="1" x14ac:dyDescent="0.2">
      <c r="A1278" s="4" t="s">
        <v>87</v>
      </c>
      <c r="B1278" s="4" t="s">
        <v>31</v>
      </c>
      <c r="C1278" s="4"/>
      <c r="D1278" s="4"/>
      <c r="E1278" s="3"/>
      <c r="F1278" s="4"/>
      <c r="G1278" s="4"/>
      <c r="H1278" s="4"/>
      <c r="I1278" s="35"/>
      <c r="J1278" s="4"/>
      <c r="K1278" s="4"/>
      <c r="L1278" s="4"/>
      <c r="M1278" s="4"/>
      <c r="N1278" s="4"/>
      <c r="O1278" s="4"/>
      <c r="P1278" s="4"/>
    </row>
    <row r="1279" spans="1:16" ht="12.95" customHeight="1" x14ac:dyDescent="0.2">
      <c r="A1279" s="4" t="s">
        <v>88</v>
      </c>
      <c r="B1279" s="4" t="s">
        <v>31</v>
      </c>
      <c r="C1279" s="4"/>
      <c r="D1279" s="4"/>
      <c r="E1279" s="3"/>
      <c r="F1279" s="4"/>
      <c r="G1279" s="4"/>
      <c r="H1279" s="4"/>
      <c r="I1279" s="35"/>
      <c r="J1279" s="4"/>
      <c r="K1279" s="4"/>
      <c r="L1279" s="4"/>
      <c r="M1279" s="4"/>
      <c r="N1279" s="4"/>
      <c r="O1279" s="4"/>
      <c r="P1279" s="4"/>
    </row>
    <row r="1280" spans="1:16" x14ac:dyDescent="0.2">
      <c r="A1280" s="4" t="s">
        <v>33</v>
      </c>
      <c r="B1280" s="4" t="s">
        <v>34</v>
      </c>
      <c r="C1280" s="4" t="s">
        <v>34</v>
      </c>
      <c r="D1280" s="4" t="s">
        <v>34</v>
      </c>
      <c r="E1280" s="4" t="s">
        <v>1091</v>
      </c>
      <c r="F1280" s="4" t="s">
        <v>90</v>
      </c>
      <c r="G1280" s="4" t="s">
        <v>1092</v>
      </c>
      <c r="H1280" s="4" t="s">
        <v>92</v>
      </c>
      <c r="I1280" s="35" t="s">
        <v>994</v>
      </c>
      <c r="J1280" s="4" t="s">
        <v>1093</v>
      </c>
      <c r="K1280" s="4" t="s">
        <v>278</v>
      </c>
      <c r="L1280" s="4" t="s">
        <v>278</v>
      </c>
      <c r="M1280" s="4" t="s">
        <v>1094</v>
      </c>
      <c r="N1280" s="4"/>
      <c r="O1280" s="4"/>
      <c r="P1280" s="4"/>
    </row>
    <row r="1281" spans="1:16" ht="12.95" customHeight="1" x14ac:dyDescent="0.2">
      <c r="A1281" s="2" t="s">
        <v>97</v>
      </c>
      <c r="B1281" s="2" t="s">
        <v>42</v>
      </c>
      <c r="C1281" s="2" t="s">
        <v>1095</v>
      </c>
      <c r="D1281" s="2" t="s">
        <v>1096</v>
      </c>
      <c r="E1281" s="3" t="s">
        <v>107</v>
      </c>
      <c r="F1281" s="2" t="s">
        <v>46</v>
      </c>
      <c r="G1281" s="2" t="s">
        <v>1097</v>
      </c>
      <c r="H1281" s="2" t="s">
        <v>48</v>
      </c>
      <c r="I1281" s="13" t="s">
        <v>147</v>
      </c>
      <c r="J1281" s="2" t="s">
        <v>1097</v>
      </c>
      <c r="K1281" s="2"/>
      <c r="L1281" s="2"/>
      <c r="M1281" s="2" t="s">
        <v>46</v>
      </c>
      <c r="N1281" s="2"/>
      <c r="O1281" s="2" t="s">
        <v>1098</v>
      </c>
      <c r="P1281" s="2"/>
    </row>
    <row r="1282" spans="1:16" ht="12.95" customHeight="1" x14ac:dyDescent="0.2">
      <c r="A1282" s="2" t="s">
        <v>104</v>
      </c>
      <c r="B1282" s="2" t="s">
        <v>42</v>
      </c>
      <c r="C1282" s="2" t="s">
        <v>1099</v>
      </c>
      <c r="D1282" s="2" t="s">
        <v>1100</v>
      </c>
      <c r="E1282" s="3" t="s">
        <v>206</v>
      </c>
      <c r="F1282" s="2" t="s">
        <v>46</v>
      </c>
      <c r="G1282" s="2" t="s">
        <v>496</v>
      </c>
      <c r="H1282" s="2" t="s">
        <v>108</v>
      </c>
      <c r="I1282" s="13"/>
      <c r="J1282" s="2" t="s">
        <v>496</v>
      </c>
      <c r="K1282" s="2"/>
      <c r="L1282" s="2" t="s">
        <v>1101</v>
      </c>
      <c r="M1282" s="2" t="s">
        <v>484</v>
      </c>
      <c r="N1282" s="2"/>
      <c r="O1282" s="2" t="s">
        <v>1081</v>
      </c>
      <c r="P1282" s="2"/>
    </row>
    <row r="1283" spans="1:16" ht="12.95" customHeight="1" x14ac:dyDescent="0.2">
      <c r="A1283" s="2" t="s">
        <v>112</v>
      </c>
      <c r="B1283" s="2" t="s">
        <v>22</v>
      </c>
      <c r="C1283" s="2"/>
      <c r="D1283" s="2"/>
      <c r="E1283" s="3"/>
      <c r="F1283" s="2"/>
      <c r="G1283" s="2"/>
      <c r="H1283" s="2" t="s">
        <v>113</v>
      </c>
      <c r="I1283" s="13" t="s">
        <v>113</v>
      </c>
      <c r="J1283" s="2"/>
      <c r="K1283" s="2"/>
      <c r="L1283" s="2"/>
      <c r="M1283" s="2"/>
      <c r="N1283" s="2" t="s">
        <v>24</v>
      </c>
      <c r="O1283" s="2"/>
      <c r="P1283" s="2"/>
    </row>
    <row r="1284" spans="1:16" ht="12.95" customHeight="1" x14ac:dyDescent="0.2">
      <c r="A1284" s="2" t="s">
        <v>114</v>
      </c>
      <c r="B1284" s="2" t="s">
        <v>27</v>
      </c>
      <c r="C1284" s="2"/>
      <c r="D1284" s="2"/>
      <c r="E1284" s="3"/>
      <c r="F1284" s="2"/>
      <c r="G1284" s="2"/>
      <c r="H1284" s="2"/>
      <c r="I1284" s="13"/>
      <c r="J1284" s="2"/>
      <c r="K1284" s="2"/>
      <c r="L1284" s="2"/>
      <c r="M1284" s="2"/>
      <c r="N1284" s="2" t="s">
        <v>28</v>
      </c>
      <c r="O1284" s="2" t="s">
        <v>111</v>
      </c>
      <c r="P1284" s="2"/>
    </row>
    <row r="1285" spans="1:16" ht="12.95" customHeight="1" x14ac:dyDescent="0.2">
      <c r="A1285" s="2" t="s">
        <v>115</v>
      </c>
      <c r="B1285" s="2" t="s">
        <v>42</v>
      </c>
      <c r="C1285" s="2"/>
      <c r="D1285" s="2"/>
      <c r="E1285" s="3"/>
      <c r="F1285" s="2"/>
      <c r="G1285" s="2"/>
      <c r="H1285" s="2"/>
      <c r="I1285" s="13"/>
      <c r="J1285" s="2"/>
      <c r="K1285" s="2"/>
      <c r="L1285" s="2"/>
      <c r="M1285" s="2"/>
      <c r="N1285" s="2" t="s">
        <v>194</v>
      </c>
      <c r="O1285" s="2"/>
      <c r="P1285" s="2"/>
    </row>
    <row r="1286" spans="1:16" ht="12.95" customHeight="1" x14ac:dyDescent="0.2">
      <c r="A1286" s="4" t="s">
        <v>122</v>
      </c>
      <c r="B1286" s="4" t="s">
        <v>31</v>
      </c>
      <c r="C1286" s="4"/>
      <c r="D1286" s="4"/>
      <c r="E1286" s="3"/>
      <c r="F1286" s="4"/>
      <c r="G1286" s="4"/>
      <c r="H1286" s="4"/>
      <c r="I1286" s="35"/>
      <c r="J1286" s="4"/>
      <c r="K1286" s="4"/>
      <c r="L1286" s="4"/>
      <c r="M1286" s="4"/>
      <c r="N1286" s="4"/>
      <c r="O1286" s="4"/>
      <c r="P1286" s="4"/>
    </row>
    <row r="1287" spans="1:16" ht="12.95" customHeight="1" x14ac:dyDescent="0.2">
      <c r="A1287" s="4" t="s">
        <v>123</v>
      </c>
      <c r="B1287" s="4" t="s">
        <v>31</v>
      </c>
      <c r="C1287" s="4"/>
      <c r="D1287" s="4"/>
      <c r="E1287" s="3"/>
      <c r="F1287" s="4"/>
      <c r="G1287" s="4"/>
      <c r="H1287" s="4"/>
      <c r="I1287" s="35"/>
      <c r="J1287" s="4"/>
      <c r="K1287" s="4"/>
      <c r="L1287" s="4"/>
      <c r="M1287" s="4"/>
      <c r="N1287" s="4"/>
      <c r="O1287" s="4"/>
      <c r="P1287" s="4"/>
    </row>
    <row r="1288" spans="1:16" x14ac:dyDescent="0.2">
      <c r="A1288" s="4" t="s">
        <v>33</v>
      </c>
      <c r="B1288" s="4" t="s">
        <v>34</v>
      </c>
      <c r="C1288" s="4" t="s">
        <v>34</v>
      </c>
      <c r="D1288" s="4" t="s">
        <v>34</v>
      </c>
      <c r="E1288" s="4" t="s">
        <v>1102</v>
      </c>
      <c r="F1288" s="4" t="s">
        <v>95</v>
      </c>
      <c r="G1288" s="4" t="s">
        <v>1103</v>
      </c>
      <c r="H1288" s="4" t="s">
        <v>170</v>
      </c>
      <c r="I1288" s="35" t="s">
        <v>336</v>
      </c>
      <c r="J1288" s="4" t="s">
        <v>1103</v>
      </c>
      <c r="K1288" s="4"/>
      <c r="L1288" s="4" t="s">
        <v>1101</v>
      </c>
      <c r="M1288" s="4" t="s">
        <v>93</v>
      </c>
      <c r="N1288" s="4"/>
      <c r="O1288" s="4"/>
      <c r="P1288" s="4"/>
    </row>
    <row r="1289" spans="1:16" ht="12.95" customHeight="1" x14ac:dyDescent="0.2">
      <c r="A1289" s="2" t="s">
        <v>131</v>
      </c>
      <c r="B1289" s="2" t="s">
        <v>42</v>
      </c>
      <c r="C1289" s="2" t="s">
        <v>220</v>
      </c>
      <c r="D1289" s="2" t="s">
        <v>1104</v>
      </c>
      <c r="E1289" s="3" t="s">
        <v>62</v>
      </c>
      <c r="F1289" s="2" t="s">
        <v>46</v>
      </c>
      <c r="G1289" s="2" t="s">
        <v>656</v>
      </c>
      <c r="H1289" s="2" t="s">
        <v>48</v>
      </c>
      <c r="I1289" s="13" t="s">
        <v>282</v>
      </c>
      <c r="J1289" s="2" t="s">
        <v>656</v>
      </c>
      <c r="K1289" s="2"/>
      <c r="L1289" s="2"/>
      <c r="M1289" s="2" t="s">
        <v>223</v>
      </c>
      <c r="N1289" s="2"/>
      <c r="O1289" s="2" t="s">
        <v>1090</v>
      </c>
      <c r="P1289" s="2"/>
    </row>
    <row r="1290" spans="1:16" ht="12.95" customHeight="1" x14ac:dyDescent="0.2">
      <c r="A1290" s="2" t="s">
        <v>138</v>
      </c>
      <c r="B1290" s="2" t="s">
        <v>42</v>
      </c>
      <c r="C1290" s="2" t="s">
        <v>657</v>
      </c>
      <c r="D1290" s="2" t="s">
        <v>1012</v>
      </c>
      <c r="E1290" s="3" t="s">
        <v>1105</v>
      </c>
      <c r="F1290" s="2"/>
      <c r="G1290" s="2" t="s">
        <v>1105</v>
      </c>
      <c r="H1290" s="2" t="s">
        <v>48</v>
      </c>
      <c r="I1290" s="13" t="s">
        <v>407</v>
      </c>
      <c r="J1290" s="2" t="s">
        <v>1105</v>
      </c>
      <c r="K1290" s="2"/>
      <c r="L1290" s="2"/>
      <c r="M1290" s="2" t="s">
        <v>1106</v>
      </c>
      <c r="N1290" s="2"/>
      <c r="O1290" s="2" t="s">
        <v>1090</v>
      </c>
      <c r="P1290" s="2"/>
    </row>
    <row r="1291" spans="1:16" ht="12.95" customHeight="1" x14ac:dyDescent="0.2">
      <c r="A1291" s="2" t="s">
        <v>143</v>
      </c>
      <c r="B1291" s="2" t="s">
        <v>42</v>
      </c>
      <c r="C1291" s="2" t="s">
        <v>113</v>
      </c>
      <c r="D1291" s="2" t="s">
        <v>1107</v>
      </c>
      <c r="E1291" s="3" t="s">
        <v>43</v>
      </c>
      <c r="F1291" s="2" t="s">
        <v>46</v>
      </c>
      <c r="G1291" s="2" t="s">
        <v>527</v>
      </c>
      <c r="H1291" s="2" t="s">
        <v>48</v>
      </c>
      <c r="I1291" s="13" t="s">
        <v>686</v>
      </c>
      <c r="J1291" s="2" t="s">
        <v>527</v>
      </c>
      <c r="K1291" s="2"/>
      <c r="L1291" s="2"/>
      <c r="M1291" s="2" t="s">
        <v>23</v>
      </c>
      <c r="N1291" s="2"/>
      <c r="O1291" s="2" t="s">
        <v>1090</v>
      </c>
      <c r="P1291" s="2"/>
    </row>
    <row r="1292" spans="1:16" ht="12.95" customHeight="1" x14ac:dyDescent="0.2">
      <c r="A1292" s="2" t="s">
        <v>148</v>
      </c>
      <c r="B1292" s="2" t="s">
        <v>42</v>
      </c>
      <c r="C1292" s="2" t="s">
        <v>876</v>
      </c>
      <c r="D1292" s="2" t="s">
        <v>1108</v>
      </c>
      <c r="E1292" s="3" t="s">
        <v>402</v>
      </c>
      <c r="F1292" s="2" t="s">
        <v>46</v>
      </c>
      <c r="G1292" s="2" t="s">
        <v>732</v>
      </c>
      <c r="H1292" s="2" t="s">
        <v>48</v>
      </c>
      <c r="I1292" s="13" t="s">
        <v>436</v>
      </c>
      <c r="J1292" s="2" t="s">
        <v>732</v>
      </c>
      <c r="K1292" s="2"/>
      <c r="L1292" s="2"/>
      <c r="M1292" s="2" t="s">
        <v>1075</v>
      </c>
      <c r="N1292" s="2"/>
      <c r="O1292" s="2" t="s">
        <v>1090</v>
      </c>
      <c r="P1292" s="2"/>
    </row>
    <row r="1293" spans="1:16" ht="12.95" customHeight="1" x14ac:dyDescent="0.2">
      <c r="A1293" s="2" t="s">
        <v>155</v>
      </c>
      <c r="B1293" s="2" t="s">
        <v>42</v>
      </c>
      <c r="C1293" s="2" t="s">
        <v>358</v>
      </c>
      <c r="D1293" s="2" t="s">
        <v>1109</v>
      </c>
      <c r="E1293" s="3" t="s">
        <v>797</v>
      </c>
      <c r="F1293" s="2"/>
      <c r="G1293" s="2" t="s">
        <v>797</v>
      </c>
      <c r="H1293" s="2" t="s">
        <v>48</v>
      </c>
      <c r="I1293" s="13" t="s">
        <v>1110</v>
      </c>
      <c r="J1293" s="2" t="s">
        <v>797</v>
      </c>
      <c r="K1293" s="2"/>
      <c r="L1293" s="2"/>
      <c r="M1293" s="2" t="s">
        <v>1111</v>
      </c>
      <c r="N1293" s="2"/>
      <c r="O1293" s="2" t="s">
        <v>1090</v>
      </c>
      <c r="P1293" s="2"/>
    </row>
    <row r="1294" spans="1:16" ht="12.95" customHeight="1" x14ac:dyDescent="0.2">
      <c r="A1294" s="8" t="s">
        <v>161</v>
      </c>
      <c r="B1294" s="8"/>
      <c r="C1294" s="8"/>
      <c r="D1294" s="8"/>
      <c r="E1294" s="5" t="s">
        <v>1112</v>
      </c>
      <c r="F1294" s="5" t="s">
        <v>1113</v>
      </c>
      <c r="G1294" s="5" t="s">
        <v>1114</v>
      </c>
      <c r="H1294" s="5" t="s">
        <v>1115</v>
      </c>
      <c r="I1294" s="36" t="s">
        <v>1116</v>
      </c>
      <c r="J1294" s="5" t="s">
        <v>1117</v>
      </c>
      <c r="K1294" s="5" t="s">
        <v>278</v>
      </c>
      <c r="L1294" s="5" t="s">
        <v>1118</v>
      </c>
      <c r="M1294" s="5" t="s">
        <v>1044</v>
      </c>
      <c r="N1294" s="5"/>
      <c r="O1294" s="5"/>
      <c r="P1294" s="5"/>
    </row>
    <row r="1295" spans="1:16" ht="12.95" customHeight="1" x14ac:dyDescent="0.2">
      <c r="A1295" s="8" t="s">
        <v>171</v>
      </c>
      <c r="B1295" s="8"/>
      <c r="C1295" s="8"/>
      <c r="D1295" s="8"/>
      <c r="E1295" s="5" t="s">
        <v>1112</v>
      </c>
      <c r="F1295" s="5" t="s">
        <v>1113</v>
      </c>
      <c r="G1295" s="5" t="s">
        <v>1114</v>
      </c>
      <c r="H1295" s="5" t="s">
        <v>1115</v>
      </c>
      <c r="I1295" s="36" t="s">
        <v>1119</v>
      </c>
      <c r="J1295" s="5" t="s">
        <v>1117</v>
      </c>
      <c r="K1295" s="5" t="s">
        <v>278</v>
      </c>
      <c r="L1295" s="5" t="s">
        <v>1118</v>
      </c>
      <c r="M1295" s="5" t="s">
        <v>1044</v>
      </c>
      <c r="N1295" s="5"/>
      <c r="O1295" s="5"/>
      <c r="P1295" s="5"/>
    </row>
    <row r="1296" spans="1:16" ht="12.95" customHeight="1" x14ac:dyDescent="0.2">
      <c r="A1296" s="8" t="s">
        <v>173</v>
      </c>
      <c r="B1296" s="8"/>
      <c r="C1296" s="8"/>
      <c r="D1296" s="8"/>
      <c r="E1296" s="5">
        <v>88.11</v>
      </c>
      <c r="F1296" s="5">
        <v>5</v>
      </c>
      <c r="G1296" s="5">
        <v>83.11</v>
      </c>
      <c r="H1296" s="5">
        <v>139.19999999999999</v>
      </c>
      <c r="I1296" s="36">
        <v>56.08</v>
      </c>
      <c r="J1296" s="5">
        <v>82.96</v>
      </c>
      <c r="K1296" s="5">
        <v>0.15</v>
      </c>
      <c r="L1296" s="5">
        <v>5.6</v>
      </c>
      <c r="M1296" s="5">
        <v>15.73</v>
      </c>
      <c r="N1296" s="5"/>
      <c r="O1296" s="5"/>
      <c r="P1296" s="5"/>
    </row>
    <row r="1297" spans="1:17" x14ac:dyDescent="0.2">
      <c r="I1297" s="37"/>
    </row>
    <row r="1298" spans="1:17" ht="12.95" customHeight="1" x14ac:dyDescent="0.2">
      <c r="A1298" s="9" t="s">
        <v>174</v>
      </c>
      <c r="B1298" s="9"/>
      <c r="C1298" s="9"/>
      <c r="E1298" s="9" t="s">
        <v>180</v>
      </c>
      <c r="F1298" s="9"/>
      <c r="G1298" s="9"/>
      <c r="I1298" s="9" t="s">
        <v>181</v>
      </c>
      <c r="J1298" s="9"/>
      <c r="K1298" s="9"/>
    </row>
    <row r="1299" spans="1:17" ht="12.95" customHeight="1" x14ac:dyDescent="0.2">
      <c r="A1299" s="10" t="s">
        <v>175</v>
      </c>
      <c r="B1299" s="10"/>
      <c r="C1299" s="6">
        <v>12</v>
      </c>
      <c r="E1299" s="10" t="s">
        <v>14</v>
      </c>
      <c r="F1299" s="10"/>
      <c r="G1299" s="6">
        <v>82.96</v>
      </c>
      <c r="I1299" s="10" t="s">
        <v>264</v>
      </c>
      <c r="J1299" s="10"/>
      <c r="K1299" s="43">
        <v>1</v>
      </c>
    </row>
    <row r="1300" spans="1:17" ht="12.95" customHeight="1" x14ac:dyDescent="0.2">
      <c r="A1300" s="10" t="s">
        <v>1531</v>
      </c>
      <c r="B1300" s="10"/>
      <c r="C1300" s="6">
        <v>11</v>
      </c>
      <c r="E1300" s="10" t="s">
        <v>15</v>
      </c>
      <c r="F1300" s="10"/>
      <c r="G1300" s="6">
        <v>0.15</v>
      </c>
      <c r="I1300" s="10" t="s">
        <v>27</v>
      </c>
      <c r="J1300" s="10"/>
      <c r="K1300" s="26">
        <v>3</v>
      </c>
    </row>
    <row r="1301" spans="1:17" ht="12.95" customHeight="1" x14ac:dyDescent="0.2">
      <c r="A1301" s="10" t="s">
        <v>176</v>
      </c>
      <c r="B1301" s="10"/>
      <c r="C1301" s="6">
        <v>88.11</v>
      </c>
      <c r="I1301" s="10" t="s">
        <v>22</v>
      </c>
      <c r="J1301" s="10"/>
      <c r="K1301" s="26">
        <v>3</v>
      </c>
    </row>
    <row r="1302" spans="1:17" ht="12.95" customHeight="1" x14ac:dyDescent="0.2">
      <c r="A1302" s="10" t="s">
        <v>177</v>
      </c>
      <c r="B1302" s="10"/>
      <c r="C1302" s="6">
        <v>139.19999999999999</v>
      </c>
      <c r="I1302" s="10" t="s">
        <v>1020</v>
      </c>
      <c r="J1302" s="10"/>
      <c r="K1302" s="6" cm="1">
        <f t="array" ref="K1302">SUMPRODUCT(--ISNUMBER(SEARCH("חל""ת",N1259:N1297)))</f>
        <v>11</v>
      </c>
    </row>
    <row r="1303" spans="1:17" ht="12.95" customHeight="1" x14ac:dyDescent="0.2">
      <c r="A1303" s="10" t="s">
        <v>11</v>
      </c>
      <c r="B1303" s="10"/>
      <c r="C1303" s="6">
        <v>83.11</v>
      </c>
      <c r="I1303" s="39" t="s">
        <v>1591</v>
      </c>
      <c r="J1303" s="19"/>
      <c r="K1303" s="20">
        <v>1.5</v>
      </c>
    </row>
    <row r="1304" spans="1:17" ht="12.95" customHeight="1" x14ac:dyDescent="0.2">
      <c r="A1304" s="10" t="s">
        <v>178</v>
      </c>
      <c r="B1304" s="10"/>
      <c r="C1304" s="6">
        <v>61.68</v>
      </c>
      <c r="I1304" s="39" t="s">
        <v>1592</v>
      </c>
      <c r="J1304" s="19"/>
      <c r="K1304" s="20">
        <v>0</v>
      </c>
    </row>
    <row r="1305" spans="1:17" ht="12.95" customHeight="1" x14ac:dyDescent="0.25">
      <c r="A1305" s="10" t="s">
        <v>17</v>
      </c>
      <c r="B1305" s="10"/>
      <c r="C1305" s="6">
        <v>15.73</v>
      </c>
      <c r="I1305" s="41" t="s">
        <v>1593</v>
      </c>
      <c r="J1305" s="40"/>
      <c r="K1305" s="42">
        <f>K1299+K1303+K1304</f>
        <v>2.5</v>
      </c>
    </row>
    <row r="1306" spans="1:17" ht="12.95" customHeight="1" x14ac:dyDescent="0.2">
      <c r="A1306" s="10" t="s">
        <v>179</v>
      </c>
      <c r="B1306" s="10"/>
      <c r="C1306" s="6">
        <v>0</v>
      </c>
    </row>
    <row r="1307" spans="1:17" x14ac:dyDescent="0.2">
      <c r="A1307" s="10" t="s">
        <v>10</v>
      </c>
      <c r="B1307" s="10"/>
      <c r="C1307" s="6">
        <v>5</v>
      </c>
    </row>
    <row r="1308" spans="1:17" x14ac:dyDescent="0.2">
      <c r="A1308" t="s">
        <v>1615</v>
      </c>
      <c r="C1308" cm="1">
        <f t="array" ref="C1308">IFERROR(SUMPRODUCT((ISNUMBER(SEARCH("מילואים",N1259:N1297))+ISNUMBER(SEARCH("מילואים",O1259:O1297))&gt;0)*(C1259:C1297&lt;&gt;"")*(J1259:J1297+0))*24,0)</f>
        <v>0</v>
      </c>
    </row>
    <row r="1309" spans="1:17" ht="12.95" customHeight="1" x14ac:dyDescent="0.2">
      <c r="A1309" s="7" t="s">
        <v>1120</v>
      </c>
      <c r="B1309" s="7"/>
      <c r="C1309" s="7"/>
      <c r="D1309" s="7" t="s">
        <v>1</v>
      </c>
      <c r="E1309" s="7"/>
      <c r="F1309" s="7"/>
      <c r="G1309" s="7"/>
      <c r="H1309" s="7" t="s">
        <v>944</v>
      </c>
      <c r="I1309" s="7"/>
      <c r="J1309" s="7"/>
      <c r="K1309" s="7"/>
      <c r="L1309" s="7"/>
      <c r="M1309" s="7"/>
      <c r="N1309" s="7"/>
      <c r="O1309" s="7"/>
      <c r="P1309" s="7"/>
      <c r="Q1309" s="7"/>
    </row>
    <row r="1310" spans="1:17" ht="12.95" customHeight="1" x14ac:dyDescent="0.2">
      <c r="A1310" s="7" t="s">
        <v>3</v>
      </c>
      <c r="B1310" s="7"/>
      <c r="C1310" s="7"/>
      <c r="D1310" s="7"/>
      <c r="E1310" s="7"/>
      <c r="F1310" s="7">
        <v>93</v>
      </c>
      <c r="G1310" s="7"/>
      <c r="H1310" s="7" t="s">
        <v>4</v>
      </c>
      <c r="I1310" s="7"/>
      <c r="J1310" s="7"/>
      <c r="K1310" s="7"/>
      <c r="L1310" s="7"/>
      <c r="M1310" s="7"/>
      <c r="N1310" s="7"/>
      <c r="O1310" s="7"/>
      <c r="P1310" s="7"/>
      <c r="Q1310" s="7"/>
    </row>
    <row r="1311" spans="1:17" ht="22.5" customHeight="1" x14ac:dyDescent="0.2">
      <c r="A1311" s="1" t="s">
        <v>5</v>
      </c>
      <c r="B1311" s="1" t="s">
        <v>6</v>
      </c>
      <c r="C1311" s="1" t="s">
        <v>7</v>
      </c>
      <c r="D1311" s="1" t="s">
        <v>8</v>
      </c>
      <c r="E1311" s="1" t="s">
        <v>9</v>
      </c>
      <c r="F1311" s="1" t="s">
        <v>10</v>
      </c>
      <c r="G1311" s="1" t="s">
        <v>11</v>
      </c>
      <c r="H1311" s="1" t="s">
        <v>12</v>
      </c>
      <c r="I1311" s="1" t="s">
        <v>13</v>
      </c>
      <c r="J1311" s="1" t="s">
        <v>14</v>
      </c>
      <c r="K1311" s="1" t="s">
        <v>15</v>
      </c>
      <c r="L1311" s="1" t="s">
        <v>267</v>
      </c>
      <c r="M1311" s="1" t="s">
        <v>16</v>
      </c>
      <c r="N1311" s="1" t="s">
        <v>17</v>
      </c>
      <c r="O1311" s="1" t="s">
        <v>18</v>
      </c>
      <c r="P1311" s="1" t="s">
        <v>19</v>
      </c>
      <c r="Q1311" s="1" t="s">
        <v>20</v>
      </c>
    </row>
    <row r="1312" spans="1:17" ht="12.95" customHeight="1" x14ac:dyDescent="0.2">
      <c r="A1312" s="2" t="s">
        <v>21</v>
      </c>
      <c r="B1312" s="2" t="s">
        <v>22</v>
      </c>
      <c r="C1312" s="2"/>
      <c r="D1312" s="2"/>
      <c r="E1312" s="3"/>
      <c r="F1312" s="2"/>
      <c r="G1312" s="2"/>
      <c r="H1312" s="2"/>
      <c r="I1312" s="13"/>
      <c r="J1312" s="2"/>
      <c r="K1312" s="2"/>
      <c r="L1312" s="2"/>
      <c r="M1312" s="2"/>
      <c r="N1312" s="2"/>
      <c r="O1312" s="2" t="s">
        <v>214</v>
      </c>
      <c r="P1312" s="2" t="s">
        <v>25</v>
      </c>
      <c r="Q1312" s="2"/>
    </row>
    <row r="1313" spans="1:17" ht="12.95" customHeight="1" x14ac:dyDescent="0.2">
      <c r="A1313" s="2" t="s">
        <v>26</v>
      </c>
      <c r="B1313" s="2" t="s">
        <v>27</v>
      </c>
      <c r="C1313" s="2"/>
      <c r="D1313" s="2"/>
      <c r="E1313" s="3"/>
      <c r="F1313" s="2"/>
      <c r="G1313" s="2"/>
      <c r="H1313" s="2"/>
      <c r="I1313" s="13"/>
      <c r="J1313" s="2"/>
      <c r="K1313" s="2"/>
      <c r="L1313" s="2"/>
      <c r="M1313" s="2"/>
      <c r="N1313" s="2"/>
      <c r="O1313" s="2" t="s">
        <v>214</v>
      </c>
      <c r="P1313" s="2" t="s">
        <v>29</v>
      </c>
      <c r="Q1313" s="2"/>
    </row>
    <row r="1314" spans="1:17" ht="12.95" customHeight="1" x14ac:dyDescent="0.2">
      <c r="A1314" s="4" t="s">
        <v>30</v>
      </c>
      <c r="B1314" s="4" t="s">
        <v>31</v>
      </c>
      <c r="C1314" s="4"/>
      <c r="D1314" s="4"/>
      <c r="E1314" s="3"/>
      <c r="F1314" s="4"/>
      <c r="G1314" s="4"/>
      <c r="H1314" s="4"/>
      <c r="I1314" s="35"/>
      <c r="J1314" s="4"/>
      <c r="K1314" s="4"/>
      <c r="L1314" s="4"/>
      <c r="M1314" s="4"/>
      <c r="N1314" s="4"/>
      <c r="O1314" s="4" t="s">
        <v>214</v>
      </c>
      <c r="P1314" s="4"/>
      <c r="Q1314" s="4"/>
    </row>
    <row r="1315" spans="1:17" ht="12.95" customHeight="1" x14ac:dyDescent="0.2">
      <c r="A1315" s="4" t="s">
        <v>32</v>
      </c>
      <c r="B1315" s="4" t="s">
        <v>31</v>
      </c>
      <c r="C1315" s="4"/>
      <c r="D1315" s="4"/>
      <c r="E1315" s="3"/>
      <c r="F1315" s="4"/>
      <c r="G1315" s="4"/>
      <c r="H1315" s="4"/>
      <c r="I1315" s="35"/>
      <c r="J1315" s="4"/>
      <c r="K1315" s="4"/>
      <c r="L1315" s="4"/>
      <c r="M1315" s="4"/>
      <c r="N1315" s="4"/>
      <c r="O1315" s="4" t="s">
        <v>214</v>
      </c>
      <c r="P1315" s="4"/>
      <c r="Q1315" s="4"/>
    </row>
    <row r="1316" spans="1:17" x14ac:dyDescent="0.2">
      <c r="A1316" s="4" t="s">
        <v>33</v>
      </c>
      <c r="B1316" s="4" t="s">
        <v>34</v>
      </c>
      <c r="C1316" s="4" t="s">
        <v>34</v>
      </c>
      <c r="D1316" s="4" t="s">
        <v>34</v>
      </c>
      <c r="E1316" s="4"/>
      <c r="F1316" s="4"/>
      <c r="G1316" s="4"/>
      <c r="H1316" s="4"/>
      <c r="I1316" s="35"/>
      <c r="J1316" s="4"/>
      <c r="K1316" s="4"/>
      <c r="L1316" s="4"/>
      <c r="M1316" s="4"/>
      <c r="N1316" s="4"/>
      <c r="O1316" s="4"/>
      <c r="P1316" s="4"/>
      <c r="Q1316" s="4"/>
    </row>
    <row r="1317" spans="1:17" ht="12.95" customHeight="1" x14ac:dyDescent="0.2">
      <c r="A1317" s="153" t="s">
        <v>35</v>
      </c>
      <c r="B1317" s="153" t="s">
        <v>36</v>
      </c>
      <c r="C1317" s="153" t="s">
        <v>219</v>
      </c>
      <c r="D1317" s="153" t="s">
        <v>1121</v>
      </c>
      <c r="E1317" s="152" t="s">
        <v>480</v>
      </c>
      <c r="F1317" s="153"/>
      <c r="G1317" s="153" t="s">
        <v>480</v>
      </c>
      <c r="H1317" s="153"/>
      <c r="I1317" s="153"/>
      <c r="J1317" s="153" t="s">
        <v>480</v>
      </c>
      <c r="K1317" s="153"/>
      <c r="L1317" s="153"/>
      <c r="M1317" s="153"/>
      <c r="N1317" s="153"/>
      <c r="O1317" s="153" t="s">
        <v>214</v>
      </c>
      <c r="P1317" s="2"/>
      <c r="Q1317" s="2"/>
    </row>
    <row r="1318" spans="1:17" ht="12.95" customHeight="1" x14ac:dyDescent="0.2">
      <c r="A1318" s="153" t="s">
        <v>38</v>
      </c>
      <c r="B1318" s="153" t="s">
        <v>36</v>
      </c>
      <c r="C1318" s="153" t="s">
        <v>107</v>
      </c>
      <c r="D1318" s="153" t="s">
        <v>531</v>
      </c>
      <c r="E1318" s="152" t="s">
        <v>1122</v>
      </c>
      <c r="F1318" s="153"/>
      <c r="G1318" s="153" t="s">
        <v>1122</v>
      </c>
      <c r="H1318" s="153"/>
      <c r="I1318" s="153"/>
      <c r="J1318" s="153" t="s">
        <v>1122</v>
      </c>
      <c r="K1318" s="153"/>
      <c r="L1318" s="153"/>
      <c r="M1318" s="153"/>
      <c r="N1318" s="153"/>
      <c r="O1318" s="153" t="s">
        <v>214</v>
      </c>
      <c r="P1318" s="2"/>
      <c r="Q1318" s="2"/>
    </row>
    <row r="1319" spans="1:17" ht="12.95" customHeight="1" x14ac:dyDescent="0.2">
      <c r="A1319" s="2" t="s">
        <v>39</v>
      </c>
      <c r="B1319" s="2" t="s">
        <v>22</v>
      </c>
      <c r="C1319" s="2"/>
      <c r="D1319" s="2"/>
      <c r="E1319" s="3"/>
      <c r="F1319" s="2"/>
      <c r="G1319" s="2"/>
      <c r="H1319" s="2"/>
      <c r="I1319" s="13"/>
      <c r="J1319" s="2"/>
      <c r="K1319" s="2"/>
      <c r="L1319" s="2"/>
      <c r="M1319" s="2"/>
      <c r="N1319" s="2"/>
      <c r="O1319" s="2" t="s">
        <v>214</v>
      </c>
      <c r="P1319" s="2" t="s">
        <v>25</v>
      </c>
      <c r="Q1319" s="2"/>
    </row>
    <row r="1320" spans="1:17" ht="12.95" customHeight="1" x14ac:dyDescent="0.2">
      <c r="A1320" s="2" t="s">
        <v>40</v>
      </c>
      <c r="B1320" s="2" t="s">
        <v>27</v>
      </c>
      <c r="C1320" s="2"/>
      <c r="D1320" s="2"/>
      <c r="E1320" s="3"/>
      <c r="F1320" s="2"/>
      <c r="G1320" s="2"/>
      <c r="H1320" s="2"/>
      <c r="I1320" s="13"/>
      <c r="J1320" s="2"/>
      <c r="K1320" s="2"/>
      <c r="L1320" s="2"/>
      <c r="M1320" s="2"/>
      <c r="N1320" s="2"/>
      <c r="O1320" s="2" t="s">
        <v>214</v>
      </c>
      <c r="P1320" s="2" t="s">
        <v>25</v>
      </c>
      <c r="Q1320" s="2"/>
    </row>
    <row r="1321" spans="1:17" ht="12.95" customHeight="1" x14ac:dyDescent="0.2">
      <c r="A1321" s="153" t="s">
        <v>41</v>
      </c>
      <c r="B1321" s="153" t="s">
        <v>42</v>
      </c>
      <c r="C1321" s="153" t="s">
        <v>972</v>
      </c>
      <c r="D1321" s="153" t="s">
        <v>542</v>
      </c>
      <c r="E1321" s="152" t="s">
        <v>827</v>
      </c>
      <c r="F1321" s="153" t="s">
        <v>46</v>
      </c>
      <c r="G1321" s="153" t="s">
        <v>1000</v>
      </c>
      <c r="H1321" s="153"/>
      <c r="I1321" s="153"/>
      <c r="J1321" s="153" t="s">
        <v>1000</v>
      </c>
      <c r="K1321" s="153"/>
      <c r="L1321" s="153"/>
      <c r="M1321" s="153"/>
      <c r="N1321" s="153"/>
      <c r="O1321" s="153" t="s">
        <v>214</v>
      </c>
      <c r="P1321" s="2" t="s">
        <v>1123</v>
      </c>
      <c r="Q1321" s="2"/>
    </row>
    <row r="1322" spans="1:17" ht="12.95" customHeight="1" x14ac:dyDescent="0.2">
      <c r="A1322" s="4" t="s">
        <v>51</v>
      </c>
      <c r="B1322" s="4" t="s">
        <v>31</v>
      </c>
      <c r="C1322" s="4"/>
      <c r="D1322" s="4"/>
      <c r="E1322" s="3"/>
      <c r="F1322" s="4"/>
      <c r="G1322" s="4"/>
      <c r="H1322" s="4"/>
      <c r="I1322" s="35"/>
      <c r="J1322" s="4"/>
      <c r="K1322" s="4"/>
      <c r="L1322" s="4"/>
      <c r="M1322" s="4"/>
      <c r="N1322" s="4"/>
      <c r="O1322" s="4" t="s">
        <v>214</v>
      </c>
      <c r="P1322" s="4"/>
      <c r="Q1322" s="4"/>
    </row>
    <row r="1323" spans="1:17" ht="12.95" customHeight="1" x14ac:dyDescent="0.2">
      <c r="A1323" s="4" t="s">
        <v>52</v>
      </c>
      <c r="B1323" s="4" t="s">
        <v>31</v>
      </c>
      <c r="C1323" s="4"/>
      <c r="D1323" s="4"/>
      <c r="E1323" s="3"/>
      <c r="F1323" s="4"/>
      <c r="G1323" s="4"/>
      <c r="H1323" s="4"/>
      <c r="I1323" s="35"/>
      <c r="J1323" s="4"/>
      <c r="K1323" s="4"/>
      <c r="L1323" s="4"/>
      <c r="M1323" s="4"/>
      <c r="N1323" s="4"/>
      <c r="O1323" s="4" t="s">
        <v>214</v>
      </c>
      <c r="P1323" s="4"/>
      <c r="Q1323" s="4"/>
    </row>
    <row r="1324" spans="1:17" x14ac:dyDescent="0.2">
      <c r="A1324" s="4" t="s">
        <v>33</v>
      </c>
      <c r="B1324" s="4" t="s">
        <v>34</v>
      </c>
      <c r="C1324" s="4" t="s">
        <v>34</v>
      </c>
      <c r="D1324" s="4" t="s">
        <v>34</v>
      </c>
      <c r="E1324" s="4" t="s">
        <v>1010</v>
      </c>
      <c r="F1324" s="4" t="s">
        <v>46</v>
      </c>
      <c r="G1324" s="4" t="s">
        <v>1124</v>
      </c>
      <c r="H1324" s="4"/>
      <c r="I1324" s="35"/>
      <c r="J1324" s="4" t="s">
        <v>1124</v>
      </c>
      <c r="K1324" s="4"/>
      <c r="L1324" s="4"/>
      <c r="M1324" s="4"/>
      <c r="N1324" s="4"/>
      <c r="O1324" s="4"/>
      <c r="P1324" s="4"/>
      <c r="Q1324" s="4"/>
    </row>
    <row r="1325" spans="1:17" ht="12.95" customHeight="1" x14ac:dyDescent="0.2">
      <c r="A1325" s="153" t="s">
        <v>54</v>
      </c>
      <c r="B1325" s="153" t="s">
        <v>42</v>
      </c>
      <c r="C1325" s="153" t="s">
        <v>1125</v>
      </c>
      <c r="D1325" s="153" t="s">
        <v>1126</v>
      </c>
      <c r="E1325" s="152" t="s">
        <v>71</v>
      </c>
      <c r="F1325" s="153" t="s">
        <v>46</v>
      </c>
      <c r="G1325" s="153" t="s">
        <v>72</v>
      </c>
      <c r="H1325" s="153"/>
      <c r="I1325" s="153"/>
      <c r="J1325" s="153" t="s">
        <v>48</v>
      </c>
      <c r="K1325" s="153" t="s">
        <v>73</v>
      </c>
      <c r="L1325" s="153"/>
      <c r="M1325" s="153"/>
      <c r="N1325" s="153"/>
      <c r="O1325" s="153" t="s">
        <v>214</v>
      </c>
      <c r="P1325" s="2" t="s">
        <v>1043</v>
      </c>
      <c r="Q1325" s="2"/>
    </row>
    <row r="1326" spans="1:17" ht="12.95" customHeight="1" x14ac:dyDescent="0.2">
      <c r="A1326" s="153" t="s">
        <v>61</v>
      </c>
      <c r="B1326" s="153" t="s">
        <v>42</v>
      </c>
      <c r="C1326" s="153" t="s">
        <v>77</v>
      </c>
      <c r="D1326" s="153" t="s">
        <v>419</v>
      </c>
      <c r="E1326" s="152" t="s">
        <v>271</v>
      </c>
      <c r="F1326" s="153" t="s">
        <v>46</v>
      </c>
      <c r="G1326" s="153" t="s">
        <v>725</v>
      </c>
      <c r="H1326" s="153"/>
      <c r="I1326" s="153"/>
      <c r="J1326" s="153" t="s">
        <v>48</v>
      </c>
      <c r="K1326" s="153" t="s">
        <v>401</v>
      </c>
      <c r="L1326" s="153"/>
      <c r="M1326" s="153"/>
      <c r="N1326" s="153"/>
      <c r="O1326" s="153" t="s">
        <v>214</v>
      </c>
      <c r="P1326" s="2" t="s">
        <v>1043</v>
      </c>
      <c r="Q1326" s="2"/>
    </row>
    <row r="1327" spans="1:17" ht="12.95" customHeight="1" x14ac:dyDescent="0.2">
      <c r="A1327" s="153" t="s">
        <v>68</v>
      </c>
      <c r="B1327" s="153" t="s">
        <v>42</v>
      </c>
      <c r="C1327" s="153" t="s">
        <v>246</v>
      </c>
      <c r="D1327" s="153" t="s">
        <v>363</v>
      </c>
      <c r="E1327" s="152" t="s">
        <v>1127</v>
      </c>
      <c r="F1327" s="153" t="s">
        <v>46</v>
      </c>
      <c r="G1327" s="153" t="s">
        <v>285</v>
      </c>
      <c r="H1327" s="153"/>
      <c r="I1327" s="153"/>
      <c r="J1327" s="153" t="s">
        <v>48</v>
      </c>
      <c r="K1327" s="153" t="s">
        <v>67</v>
      </c>
      <c r="L1327" s="153"/>
      <c r="M1327" s="153"/>
      <c r="N1327" s="153" t="s">
        <v>250</v>
      </c>
      <c r="O1327" s="153" t="s">
        <v>214</v>
      </c>
      <c r="P1327" s="2" t="s">
        <v>1043</v>
      </c>
      <c r="Q1327" s="2"/>
    </row>
    <row r="1328" spans="1:17" ht="12.95" customHeight="1" x14ac:dyDescent="0.2">
      <c r="A1328" s="2" t="s">
        <v>75</v>
      </c>
      <c r="B1328" s="2" t="s">
        <v>42</v>
      </c>
      <c r="C1328" s="2" t="s">
        <v>1122</v>
      </c>
      <c r="D1328" s="2" t="s">
        <v>992</v>
      </c>
      <c r="E1328" s="3" t="s">
        <v>358</v>
      </c>
      <c r="F1328" s="2" t="s">
        <v>46</v>
      </c>
      <c r="G1328" s="2" t="s">
        <v>359</v>
      </c>
      <c r="H1328" s="2" t="s">
        <v>48</v>
      </c>
      <c r="I1328" s="13"/>
      <c r="J1328" s="2" t="s">
        <v>48</v>
      </c>
      <c r="K1328" s="2" t="s">
        <v>360</v>
      </c>
      <c r="L1328" s="2"/>
      <c r="M1328" s="2" t="s">
        <v>360</v>
      </c>
      <c r="N1328" s="2"/>
      <c r="O1328" s="2"/>
      <c r="P1328" s="2" t="s">
        <v>1040</v>
      </c>
      <c r="Q1328" s="2"/>
    </row>
    <row r="1329" spans="1:17" ht="12.95" customHeight="1" x14ac:dyDescent="0.2">
      <c r="A1329" s="2" t="s">
        <v>81</v>
      </c>
      <c r="B1329" s="2" t="s">
        <v>42</v>
      </c>
      <c r="C1329" s="2" t="s">
        <v>721</v>
      </c>
      <c r="D1329" s="2" t="s">
        <v>673</v>
      </c>
      <c r="E1329" s="3" t="s">
        <v>45</v>
      </c>
      <c r="F1329" s="2" t="s">
        <v>46</v>
      </c>
      <c r="G1329" s="2" t="s">
        <v>47</v>
      </c>
      <c r="H1329" s="2" t="s">
        <v>48</v>
      </c>
      <c r="I1329" s="13"/>
      <c r="J1329" s="2" t="s">
        <v>48</v>
      </c>
      <c r="K1329" s="2" t="s">
        <v>49</v>
      </c>
      <c r="L1329" s="2"/>
      <c r="M1329" s="2" t="s">
        <v>49</v>
      </c>
      <c r="N1329" s="2" t="s">
        <v>85</v>
      </c>
      <c r="O1329" s="2"/>
      <c r="P1329" s="2" t="s">
        <v>1043</v>
      </c>
      <c r="Q1329" s="2"/>
    </row>
    <row r="1330" spans="1:17" ht="12.95" customHeight="1" x14ac:dyDescent="0.2">
      <c r="A1330" s="4" t="s">
        <v>87</v>
      </c>
      <c r="B1330" s="4" t="s">
        <v>31</v>
      </c>
      <c r="C1330" s="4"/>
      <c r="D1330" s="4"/>
      <c r="E1330" s="3"/>
      <c r="F1330" s="4"/>
      <c r="G1330" s="4"/>
      <c r="H1330" s="4"/>
      <c r="I1330" s="35"/>
      <c r="J1330" s="4"/>
      <c r="K1330" s="4"/>
      <c r="L1330" s="4"/>
      <c r="M1330" s="4"/>
      <c r="N1330" s="4"/>
      <c r="O1330" s="4"/>
      <c r="P1330" s="4"/>
      <c r="Q1330" s="4"/>
    </row>
    <row r="1331" spans="1:17" ht="12.95" customHeight="1" x14ac:dyDescent="0.2">
      <c r="A1331" s="4" t="s">
        <v>88</v>
      </c>
      <c r="B1331" s="4" t="s">
        <v>31</v>
      </c>
      <c r="C1331" s="4"/>
      <c r="D1331" s="4"/>
      <c r="E1331" s="3"/>
      <c r="F1331" s="4"/>
      <c r="G1331" s="4"/>
      <c r="H1331" s="4"/>
      <c r="I1331" s="35"/>
      <c r="J1331" s="4"/>
      <c r="K1331" s="4"/>
      <c r="L1331" s="4"/>
      <c r="M1331" s="4"/>
      <c r="N1331" s="4"/>
      <c r="O1331" s="4"/>
      <c r="P1331" s="4"/>
      <c r="Q1331" s="4"/>
    </row>
    <row r="1332" spans="1:17" x14ac:dyDescent="0.2">
      <c r="A1332" s="4" t="s">
        <v>33</v>
      </c>
      <c r="B1332" s="4" t="s">
        <v>34</v>
      </c>
      <c r="C1332" s="4" t="s">
        <v>34</v>
      </c>
      <c r="D1332" s="4" t="s">
        <v>34</v>
      </c>
      <c r="E1332" s="4" t="s">
        <v>1128</v>
      </c>
      <c r="F1332" s="4" t="s">
        <v>90</v>
      </c>
      <c r="G1332" s="4" t="s">
        <v>1129</v>
      </c>
      <c r="H1332" s="4" t="s">
        <v>63</v>
      </c>
      <c r="I1332" s="35"/>
      <c r="J1332" s="4" t="s">
        <v>92</v>
      </c>
      <c r="K1332" s="4" t="s">
        <v>951</v>
      </c>
      <c r="L1332" s="4"/>
      <c r="M1332" s="4" t="s">
        <v>369</v>
      </c>
      <c r="N1332" s="4" t="s">
        <v>314</v>
      </c>
      <c r="O1332" s="4"/>
      <c r="P1332" s="4"/>
      <c r="Q1332" s="4"/>
    </row>
    <row r="1333" spans="1:17" ht="12.95" customHeight="1" x14ac:dyDescent="0.2">
      <c r="A1333" s="2" t="s">
        <v>97</v>
      </c>
      <c r="B1333" s="2" t="s">
        <v>42</v>
      </c>
      <c r="C1333" s="2" t="s">
        <v>606</v>
      </c>
      <c r="D1333" s="2" t="s">
        <v>1130</v>
      </c>
      <c r="E1333" s="3" t="s">
        <v>474</v>
      </c>
      <c r="F1333" s="2" t="s">
        <v>46</v>
      </c>
      <c r="G1333" s="2" t="s">
        <v>488</v>
      </c>
      <c r="H1333" s="2" t="s">
        <v>48</v>
      </c>
      <c r="I1333" s="13"/>
      <c r="J1333" s="2" t="s">
        <v>48</v>
      </c>
      <c r="K1333" s="2" t="s">
        <v>369</v>
      </c>
      <c r="L1333" s="2"/>
      <c r="M1333" s="2" t="s">
        <v>369</v>
      </c>
      <c r="N1333" s="2"/>
      <c r="O1333" s="2"/>
      <c r="P1333" s="2" t="s">
        <v>1043</v>
      </c>
      <c r="Q1333" s="2"/>
    </row>
    <row r="1334" spans="1:17" ht="12.95" customHeight="1" x14ac:dyDescent="0.2">
      <c r="A1334" s="2" t="s">
        <v>104</v>
      </c>
      <c r="B1334" s="2" t="s">
        <v>42</v>
      </c>
      <c r="C1334" s="2" t="s">
        <v>683</v>
      </c>
      <c r="D1334" s="2" t="s">
        <v>487</v>
      </c>
      <c r="E1334" s="3" t="s">
        <v>533</v>
      </c>
      <c r="F1334" s="2" t="s">
        <v>46</v>
      </c>
      <c r="G1334" s="2" t="s">
        <v>145</v>
      </c>
      <c r="H1334" s="2" t="s">
        <v>108</v>
      </c>
      <c r="I1334" s="13"/>
      <c r="J1334" s="2" t="s">
        <v>48</v>
      </c>
      <c r="K1334" s="2" t="s">
        <v>342</v>
      </c>
      <c r="L1334" s="2"/>
      <c r="M1334" s="2" t="s">
        <v>680</v>
      </c>
      <c r="N1334" s="2" t="s">
        <v>102</v>
      </c>
      <c r="O1334" s="2"/>
      <c r="P1334" s="2" t="s">
        <v>1131</v>
      </c>
      <c r="Q1334" s="2"/>
    </row>
    <row r="1335" spans="1:17" ht="12.95" customHeight="1" x14ac:dyDescent="0.2">
      <c r="A1335" s="2" t="s">
        <v>112</v>
      </c>
      <c r="B1335" s="2" t="s">
        <v>22</v>
      </c>
      <c r="C1335" s="2" t="s">
        <v>703</v>
      </c>
      <c r="D1335" s="2" t="s">
        <v>1005</v>
      </c>
      <c r="E1335" s="3" t="s">
        <v>491</v>
      </c>
      <c r="F1335" s="2" t="s">
        <v>46</v>
      </c>
      <c r="G1335" s="2" t="s">
        <v>1132</v>
      </c>
      <c r="H1335" s="2" t="s">
        <v>113</v>
      </c>
      <c r="I1335" s="111" t="s">
        <v>396</v>
      </c>
      <c r="J1335" s="2" t="s">
        <v>1132</v>
      </c>
      <c r="K1335" s="2"/>
      <c r="L1335" s="2"/>
      <c r="M1335" s="2"/>
      <c r="N1335" s="2"/>
      <c r="O1335" s="2" t="s">
        <v>24</v>
      </c>
      <c r="P1335" s="2" t="s">
        <v>1043</v>
      </c>
      <c r="Q1335" s="2"/>
    </row>
    <row r="1336" spans="1:17" ht="12.95" customHeight="1" x14ac:dyDescent="0.2">
      <c r="A1336" s="2" t="s">
        <v>114</v>
      </c>
      <c r="B1336" s="2" t="s">
        <v>27</v>
      </c>
      <c r="C1336" s="2"/>
      <c r="D1336" s="2"/>
      <c r="E1336" s="3"/>
      <c r="F1336" s="2"/>
      <c r="G1336" s="2"/>
      <c r="H1336" s="2"/>
      <c r="I1336" s="13"/>
      <c r="J1336" s="2"/>
      <c r="K1336" s="2"/>
      <c r="L1336" s="2"/>
      <c r="M1336" s="2"/>
      <c r="N1336" s="2"/>
      <c r="O1336" s="2" t="s">
        <v>28</v>
      </c>
      <c r="P1336" s="2" t="s">
        <v>111</v>
      </c>
      <c r="Q1336" s="2"/>
    </row>
    <row r="1337" spans="1:17" ht="12.95" customHeight="1" x14ac:dyDescent="0.2">
      <c r="A1337" s="2" t="s">
        <v>115</v>
      </c>
      <c r="B1337" s="2" t="s">
        <v>42</v>
      </c>
      <c r="C1337" s="2" t="s">
        <v>606</v>
      </c>
      <c r="D1337" s="2" t="s">
        <v>1126</v>
      </c>
      <c r="E1337" s="3" t="s">
        <v>1133</v>
      </c>
      <c r="F1337" s="2" t="s">
        <v>46</v>
      </c>
      <c r="G1337" s="2" t="s">
        <v>1134</v>
      </c>
      <c r="H1337" s="2" t="s">
        <v>48</v>
      </c>
      <c r="I1337" s="13"/>
      <c r="J1337" s="2" t="s">
        <v>48</v>
      </c>
      <c r="K1337" s="2" t="s">
        <v>290</v>
      </c>
      <c r="L1337" s="2"/>
      <c r="M1337" s="2" t="s">
        <v>290</v>
      </c>
      <c r="N1337" s="2"/>
      <c r="O1337" s="2"/>
      <c r="P1337" s="2" t="s">
        <v>1043</v>
      </c>
      <c r="Q1337" s="2"/>
    </row>
    <row r="1338" spans="1:17" ht="12.95" customHeight="1" x14ac:dyDescent="0.2">
      <c r="A1338" s="4" t="s">
        <v>122</v>
      </c>
      <c r="B1338" s="4" t="s">
        <v>31</v>
      </c>
      <c r="C1338" s="4"/>
      <c r="D1338" s="4"/>
      <c r="E1338" s="3"/>
      <c r="F1338" s="4"/>
      <c r="G1338" s="4"/>
      <c r="H1338" s="4"/>
      <c r="I1338" s="35"/>
      <c r="J1338" s="4"/>
      <c r="K1338" s="4"/>
      <c r="L1338" s="4"/>
      <c r="M1338" s="4"/>
      <c r="N1338" s="4"/>
      <c r="O1338" s="4"/>
      <c r="P1338" s="4"/>
      <c r="Q1338" s="4"/>
    </row>
    <row r="1339" spans="1:17" ht="12.95" customHeight="1" x14ac:dyDescent="0.2">
      <c r="A1339" s="4" t="s">
        <v>123</v>
      </c>
      <c r="B1339" s="4" t="s">
        <v>31</v>
      </c>
      <c r="C1339" s="4"/>
      <c r="D1339" s="4"/>
      <c r="E1339" s="3"/>
      <c r="F1339" s="4"/>
      <c r="G1339" s="4"/>
      <c r="H1339" s="4"/>
      <c r="I1339" s="35"/>
      <c r="J1339" s="4"/>
      <c r="K1339" s="4"/>
      <c r="L1339" s="4"/>
      <c r="M1339" s="4"/>
      <c r="N1339" s="4"/>
      <c r="O1339" s="4"/>
      <c r="P1339" s="4"/>
      <c r="Q1339" s="4"/>
    </row>
    <row r="1340" spans="1:17" x14ac:dyDescent="0.2">
      <c r="A1340" s="4" t="s">
        <v>33</v>
      </c>
      <c r="B1340" s="4" t="s">
        <v>34</v>
      </c>
      <c r="C1340" s="4" t="s">
        <v>34</v>
      </c>
      <c r="D1340" s="4" t="s">
        <v>34</v>
      </c>
      <c r="E1340" s="4" t="s">
        <v>1135</v>
      </c>
      <c r="F1340" s="4" t="s">
        <v>272</v>
      </c>
      <c r="G1340" s="4" t="s">
        <v>1136</v>
      </c>
      <c r="H1340" s="4" t="s">
        <v>127</v>
      </c>
      <c r="I1340" s="35" t="s">
        <v>396</v>
      </c>
      <c r="J1340" s="4" t="s">
        <v>1137</v>
      </c>
      <c r="K1340" s="4" t="s">
        <v>610</v>
      </c>
      <c r="L1340" s="4"/>
      <c r="M1340" s="4" t="s">
        <v>1133</v>
      </c>
      <c r="N1340" s="4" t="s">
        <v>102</v>
      </c>
      <c r="O1340" s="4"/>
      <c r="P1340" s="4"/>
      <c r="Q1340" s="4"/>
    </row>
    <row r="1341" spans="1:17" ht="12.95" customHeight="1" x14ac:dyDescent="0.2">
      <c r="A1341" s="2" t="s">
        <v>131</v>
      </c>
      <c r="B1341" s="2" t="s">
        <v>42</v>
      </c>
      <c r="C1341" s="2" t="s">
        <v>1060</v>
      </c>
      <c r="D1341" s="2" t="s">
        <v>846</v>
      </c>
      <c r="E1341" s="3" t="s">
        <v>744</v>
      </c>
      <c r="F1341" s="2" t="s">
        <v>46</v>
      </c>
      <c r="G1341" s="2" t="s">
        <v>238</v>
      </c>
      <c r="H1341" s="2" t="s">
        <v>48</v>
      </c>
      <c r="I1341" s="13"/>
      <c r="J1341" s="2" t="s">
        <v>48</v>
      </c>
      <c r="K1341" s="2" t="s">
        <v>250</v>
      </c>
      <c r="L1341" s="2"/>
      <c r="M1341" s="2" t="s">
        <v>250</v>
      </c>
      <c r="N1341" s="2"/>
      <c r="O1341" s="2"/>
      <c r="P1341" s="2" t="s">
        <v>1040</v>
      </c>
      <c r="Q1341" s="2"/>
    </row>
    <row r="1342" spans="1:17" ht="12.95" customHeight="1" x14ac:dyDescent="0.2">
      <c r="A1342" s="2" t="s">
        <v>138</v>
      </c>
      <c r="B1342" s="2" t="s">
        <v>42</v>
      </c>
      <c r="C1342" s="2" t="s">
        <v>1006</v>
      </c>
      <c r="D1342" s="2" t="s">
        <v>615</v>
      </c>
      <c r="E1342" s="3" t="s">
        <v>1138</v>
      </c>
      <c r="F1342" s="2" t="s">
        <v>46</v>
      </c>
      <c r="G1342" s="2" t="s">
        <v>462</v>
      </c>
      <c r="H1342" s="2" t="s">
        <v>48</v>
      </c>
      <c r="I1342" s="13"/>
      <c r="J1342" s="2" t="s">
        <v>48</v>
      </c>
      <c r="K1342" s="2" t="s">
        <v>272</v>
      </c>
      <c r="L1342" s="2" t="s">
        <v>490</v>
      </c>
      <c r="M1342" s="2" t="s">
        <v>561</v>
      </c>
      <c r="N1342" s="2"/>
      <c r="O1342" s="2"/>
      <c r="P1342" s="2" t="s">
        <v>1043</v>
      </c>
      <c r="Q1342" s="2"/>
    </row>
    <row r="1343" spans="1:17" ht="12.95" customHeight="1" x14ac:dyDescent="0.2">
      <c r="A1343" s="2" t="s">
        <v>143</v>
      </c>
      <c r="B1343" s="2" t="s">
        <v>42</v>
      </c>
      <c r="C1343" s="2" t="s">
        <v>955</v>
      </c>
      <c r="D1343" s="2" t="s">
        <v>56</v>
      </c>
      <c r="E1343" s="3" t="s">
        <v>1139</v>
      </c>
      <c r="F1343" s="2" t="s">
        <v>46</v>
      </c>
      <c r="G1343" s="2" t="s">
        <v>1140</v>
      </c>
      <c r="H1343" s="2" t="s">
        <v>48</v>
      </c>
      <c r="I1343" s="13"/>
      <c r="J1343" s="2" t="s">
        <v>48</v>
      </c>
      <c r="K1343" s="2" t="s">
        <v>125</v>
      </c>
      <c r="L1343" s="2"/>
      <c r="M1343" s="2" t="s">
        <v>125</v>
      </c>
      <c r="N1343" s="2"/>
      <c r="O1343" s="2"/>
      <c r="P1343" s="2" t="s">
        <v>1043</v>
      </c>
      <c r="Q1343" s="2"/>
    </row>
    <row r="1344" spans="1:17" ht="12.95" customHeight="1" x14ac:dyDescent="0.2">
      <c r="A1344" s="2" t="s">
        <v>148</v>
      </c>
      <c r="B1344" s="2" t="s">
        <v>42</v>
      </c>
      <c r="C1344" s="2" t="s">
        <v>740</v>
      </c>
      <c r="D1344" s="2" t="s">
        <v>741</v>
      </c>
      <c r="E1344" s="3" t="s">
        <v>661</v>
      </c>
      <c r="F1344" s="2" t="s">
        <v>46</v>
      </c>
      <c r="G1344" s="2" t="s">
        <v>100</v>
      </c>
      <c r="H1344" s="2" t="s">
        <v>48</v>
      </c>
      <c r="I1344" s="13"/>
      <c r="J1344" s="2" t="s">
        <v>48</v>
      </c>
      <c r="K1344" s="2" t="s">
        <v>560</v>
      </c>
      <c r="L1344" s="2"/>
      <c r="M1344" s="2" t="s">
        <v>560</v>
      </c>
      <c r="N1344" s="2" t="s">
        <v>315</v>
      </c>
      <c r="O1344" s="2"/>
      <c r="P1344" s="2" t="s">
        <v>1043</v>
      </c>
      <c r="Q1344" s="2"/>
    </row>
    <row r="1345" spans="1:17" ht="12.95" customHeight="1" x14ac:dyDescent="0.2">
      <c r="A1345" s="2" t="s">
        <v>155</v>
      </c>
      <c r="B1345" s="2" t="s">
        <v>42</v>
      </c>
      <c r="C1345" s="2" t="s">
        <v>1141</v>
      </c>
      <c r="D1345" s="2" t="s">
        <v>1108</v>
      </c>
      <c r="E1345" s="3" t="s">
        <v>285</v>
      </c>
      <c r="F1345" s="2" t="s">
        <v>46</v>
      </c>
      <c r="G1345" s="2" t="s">
        <v>286</v>
      </c>
      <c r="H1345" s="2" t="s">
        <v>48</v>
      </c>
      <c r="I1345" s="13"/>
      <c r="J1345" s="2" t="s">
        <v>48</v>
      </c>
      <c r="K1345" s="2" t="s">
        <v>287</v>
      </c>
      <c r="L1345" s="2"/>
      <c r="M1345" s="2" t="s">
        <v>287</v>
      </c>
      <c r="N1345" s="2" t="s">
        <v>66</v>
      </c>
      <c r="O1345" s="2"/>
      <c r="P1345" s="2" t="s">
        <v>1043</v>
      </c>
      <c r="Q1345" s="2"/>
    </row>
    <row r="1346" spans="1:17" ht="12.95" customHeight="1" x14ac:dyDescent="0.2">
      <c r="A1346" s="8" t="s">
        <v>161</v>
      </c>
      <c r="B1346" s="8"/>
      <c r="C1346" s="8"/>
      <c r="D1346" s="8"/>
      <c r="E1346" s="5" t="s">
        <v>1142</v>
      </c>
      <c r="F1346" s="5" t="s">
        <v>227</v>
      </c>
      <c r="G1346" s="5" t="s">
        <v>1143</v>
      </c>
      <c r="H1346" s="5" t="s">
        <v>1144</v>
      </c>
      <c r="I1346" s="36" t="s">
        <v>396</v>
      </c>
      <c r="J1346" s="5" t="s">
        <v>1145</v>
      </c>
      <c r="K1346" s="5" t="s">
        <v>822</v>
      </c>
      <c r="L1346" s="5" t="s">
        <v>490</v>
      </c>
      <c r="M1346" s="5" t="s">
        <v>1102</v>
      </c>
      <c r="N1346" s="5" t="s">
        <v>686</v>
      </c>
      <c r="O1346" s="5"/>
      <c r="P1346" s="5"/>
      <c r="Q1346" s="5"/>
    </row>
    <row r="1347" spans="1:17" ht="12.95" customHeight="1" x14ac:dyDescent="0.2">
      <c r="A1347" s="8" t="s">
        <v>171</v>
      </c>
      <c r="B1347" s="8"/>
      <c r="C1347" s="8"/>
      <c r="D1347" s="8"/>
      <c r="E1347" s="5" t="s">
        <v>1142</v>
      </c>
      <c r="F1347" s="5" t="s">
        <v>227</v>
      </c>
      <c r="G1347" s="5" t="s">
        <v>1143</v>
      </c>
      <c r="H1347" s="5" t="s">
        <v>1144</v>
      </c>
      <c r="I1347" s="36" t="s">
        <v>296</v>
      </c>
      <c r="J1347" s="5" t="s">
        <v>1145</v>
      </c>
      <c r="K1347" s="5" t="s">
        <v>822</v>
      </c>
      <c r="L1347" s="5" t="s">
        <v>490</v>
      </c>
      <c r="M1347" s="5" t="s">
        <v>1102</v>
      </c>
      <c r="N1347" s="5" t="s">
        <v>686</v>
      </c>
      <c r="O1347" s="5"/>
      <c r="P1347" s="5"/>
      <c r="Q1347" s="5"/>
    </row>
    <row r="1348" spans="1:17" ht="12.95" customHeight="1" x14ac:dyDescent="0.2">
      <c r="A1348" s="8" t="s">
        <v>173</v>
      </c>
      <c r="B1348" s="8"/>
      <c r="C1348" s="8"/>
      <c r="D1348" s="8"/>
      <c r="E1348" s="5">
        <v>154.88</v>
      </c>
      <c r="F1348" s="5">
        <v>7.5</v>
      </c>
      <c r="G1348" s="5">
        <v>147.38</v>
      </c>
      <c r="H1348" s="5">
        <v>84.4</v>
      </c>
      <c r="I1348" s="36">
        <v>0</v>
      </c>
      <c r="J1348" s="5">
        <v>136.47999999999999</v>
      </c>
      <c r="K1348" s="5">
        <v>10.63</v>
      </c>
      <c r="L1348" s="5">
        <v>0.26</v>
      </c>
      <c r="M1348" s="5">
        <v>15.05</v>
      </c>
      <c r="N1348" s="5">
        <v>1.36</v>
      </c>
      <c r="O1348" s="5"/>
      <c r="P1348" s="5"/>
      <c r="Q1348" s="5"/>
    </row>
    <row r="1349" spans="1:17" x14ac:dyDescent="0.2">
      <c r="I1349" s="37"/>
    </row>
    <row r="1350" spans="1:17" ht="12.95" customHeight="1" x14ac:dyDescent="0.2">
      <c r="A1350" s="9" t="s">
        <v>174</v>
      </c>
      <c r="B1350" s="9"/>
      <c r="C1350" s="9"/>
      <c r="E1350" s="9" t="s">
        <v>180</v>
      </c>
      <c r="F1350" s="9"/>
      <c r="G1350" s="9"/>
      <c r="I1350" s="9" t="s">
        <v>181</v>
      </c>
      <c r="J1350" s="9"/>
      <c r="K1350" s="9"/>
    </row>
    <row r="1351" spans="1:17" ht="12.95" customHeight="1" x14ac:dyDescent="0.2">
      <c r="A1351" s="10" t="s">
        <v>175</v>
      </c>
      <c r="B1351" s="10"/>
      <c r="C1351" s="6">
        <v>17</v>
      </c>
      <c r="E1351" s="10" t="s">
        <v>14</v>
      </c>
      <c r="F1351" s="10"/>
      <c r="G1351" s="6">
        <v>136.47999999999999</v>
      </c>
      <c r="I1351" s="10" t="s">
        <v>265</v>
      </c>
      <c r="J1351" s="10"/>
      <c r="K1351" s="6">
        <v>14</v>
      </c>
    </row>
    <row r="1352" spans="1:17" ht="12.95" customHeight="1" x14ac:dyDescent="0.2">
      <c r="A1352" s="10" t="s">
        <v>1531</v>
      </c>
      <c r="B1352" s="10"/>
      <c r="C1352" s="6">
        <v>22</v>
      </c>
      <c r="E1352" s="10" t="s">
        <v>15</v>
      </c>
      <c r="F1352" s="10"/>
      <c r="G1352" s="6">
        <v>10.63</v>
      </c>
      <c r="I1352" s="10" t="s">
        <v>27</v>
      </c>
      <c r="J1352" s="10"/>
      <c r="K1352" s="26">
        <v>3</v>
      </c>
    </row>
    <row r="1353" spans="1:17" ht="12.95" customHeight="1" x14ac:dyDescent="0.2">
      <c r="A1353" s="10" t="s">
        <v>176</v>
      </c>
      <c r="B1353" s="10"/>
      <c r="C1353" s="6">
        <v>154.88</v>
      </c>
      <c r="E1353" s="10" t="s">
        <v>267</v>
      </c>
      <c r="F1353" s="10"/>
      <c r="G1353" s="6">
        <v>0.26</v>
      </c>
      <c r="I1353" s="10" t="s">
        <v>22</v>
      </c>
      <c r="J1353" s="10"/>
      <c r="K1353" s="26">
        <v>0</v>
      </c>
    </row>
    <row r="1354" spans="1:17" ht="12.95" customHeight="1" x14ac:dyDescent="0.2">
      <c r="A1354" s="10" t="s">
        <v>177</v>
      </c>
      <c r="B1354" s="10"/>
      <c r="C1354" s="6">
        <v>84.4</v>
      </c>
      <c r="I1354" s="39" t="s">
        <v>1591</v>
      </c>
      <c r="J1354" s="19"/>
      <c r="K1354" s="20">
        <v>0</v>
      </c>
    </row>
    <row r="1355" spans="1:17" ht="12.95" customHeight="1" x14ac:dyDescent="0.2">
      <c r="A1355" s="10" t="s">
        <v>11</v>
      </c>
      <c r="B1355" s="10"/>
      <c r="C1355" s="6">
        <v>147.38</v>
      </c>
      <c r="I1355" s="39" t="s">
        <v>1592</v>
      </c>
      <c r="J1355" s="19"/>
      <c r="K1355" s="20">
        <v>0</v>
      </c>
    </row>
    <row r="1356" spans="1:17" ht="12.95" customHeight="1" x14ac:dyDescent="0.25">
      <c r="A1356" s="10" t="s">
        <v>178</v>
      </c>
      <c r="B1356" s="10"/>
      <c r="C1356" s="6">
        <v>1.56</v>
      </c>
      <c r="I1356" s="41" t="s">
        <v>1593</v>
      </c>
      <c r="J1356" s="40"/>
      <c r="K1356" s="42">
        <f>K1354+K1355</f>
        <v>0</v>
      </c>
    </row>
    <row r="1357" spans="1:17" ht="12.95" customHeight="1" x14ac:dyDescent="0.2">
      <c r="A1357" s="10" t="s">
        <v>17</v>
      </c>
      <c r="B1357" s="10"/>
      <c r="C1357" s="113">
        <v>-0.21</v>
      </c>
    </row>
    <row r="1358" spans="1:17" ht="12.95" customHeight="1" x14ac:dyDescent="0.2">
      <c r="A1358" s="10" t="s">
        <v>179</v>
      </c>
      <c r="B1358" s="10"/>
      <c r="C1358" s="6">
        <v>0</v>
      </c>
    </row>
    <row r="1359" spans="1:17" x14ac:dyDescent="0.2">
      <c r="A1359" s="10" t="s">
        <v>10</v>
      </c>
      <c r="B1359" s="10"/>
      <c r="C1359" s="6">
        <v>7.5</v>
      </c>
    </row>
    <row r="1360" spans="1:17" ht="15" x14ac:dyDescent="0.25">
      <c r="A1360" s="154" t="s">
        <v>1615</v>
      </c>
      <c r="B1360" s="154"/>
      <c r="C1360" s="154" cm="1">
        <f t="array" ref="C1360">IFERROR(SUMPRODUCT(ISNUMBER(SEARCH("מילואים",O1312:O1349))*(C1312:C1349&lt;&gt;"")*(J1312:J1349+0))*24,0)</f>
        <v>46.650000000000006</v>
      </c>
    </row>
    <row r="1361" spans="1:16" ht="12.95" customHeight="1" x14ac:dyDescent="0.2">
      <c r="A1361" s="7" t="s">
        <v>1146</v>
      </c>
      <c r="B1361" s="7"/>
      <c r="C1361" s="7"/>
      <c r="D1361" s="7" t="s">
        <v>1</v>
      </c>
      <c r="E1361" s="7"/>
      <c r="F1361" s="7"/>
      <c r="G1361" s="7"/>
      <c r="H1361" s="7" t="s">
        <v>944</v>
      </c>
      <c r="I1361" s="7"/>
      <c r="J1361" s="7"/>
      <c r="K1361" s="7"/>
      <c r="L1361" s="7"/>
      <c r="M1361" s="7"/>
      <c r="N1361" s="7"/>
      <c r="O1361" s="7"/>
      <c r="P1361" s="7"/>
    </row>
    <row r="1362" spans="1:16" ht="12.95" customHeight="1" x14ac:dyDescent="0.2">
      <c r="A1362" s="7" t="s">
        <v>3</v>
      </c>
      <c r="B1362" s="7"/>
      <c r="C1362" s="7"/>
      <c r="D1362" s="7"/>
      <c r="E1362" s="7"/>
      <c r="F1362" s="7">
        <v>92</v>
      </c>
      <c r="G1362" s="7"/>
      <c r="H1362" s="7" t="s">
        <v>4</v>
      </c>
      <c r="I1362" s="7"/>
      <c r="J1362" s="7"/>
      <c r="K1362" s="7"/>
      <c r="L1362" s="7"/>
      <c r="M1362" s="7"/>
      <c r="N1362" s="7"/>
      <c r="O1362" s="7"/>
      <c r="P1362" s="7"/>
    </row>
    <row r="1363" spans="1:16" ht="22.5" customHeight="1" x14ac:dyDescent="0.2">
      <c r="A1363" s="1" t="s">
        <v>5</v>
      </c>
      <c r="B1363" s="1" t="s">
        <v>6</v>
      </c>
      <c r="C1363" s="1" t="s">
        <v>7</v>
      </c>
      <c r="D1363" s="1" t="s">
        <v>8</v>
      </c>
      <c r="E1363" s="1" t="s">
        <v>9</v>
      </c>
      <c r="F1363" s="1" t="s">
        <v>10</v>
      </c>
      <c r="G1363" s="1" t="s">
        <v>11</v>
      </c>
      <c r="H1363" s="1" t="s">
        <v>12</v>
      </c>
      <c r="I1363" s="1" t="s">
        <v>13</v>
      </c>
      <c r="J1363" s="1" t="s">
        <v>14</v>
      </c>
      <c r="K1363" s="1" t="s">
        <v>15</v>
      </c>
      <c r="L1363" s="1" t="s">
        <v>16</v>
      </c>
      <c r="M1363" s="1" t="s">
        <v>17</v>
      </c>
      <c r="N1363" s="1" t="s">
        <v>18</v>
      </c>
      <c r="O1363" s="1" t="s">
        <v>19</v>
      </c>
      <c r="P1363" s="1" t="s">
        <v>20</v>
      </c>
    </row>
    <row r="1364" spans="1:16" ht="12.95" customHeight="1" x14ac:dyDescent="0.2">
      <c r="A1364" s="2" t="s">
        <v>21</v>
      </c>
      <c r="B1364" s="2" t="s">
        <v>22</v>
      </c>
      <c r="C1364" s="2"/>
      <c r="D1364" s="2"/>
      <c r="E1364" s="3"/>
      <c r="F1364" s="2"/>
      <c r="G1364" s="2"/>
      <c r="H1364" s="2" t="s">
        <v>23</v>
      </c>
      <c r="I1364" s="12" t="s">
        <v>23</v>
      </c>
      <c r="J1364" s="2"/>
      <c r="K1364" s="2"/>
      <c r="L1364" s="2"/>
      <c r="M1364" s="2"/>
      <c r="N1364" s="2" t="s">
        <v>24</v>
      </c>
      <c r="O1364" s="2" t="s">
        <v>25</v>
      </c>
      <c r="P1364" s="2"/>
    </row>
    <row r="1365" spans="1:16" ht="12.95" customHeight="1" x14ac:dyDescent="0.2">
      <c r="A1365" s="2" t="s">
        <v>26</v>
      </c>
      <c r="B1365" s="2" t="s">
        <v>27</v>
      </c>
      <c r="C1365" s="2"/>
      <c r="D1365" s="2"/>
      <c r="E1365" s="3"/>
      <c r="F1365" s="2"/>
      <c r="G1365" s="2"/>
      <c r="H1365" s="2"/>
      <c r="I1365" s="13"/>
      <c r="J1365" s="2"/>
      <c r="K1365" s="2"/>
      <c r="L1365" s="2"/>
      <c r="M1365" s="2"/>
      <c r="N1365" s="2" t="s">
        <v>28</v>
      </c>
      <c r="O1365" s="2" t="s">
        <v>29</v>
      </c>
      <c r="P1365" s="2"/>
    </row>
    <row r="1366" spans="1:16" ht="12.95" customHeight="1" x14ac:dyDescent="0.2">
      <c r="A1366" s="4" t="s">
        <v>30</v>
      </c>
      <c r="B1366" s="4" t="s">
        <v>31</v>
      </c>
      <c r="C1366" s="4"/>
      <c r="D1366" s="4"/>
      <c r="E1366" s="3"/>
      <c r="F1366" s="4"/>
      <c r="G1366" s="4"/>
      <c r="H1366" s="4"/>
      <c r="I1366" s="35"/>
      <c r="J1366" s="4"/>
      <c r="K1366" s="4"/>
      <c r="L1366" s="4"/>
      <c r="M1366" s="4"/>
      <c r="N1366" s="4"/>
      <c r="O1366" s="4"/>
      <c r="P1366" s="4"/>
    </row>
    <row r="1367" spans="1:16" ht="12.95" customHeight="1" x14ac:dyDescent="0.2">
      <c r="A1367" s="4" t="s">
        <v>32</v>
      </c>
      <c r="B1367" s="4" t="s">
        <v>31</v>
      </c>
      <c r="C1367" s="4"/>
      <c r="D1367" s="4"/>
      <c r="E1367" s="3"/>
      <c r="F1367" s="4"/>
      <c r="G1367" s="4"/>
      <c r="H1367" s="4"/>
      <c r="I1367" s="35"/>
      <c r="J1367" s="4"/>
      <c r="K1367" s="4"/>
      <c r="L1367" s="4"/>
      <c r="M1367" s="4"/>
      <c r="N1367" s="4"/>
      <c r="O1367" s="4"/>
      <c r="P1367" s="4"/>
    </row>
    <row r="1368" spans="1:16" x14ac:dyDescent="0.2">
      <c r="A1368" s="4" t="s">
        <v>33</v>
      </c>
      <c r="B1368" s="4" t="s">
        <v>34</v>
      </c>
      <c r="C1368" s="4" t="s">
        <v>34</v>
      </c>
      <c r="D1368" s="4" t="s">
        <v>34</v>
      </c>
      <c r="E1368" s="4"/>
      <c r="F1368" s="4"/>
      <c r="G1368" s="4"/>
      <c r="H1368" s="4" t="s">
        <v>23</v>
      </c>
      <c r="I1368" s="35" t="s">
        <v>23</v>
      </c>
      <c r="J1368" s="4"/>
      <c r="K1368" s="4"/>
      <c r="L1368" s="4"/>
      <c r="M1368" s="4"/>
      <c r="N1368" s="4"/>
      <c r="O1368" s="4"/>
      <c r="P1368" s="4"/>
    </row>
    <row r="1369" spans="1:16" ht="12.95" customHeight="1" x14ac:dyDescent="0.2">
      <c r="A1369" s="2" t="s">
        <v>35</v>
      </c>
      <c r="B1369" s="2" t="s">
        <v>36</v>
      </c>
      <c r="C1369" s="2"/>
      <c r="D1369" s="2"/>
      <c r="E1369" s="3"/>
      <c r="F1369" s="2"/>
      <c r="G1369" s="2"/>
      <c r="H1369" s="2"/>
      <c r="I1369" s="13"/>
      <c r="J1369" s="2"/>
      <c r="K1369" s="2"/>
      <c r="L1369" s="2"/>
      <c r="M1369" s="2"/>
      <c r="N1369" s="2" t="s">
        <v>214</v>
      </c>
      <c r="O1369" s="2" t="s">
        <v>265</v>
      </c>
      <c r="P1369" s="2"/>
    </row>
    <row r="1370" spans="1:16" ht="12.95" customHeight="1" x14ac:dyDescent="0.2">
      <c r="A1370" s="2" t="s">
        <v>38</v>
      </c>
      <c r="B1370" s="2" t="s">
        <v>36</v>
      </c>
      <c r="C1370" s="2"/>
      <c r="D1370" s="2"/>
      <c r="E1370" s="3"/>
      <c r="F1370" s="2"/>
      <c r="G1370" s="2"/>
      <c r="H1370" s="2"/>
      <c r="I1370" s="13"/>
      <c r="J1370" s="2"/>
      <c r="K1370" s="2"/>
      <c r="L1370" s="2"/>
      <c r="M1370" s="2"/>
      <c r="N1370" s="2" t="s">
        <v>214</v>
      </c>
      <c r="O1370" s="2" t="s">
        <v>265</v>
      </c>
      <c r="P1370" s="2"/>
    </row>
    <row r="1371" spans="1:16" ht="12.95" customHeight="1" x14ac:dyDescent="0.2">
      <c r="A1371" s="2" t="s">
        <v>39</v>
      </c>
      <c r="B1371" s="2" t="s">
        <v>22</v>
      </c>
      <c r="C1371" s="2"/>
      <c r="D1371" s="2"/>
      <c r="E1371" s="3"/>
      <c r="F1371" s="2"/>
      <c r="G1371" s="2"/>
      <c r="H1371" s="2" t="s">
        <v>23</v>
      </c>
      <c r="I1371" s="12" t="s">
        <v>23</v>
      </c>
      <c r="J1371" s="2"/>
      <c r="K1371" s="2"/>
      <c r="L1371" s="2"/>
      <c r="M1371" s="2"/>
      <c r="N1371" s="2" t="s">
        <v>24</v>
      </c>
      <c r="O1371" s="2" t="s">
        <v>25</v>
      </c>
      <c r="P1371" s="2"/>
    </row>
    <row r="1372" spans="1:16" ht="12.95" customHeight="1" x14ac:dyDescent="0.2">
      <c r="A1372" s="2" t="s">
        <v>40</v>
      </c>
      <c r="B1372" s="2" t="s">
        <v>27</v>
      </c>
      <c r="C1372" s="2"/>
      <c r="D1372" s="2"/>
      <c r="E1372" s="3"/>
      <c r="F1372" s="2"/>
      <c r="G1372" s="2"/>
      <c r="H1372" s="2"/>
      <c r="I1372" s="13"/>
      <c r="J1372" s="2"/>
      <c r="K1372" s="2"/>
      <c r="L1372" s="2"/>
      <c r="M1372" s="2"/>
      <c r="N1372" s="2" t="s">
        <v>28</v>
      </c>
      <c r="O1372" s="2" t="s">
        <v>25</v>
      </c>
      <c r="P1372" s="2"/>
    </row>
    <row r="1373" spans="1:16" ht="12.95" customHeight="1" x14ac:dyDescent="0.2">
      <c r="A1373" s="2" t="s">
        <v>41</v>
      </c>
      <c r="B1373" s="2" t="s">
        <v>42</v>
      </c>
      <c r="C1373" s="2"/>
      <c r="D1373" s="2"/>
      <c r="E1373" s="3"/>
      <c r="F1373" s="2"/>
      <c r="G1373" s="2"/>
      <c r="H1373" s="2"/>
      <c r="I1373" s="13"/>
      <c r="J1373" s="2"/>
      <c r="K1373" s="2"/>
      <c r="L1373" s="2"/>
      <c r="M1373" s="2"/>
      <c r="N1373" s="2" t="s">
        <v>214</v>
      </c>
      <c r="O1373" s="2"/>
      <c r="P1373" s="2"/>
    </row>
    <row r="1374" spans="1:16" ht="12.95" customHeight="1" x14ac:dyDescent="0.2">
      <c r="A1374" s="4" t="s">
        <v>51</v>
      </c>
      <c r="B1374" s="4" t="s">
        <v>31</v>
      </c>
      <c r="C1374" s="4"/>
      <c r="D1374" s="4"/>
      <c r="E1374" s="3"/>
      <c r="F1374" s="4"/>
      <c r="G1374" s="4"/>
      <c r="H1374" s="4"/>
      <c r="I1374" s="35"/>
      <c r="J1374" s="4"/>
      <c r="K1374" s="4"/>
      <c r="L1374" s="4"/>
      <c r="M1374" s="4"/>
      <c r="N1374" s="4"/>
      <c r="O1374" s="4"/>
      <c r="P1374" s="4"/>
    </row>
    <row r="1375" spans="1:16" ht="12.95" customHeight="1" x14ac:dyDescent="0.2">
      <c r="A1375" s="4" t="s">
        <v>52</v>
      </c>
      <c r="B1375" s="4" t="s">
        <v>31</v>
      </c>
      <c r="C1375" s="4"/>
      <c r="D1375" s="4"/>
      <c r="E1375" s="3"/>
      <c r="F1375" s="4"/>
      <c r="G1375" s="4"/>
      <c r="H1375" s="4"/>
      <c r="I1375" s="35"/>
      <c r="J1375" s="4"/>
      <c r="K1375" s="4"/>
      <c r="L1375" s="4"/>
      <c r="M1375" s="4"/>
      <c r="N1375" s="4"/>
      <c r="O1375" s="4"/>
      <c r="P1375" s="4"/>
    </row>
    <row r="1376" spans="1:16" x14ac:dyDescent="0.2">
      <c r="A1376" s="4" t="s">
        <v>33</v>
      </c>
      <c r="B1376" s="4" t="s">
        <v>34</v>
      </c>
      <c r="C1376" s="4" t="s">
        <v>34</v>
      </c>
      <c r="D1376" s="4" t="s">
        <v>34</v>
      </c>
      <c r="E1376" s="4"/>
      <c r="F1376" s="4"/>
      <c r="G1376" s="4"/>
      <c r="H1376" s="4" t="s">
        <v>23</v>
      </c>
      <c r="I1376" s="35" t="s">
        <v>23</v>
      </c>
      <c r="J1376" s="4"/>
      <c r="K1376" s="4"/>
      <c r="L1376" s="4"/>
      <c r="M1376" s="4"/>
      <c r="N1376" s="4"/>
      <c r="O1376" s="4"/>
      <c r="P1376" s="4"/>
    </row>
    <row r="1377" spans="1:16" ht="12.95" customHeight="1" x14ac:dyDescent="0.2">
      <c r="A1377" s="2" t="s">
        <v>54</v>
      </c>
      <c r="B1377" s="2" t="s">
        <v>42</v>
      </c>
      <c r="C1377" s="2" t="s">
        <v>418</v>
      </c>
      <c r="D1377" s="2" t="s">
        <v>1030</v>
      </c>
      <c r="E1377" s="3" t="s">
        <v>426</v>
      </c>
      <c r="F1377" s="2" t="s">
        <v>46</v>
      </c>
      <c r="G1377" s="2" t="s">
        <v>1147</v>
      </c>
      <c r="H1377" s="2" t="s">
        <v>48</v>
      </c>
      <c r="I1377" s="13" t="s">
        <v>584</v>
      </c>
      <c r="J1377" s="2" t="s">
        <v>1147</v>
      </c>
      <c r="K1377" s="2"/>
      <c r="L1377" s="2"/>
      <c r="M1377" s="2" t="s">
        <v>308</v>
      </c>
      <c r="N1377" s="2"/>
      <c r="O1377" s="2" t="s">
        <v>1148</v>
      </c>
      <c r="P1377" s="2"/>
    </row>
    <row r="1378" spans="1:16" ht="12.95" customHeight="1" x14ac:dyDescent="0.2">
      <c r="A1378" s="2" t="s">
        <v>61</v>
      </c>
      <c r="B1378" s="2" t="s">
        <v>42</v>
      </c>
      <c r="C1378" s="2" t="s">
        <v>78</v>
      </c>
      <c r="D1378" s="2" t="s">
        <v>1149</v>
      </c>
      <c r="E1378" s="3" t="s">
        <v>654</v>
      </c>
      <c r="F1378" s="2" t="s">
        <v>46</v>
      </c>
      <c r="G1378" s="2" t="s">
        <v>635</v>
      </c>
      <c r="H1378" s="2" t="s">
        <v>48</v>
      </c>
      <c r="I1378" s="13"/>
      <c r="J1378" s="2" t="s">
        <v>48</v>
      </c>
      <c r="K1378" s="2" t="s">
        <v>642</v>
      </c>
      <c r="L1378" s="2" t="s">
        <v>642</v>
      </c>
      <c r="M1378" s="2"/>
      <c r="N1378" s="2"/>
      <c r="O1378" s="2"/>
      <c r="P1378" s="2"/>
    </row>
    <row r="1379" spans="1:16" ht="12.95" customHeight="1" x14ac:dyDescent="0.2">
      <c r="A1379" s="2" t="s">
        <v>68</v>
      </c>
      <c r="B1379" s="2" t="s">
        <v>42</v>
      </c>
      <c r="C1379" s="2" t="s">
        <v>527</v>
      </c>
      <c r="D1379" s="2" t="s">
        <v>1150</v>
      </c>
      <c r="E1379" s="3" t="s">
        <v>827</v>
      </c>
      <c r="F1379" s="2" t="s">
        <v>46</v>
      </c>
      <c r="G1379" s="2" t="s">
        <v>1000</v>
      </c>
      <c r="H1379" s="2" t="s">
        <v>48</v>
      </c>
      <c r="I1379" s="13" t="s">
        <v>397</v>
      </c>
      <c r="J1379" s="2" t="s">
        <v>1000</v>
      </c>
      <c r="K1379" s="2"/>
      <c r="L1379" s="2"/>
      <c r="M1379" s="2" t="s">
        <v>49</v>
      </c>
      <c r="N1379" s="2"/>
      <c r="O1379" s="2"/>
      <c r="P1379" s="2"/>
    </row>
    <row r="1380" spans="1:16" ht="12.95" customHeight="1" x14ac:dyDescent="0.2">
      <c r="A1380" s="2" t="s">
        <v>75</v>
      </c>
      <c r="B1380" s="2" t="s">
        <v>42</v>
      </c>
      <c r="C1380" s="2" t="s">
        <v>993</v>
      </c>
      <c r="D1380" s="2" t="s">
        <v>568</v>
      </c>
      <c r="E1380" s="3" t="s">
        <v>84</v>
      </c>
      <c r="F1380" s="2" t="s">
        <v>46</v>
      </c>
      <c r="G1380" s="2" t="s">
        <v>64</v>
      </c>
      <c r="H1380" s="2" t="s">
        <v>48</v>
      </c>
      <c r="I1380" s="13"/>
      <c r="J1380" s="2" t="s">
        <v>48</v>
      </c>
      <c r="K1380" s="2" t="s">
        <v>85</v>
      </c>
      <c r="L1380" s="2" t="s">
        <v>85</v>
      </c>
      <c r="M1380" s="2"/>
      <c r="N1380" s="2"/>
      <c r="O1380" s="2"/>
      <c r="P1380" s="2"/>
    </row>
    <row r="1381" spans="1:16" ht="12.95" customHeight="1" x14ac:dyDescent="0.2">
      <c r="A1381" s="2" t="s">
        <v>81</v>
      </c>
      <c r="B1381" s="2" t="s">
        <v>42</v>
      </c>
      <c r="C1381" s="2" t="s">
        <v>706</v>
      </c>
      <c r="D1381" s="2" t="s">
        <v>1151</v>
      </c>
      <c r="E1381" s="3" t="s">
        <v>1000</v>
      </c>
      <c r="F1381" s="2" t="s">
        <v>46</v>
      </c>
      <c r="G1381" s="2" t="s">
        <v>1001</v>
      </c>
      <c r="H1381" s="2" t="s">
        <v>48</v>
      </c>
      <c r="I1381" s="13" t="s">
        <v>445</v>
      </c>
      <c r="J1381" s="2" t="s">
        <v>1001</v>
      </c>
      <c r="K1381" s="2"/>
      <c r="L1381" s="2"/>
      <c r="M1381" s="2" t="s">
        <v>59</v>
      </c>
      <c r="N1381" s="2"/>
      <c r="O1381" s="2" t="s">
        <v>1152</v>
      </c>
      <c r="P1381" s="2"/>
    </row>
    <row r="1382" spans="1:16" ht="12.95" customHeight="1" x14ac:dyDescent="0.2">
      <c r="A1382" s="4" t="s">
        <v>87</v>
      </c>
      <c r="B1382" s="4" t="s">
        <v>31</v>
      </c>
      <c r="C1382" s="4"/>
      <c r="D1382" s="4"/>
      <c r="E1382" s="3"/>
      <c r="F1382" s="4"/>
      <c r="G1382" s="4"/>
      <c r="H1382" s="4"/>
      <c r="I1382" s="35"/>
      <c r="J1382" s="4"/>
      <c r="K1382" s="4"/>
      <c r="L1382" s="4"/>
      <c r="M1382" s="4"/>
      <c r="N1382" s="4"/>
      <c r="O1382" s="4"/>
      <c r="P1382" s="4"/>
    </row>
    <row r="1383" spans="1:16" ht="12.95" customHeight="1" x14ac:dyDescent="0.2">
      <c r="A1383" s="4" t="s">
        <v>88</v>
      </c>
      <c r="B1383" s="4" t="s">
        <v>31</v>
      </c>
      <c r="C1383" s="4"/>
      <c r="D1383" s="4"/>
      <c r="E1383" s="3"/>
      <c r="F1383" s="4"/>
      <c r="G1383" s="4"/>
      <c r="H1383" s="4"/>
      <c r="I1383" s="35"/>
      <c r="J1383" s="4"/>
      <c r="K1383" s="4"/>
      <c r="L1383" s="4"/>
      <c r="M1383" s="4"/>
      <c r="N1383" s="4"/>
      <c r="O1383" s="4"/>
      <c r="P1383" s="4"/>
    </row>
    <row r="1384" spans="1:16" x14ac:dyDescent="0.2">
      <c r="A1384" s="4" t="s">
        <v>33</v>
      </c>
      <c r="B1384" s="4" t="s">
        <v>34</v>
      </c>
      <c r="C1384" s="4" t="s">
        <v>34</v>
      </c>
      <c r="D1384" s="4" t="s">
        <v>34</v>
      </c>
      <c r="E1384" s="4" t="s">
        <v>1153</v>
      </c>
      <c r="F1384" s="4" t="s">
        <v>90</v>
      </c>
      <c r="G1384" s="4" t="s">
        <v>1154</v>
      </c>
      <c r="H1384" s="4" t="s">
        <v>92</v>
      </c>
      <c r="I1384" s="35" t="s">
        <v>272</v>
      </c>
      <c r="J1384" s="4" t="s">
        <v>1155</v>
      </c>
      <c r="K1384" s="4" t="s">
        <v>677</v>
      </c>
      <c r="L1384" s="4" t="s">
        <v>677</v>
      </c>
      <c r="M1384" s="4" t="s">
        <v>137</v>
      </c>
      <c r="N1384" s="4"/>
      <c r="O1384" s="4"/>
      <c r="P1384" s="4"/>
    </row>
    <row r="1385" spans="1:16" ht="12.95" customHeight="1" x14ac:dyDescent="0.2">
      <c r="A1385" s="2" t="s">
        <v>97</v>
      </c>
      <c r="B1385" s="2" t="s">
        <v>42</v>
      </c>
      <c r="C1385" s="2" t="s">
        <v>77</v>
      </c>
      <c r="D1385" s="2" t="s">
        <v>1156</v>
      </c>
      <c r="E1385" s="3" t="s">
        <v>358</v>
      </c>
      <c r="F1385" s="2" t="s">
        <v>46</v>
      </c>
      <c r="G1385" s="2" t="s">
        <v>359</v>
      </c>
      <c r="H1385" s="2" t="s">
        <v>48</v>
      </c>
      <c r="I1385" s="13"/>
      <c r="J1385" s="2" t="s">
        <v>48</v>
      </c>
      <c r="K1385" s="2" t="s">
        <v>360</v>
      </c>
      <c r="L1385" s="2" t="s">
        <v>360</v>
      </c>
      <c r="M1385" s="2"/>
      <c r="N1385" s="2"/>
      <c r="O1385" s="2"/>
      <c r="P1385" s="2"/>
    </row>
    <row r="1386" spans="1:16" ht="12.95" customHeight="1" x14ac:dyDescent="0.2">
      <c r="A1386" s="2" t="s">
        <v>104</v>
      </c>
      <c r="B1386" s="2" t="s">
        <v>42</v>
      </c>
      <c r="C1386" s="2" t="s">
        <v>1125</v>
      </c>
      <c r="D1386" s="2" t="s">
        <v>1157</v>
      </c>
      <c r="E1386" s="3" t="s">
        <v>118</v>
      </c>
      <c r="F1386" s="2" t="s">
        <v>46</v>
      </c>
      <c r="G1386" s="2" t="s">
        <v>119</v>
      </c>
      <c r="H1386" s="2" t="s">
        <v>108</v>
      </c>
      <c r="I1386" s="13"/>
      <c r="J1386" s="2" t="s">
        <v>48</v>
      </c>
      <c r="K1386" s="2" t="s">
        <v>120</v>
      </c>
      <c r="L1386" s="2" t="s">
        <v>768</v>
      </c>
      <c r="M1386" s="2"/>
      <c r="N1386" s="2"/>
      <c r="O1386" s="2"/>
      <c r="P1386" s="2"/>
    </row>
    <row r="1387" spans="1:16" ht="12.95" customHeight="1" x14ac:dyDescent="0.2">
      <c r="A1387" s="2" t="s">
        <v>112</v>
      </c>
      <c r="B1387" s="2" t="s">
        <v>22</v>
      </c>
      <c r="C1387" s="2" t="s">
        <v>703</v>
      </c>
      <c r="D1387" s="2" t="s">
        <v>1158</v>
      </c>
      <c r="E1387" s="3" t="s">
        <v>400</v>
      </c>
      <c r="F1387" s="2" t="s">
        <v>46</v>
      </c>
      <c r="G1387" s="2" t="s">
        <v>1060</v>
      </c>
      <c r="H1387" s="2" t="s">
        <v>113</v>
      </c>
      <c r="I1387" s="111" t="s">
        <v>95</v>
      </c>
      <c r="J1387" s="2" t="s">
        <v>1060</v>
      </c>
      <c r="K1387" s="2"/>
      <c r="L1387" s="2"/>
      <c r="M1387" s="2"/>
      <c r="N1387" s="2" t="s">
        <v>24</v>
      </c>
      <c r="O1387" s="2" t="s">
        <v>111</v>
      </c>
      <c r="P1387" s="2"/>
    </row>
    <row r="1388" spans="1:16" ht="12.95" customHeight="1" x14ac:dyDescent="0.2">
      <c r="A1388" s="2" t="s">
        <v>114</v>
      </c>
      <c r="B1388" s="2" t="s">
        <v>27</v>
      </c>
      <c r="C1388" s="2"/>
      <c r="D1388" s="2"/>
      <c r="E1388" s="3"/>
      <c r="F1388" s="2"/>
      <c r="G1388" s="2"/>
      <c r="H1388" s="2"/>
      <c r="I1388" s="13"/>
      <c r="J1388" s="2"/>
      <c r="K1388" s="2"/>
      <c r="L1388" s="2"/>
      <c r="M1388" s="2"/>
      <c r="N1388" s="2" t="s">
        <v>28</v>
      </c>
      <c r="O1388" s="2" t="s">
        <v>111</v>
      </c>
      <c r="P1388" s="2"/>
    </row>
    <row r="1389" spans="1:16" ht="12.95" customHeight="1" x14ac:dyDescent="0.2">
      <c r="A1389" s="2" t="s">
        <v>115</v>
      </c>
      <c r="B1389" s="2" t="s">
        <v>42</v>
      </c>
      <c r="C1389" s="2" t="s">
        <v>1159</v>
      </c>
      <c r="D1389" s="2" t="s">
        <v>1149</v>
      </c>
      <c r="E1389" s="3" t="s">
        <v>543</v>
      </c>
      <c r="F1389" s="2" t="s">
        <v>46</v>
      </c>
      <c r="G1389" s="2" t="s">
        <v>544</v>
      </c>
      <c r="H1389" s="2" t="s">
        <v>48</v>
      </c>
      <c r="I1389" s="13"/>
      <c r="J1389" s="2" t="s">
        <v>48</v>
      </c>
      <c r="K1389" s="2" t="s">
        <v>397</v>
      </c>
      <c r="L1389" s="2" t="s">
        <v>397</v>
      </c>
      <c r="M1389" s="2" t="s">
        <v>153</v>
      </c>
      <c r="N1389" s="2"/>
      <c r="O1389" s="2"/>
      <c r="P1389" s="2"/>
    </row>
    <row r="1390" spans="1:16" ht="12.95" customHeight="1" x14ac:dyDescent="0.2">
      <c r="A1390" s="4" t="s">
        <v>122</v>
      </c>
      <c r="B1390" s="4" t="s">
        <v>31</v>
      </c>
      <c r="C1390" s="4"/>
      <c r="D1390" s="4"/>
      <c r="E1390" s="3"/>
      <c r="F1390" s="4"/>
      <c r="G1390" s="4"/>
      <c r="H1390" s="4"/>
      <c r="I1390" s="35"/>
      <c r="J1390" s="4"/>
      <c r="K1390" s="4"/>
      <c r="L1390" s="4"/>
      <c r="M1390" s="4"/>
      <c r="N1390" s="4"/>
      <c r="O1390" s="4"/>
      <c r="P1390" s="4"/>
    </row>
    <row r="1391" spans="1:16" ht="12.95" customHeight="1" x14ac:dyDescent="0.2">
      <c r="A1391" s="4" t="s">
        <v>123</v>
      </c>
      <c r="B1391" s="4" t="s">
        <v>31</v>
      </c>
      <c r="C1391" s="4"/>
      <c r="D1391" s="4"/>
      <c r="E1391" s="3"/>
      <c r="F1391" s="4"/>
      <c r="G1391" s="4"/>
      <c r="H1391" s="4"/>
      <c r="I1391" s="35"/>
      <c r="J1391" s="4"/>
      <c r="K1391" s="4"/>
      <c r="L1391" s="4"/>
      <c r="M1391" s="4"/>
      <c r="N1391" s="4"/>
      <c r="O1391" s="4"/>
      <c r="P1391" s="4"/>
    </row>
    <row r="1392" spans="1:16" x14ac:dyDescent="0.2">
      <c r="A1392" s="4" t="s">
        <v>33</v>
      </c>
      <c r="B1392" s="4" t="s">
        <v>34</v>
      </c>
      <c r="C1392" s="4" t="s">
        <v>34</v>
      </c>
      <c r="D1392" s="4" t="s">
        <v>34</v>
      </c>
      <c r="E1392" s="4" t="s">
        <v>1160</v>
      </c>
      <c r="F1392" s="4" t="s">
        <v>272</v>
      </c>
      <c r="G1392" s="4" t="s">
        <v>1161</v>
      </c>
      <c r="H1392" s="4" t="s">
        <v>127</v>
      </c>
      <c r="I1392" s="35" t="s">
        <v>95</v>
      </c>
      <c r="J1392" s="4" t="s">
        <v>1162</v>
      </c>
      <c r="K1392" s="4" t="s">
        <v>642</v>
      </c>
      <c r="L1392" s="4" t="s">
        <v>639</v>
      </c>
      <c r="M1392" s="4" t="s">
        <v>153</v>
      </c>
      <c r="N1392" s="4"/>
      <c r="O1392" s="4"/>
      <c r="P1392" s="4"/>
    </row>
    <row r="1393" spans="1:16" ht="12.95" customHeight="1" x14ac:dyDescent="0.2">
      <c r="A1393" s="2" t="s">
        <v>131</v>
      </c>
      <c r="B1393" s="2" t="s">
        <v>42</v>
      </c>
      <c r="C1393" s="2" t="s">
        <v>1163</v>
      </c>
      <c r="D1393" s="2" t="s">
        <v>1164</v>
      </c>
      <c r="E1393" s="3" t="s">
        <v>327</v>
      </c>
      <c r="F1393" s="2" t="s">
        <v>46</v>
      </c>
      <c r="G1393" s="2" t="s">
        <v>1165</v>
      </c>
      <c r="H1393" s="2" t="s">
        <v>48</v>
      </c>
      <c r="I1393" s="13"/>
      <c r="J1393" s="2" t="s">
        <v>48</v>
      </c>
      <c r="K1393" s="2" t="s">
        <v>66</v>
      </c>
      <c r="L1393" s="2" t="s">
        <v>66</v>
      </c>
      <c r="M1393" s="2"/>
      <c r="N1393" s="2"/>
      <c r="O1393" s="2"/>
      <c r="P1393" s="2"/>
    </row>
    <row r="1394" spans="1:16" ht="12.95" customHeight="1" x14ac:dyDescent="0.2">
      <c r="A1394" s="2" t="s">
        <v>138</v>
      </c>
      <c r="B1394" s="2" t="s">
        <v>42</v>
      </c>
      <c r="C1394" s="2" t="s">
        <v>1166</v>
      </c>
      <c r="D1394" s="2" t="s">
        <v>1167</v>
      </c>
      <c r="E1394" s="3" t="s">
        <v>210</v>
      </c>
      <c r="F1394" s="2" t="s">
        <v>46</v>
      </c>
      <c r="G1394" s="2" t="s">
        <v>211</v>
      </c>
      <c r="H1394" s="2" t="s">
        <v>48</v>
      </c>
      <c r="I1394" s="13" t="s">
        <v>539</v>
      </c>
      <c r="J1394" s="2" t="s">
        <v>211</v>
      </c>
      <c r="K1394" s="2"/>
      <c r="L1394" s="2"/>
      <c r="M1394" s="2"/>
      <c r="N1394" s="2"/>
      <c r="O1394" s="2" t="s">
        <v>1168</v>
      </c>
      <c r="P1394" s="2"/>
    </row>
    <row r="1395" spans="1:16" ht="12.95" customHeight="1" x14ac:dyDescent="0.2">
      <c r="A1395" s="2" t="s">
        <v>143</v>
      </c>
      <c r="B1395" s="2" t="s">
        <v>42</v>
      </c>
      <c r="C1395" s="2" t="s">
        <v>1122</v>
      </c>
      <c r="D1395" s="2" t="s">
        <v>1169</v>
      </c>
      <c r="E1395" s="3" t="s">
        <v>1065</v>
      </c>
      <c r="F1395" s="2" t="s">
        <v>46</v>
      </c>
      <c r="G1395" s="2" t="s">
        <v>657</v>
      </c>
      <c r="H1395" s="2" t="s">
        <v>48</v>
      </c>
      <c r="I1395" s="13"/>
      <c r="J1395" s="2" t="s">
        <v>48</v>
      </c>
      <c r="K1395" s="2" t="s">
        <v>658</v>
      </c>
      <c r="L1395" s="2" t="s">
        <v>658</v>
      </c>
      <c r="M1395" s="2"/>
      <c r="N1395" s="2"/>
      <c r="O1395" s="2"/>
      <c r="P1395" s="2"/>
    </row>
    <row r="1396" spans="1:16" ht="12.95" customHeight="1" x14ac:dyDescent="0.2">
      <c r="A1396" s="2" t="s">
        <v>148</v>
      </c>
      <c r="B1396" s="2" t="s">
        <v>42</v>
      </c>
      <c r="C1396" s="2" t="s">
        <v>1170</v>
      </c>
      <c r="D1396" s="2" t="s">
        <v>1171</v>
      </c>
      <c r="E1396" s="3" t="s">
        <v>404</v>
      </c>
      <c r="F1396" s="2" t="s">
        <v>46</v>
      </c>
      <c r="G1396" s="2" t="s">
        <v>827</v>
      </c>
      <c r="H1396" s="2" t="s">
        <v>48</v>
      </c>
      <c r="I1396" s="13"/>
      <c r="J1396" s="2" t="s">
        <v>48</v>
      </c>
      <c r="K1396" s="2" t="s">
        <v>490</v>
      </c>
      <c r="L1396" s="2" t="s">
        <v>490</v>
      </c>
      <c r="M1396" s="2"/>
      <c r="N1396" s="2"/>
      <c r="O1396" s="2"/>
      <c r="P1396" s="2"/>
    </row>
    <row r="1397" spans="1:16" ht="12.95" customHeight="1" x14ac:dyDescent="0.2">
      <c r="A1397" s="2" t="s">
        <v>155</v>
      </c>
      <c r="B1397" s="2" t="s">
        <v>42</v>
      </c>
      <c r="C1397" s="2" t="s">
        <v>972</v>
      </c>
      <c r="D1397" s="2" t="s">
        <v>704</v>
      </c>
      <c r="E1397" s="3" t="s">
        <v>280</v>
      </c>
      <c r="F1397" s="2" t="s">
        <v>46</v>
      </c>
      <c r="G1397" s="2" t="s">
        <v>157</v>
      </c>
      <c r="H1397" s="2" t="s">
        <v>48</v>
      </c>
      <c r="I1397" s="13"/>
      <c r="J1397" s="2" t="s">
        <v>48</v>
      </c>
      <c r="K1397" s="2" t="s">
        <v>281</v>
      </c>
      <c r="L1397" s="2" t="s">
        <v>281</v>
      </c>
      <c r="M1397" s="2"/>
      <c r="N1397" s="2"/>
      <c r="O1397" s="2"/>
      <c r="P1397" s="2"/>
    </row>
    <row r="1398" spans="1:16" ht="12.95" customHeight="1" x14ac:dyDescent="0.2">
      <c r="A1398" s="8" t="s">
        <v>161</v>
      </c>
      <c r="B1398" s="8"/>
      <c r="C1398" s="8"/>
      <c r="D1398" s="8"/>
      <c r="E1398" s="5" t="s">
        <v>1172</v>
      </c>
      <c r="F1398" s="5" t="s">
        <v>163</v>
      </c>
      <c r="G1398" s="5" t="s">
        <v>747</v>
      </c>
      <c r="H1398" s="5" t="s">
        <v>980</v>
      </c>
      <c r="I1398" s="36" t="s">
        <v>1173</v>
      </c>
      <c r="J1398" s="5" t="s">
        <v>1174</v>
      </c>
      <c r="K1398" s="5" t="s">
        <v>1175</v>
      </c>
      <c r="L1398" s="5" t="s">
        <v>1176</v>
      </c>
      <c r="M1398" s="5" t="s">
        <v>302</v>
      </c>
      <c r="N1398" s="5"/>
      <c r="O1398" s="5"/>
      <c r="P1398" s="5"/>
    </row>
    <row r="1399" spans="1:16" ht="12.95" customHeight="1" x14ac:dyDescent="0.2">
      <c r="A1399" s="8" t="s">
        <v>171</v>
      </c>
      <c r="B1399" s="8"/>
      <c r="C1399" s="8"/>
      <c r="D1399" s="8"/>
      <c r="E1399" s="5" t="s">
        <v>1172</v>
      </c>
      <c r="F1399" s="5" t="s">
        <v>163</v>
      </c>
      <c r="G1399" s="5" t="s">
        <v>747</v>
      </c>
      <c r="H1399" s="5" t="s">
        <v>980</v>
      </c>
      <c r="I1399" s="36" t="s">
        <v>296</v>
      </c>
      <c r="J1399" s="5" t="s">
        <v>1174</v>
      </c>
      <c r="K1399" s="5" t="s">
        <v>1175</v>
      </c>
      <c r="L1399" s="5" t="s">
        <v>1176</v>
      </c>
      <c r="M1399" s="5" t="s">
        <v>302</v>
      </c>
      <c r="N1399" s="5"/>
      <c r="O1399" s="5"/>
      <c r="P1399" s="5"/>
    </row>
    <row r="1400" spans="1:16" ht="12.95" customHeight="1" x14ac:dyDescent="0.2">
      <c r="A1400" s="8" t="s">
        <v>173</v>
      </c>
      <c r="B1400" s="8"/>
      <c r="C1400" s="8"/>
      <c r="D1400" s="8"/>
      <c r="E1400" s="5">
        <v>125</v>
      </c>
      <c r="F1400" s="5">
        <v>7</v>
      </c>
      <c r="G1400" s="5">
        <v>118</v>
      </c>
      <c r="H1400" s="5">
        <v>110.4</v>
      </c>
      <c r="I1400" s="36">
        <v>0</v>
      </c>
      <c r="J1400" s="5">
        <v>112.95</v>
      </c>
      <c r="K1400" s="5">
        <v>5.05</v>
      </c>
      <c r="L1400" s="5">
        <v>12.05</v>
      </c>
      <c r="M1400" s="5">
        <v>1.33</v>
      </c>
      <c r="N1400" s="5"/>
      <c r="O1400" s="5"/>
      <c r="P1400" s="5"/>
    </row>
    <row r="1401" spans="1:16" x14ac:dyDescent="0.2">
      <c r="I1401" s="37"/>
    </row>
    <row r="1402" spans="1:16" ht="12.95" customHeight="1" x14ac:dyDescent="0.2">
      <c r="A1402" s="9" t="s">
        <v>174</v>
      </c>
      <c r="B1402" s="9"/>
      <c r="C1402" s="9"/>
      <c r="E1402" s="9" t="s">
        <v>180</v>
      </c>
      <c r="F1402" s="9"/>
      <c r="G1402" s="9"/>
      <c r="I1402" s="9" t="s">
        <v>181</v>
      </c>
      <c r="J1402" s="9"/>
      <c r="K1402" s="9"/>
    </row>
    <row r="1403" spans="1:16" ht="12.95" customHeight="1" x14ac:dyDescent="0.2">
      <c r="A1403" s="10" t="s">
        <v>175</v>
      </c>
      <c r="B1403" s="10"/>
      <c r="C1403" s="6">
        <v>14</v>
      </c>
      <c r="E1403" s="10" t="s">
        <v>14</v>
      </c>
      <c r="F1403" s="10"/>
      <c r="G1403" s="6">
        <v>112.95</v>
      </c>
      <c r="I1403" s="10" t="s">
        <v>265</v>
      </c>
      <c r="J1403" s="10"/>
      <c r="K1403" s="6">
        <v>3</v>
      </c>
    </row>
    <row r="1404" spans="1:16" ht="12.95" customHeight="1" x14ac:dyDescent="0.2">
      <c r="A1404" s="10" t="s">
        <v>1531</v>
      </c>
      <c r="B1404" s="10"/>
      <c r="C1404" s="6">
        <v>22</v>
      </c>
      <c r="E1404" s="10" t="s">
        <v>15</v>
      </c>
      <c r="F1404" s="10"/>
      <c r="G1404" s="6">
        <v>5.05</v>
      </c>
      <c r="I1404" s="10" t="s">
        <v>27</v>
      </c>
      <c r="J1404" s="10"/>
      <c r="K1404" s="26">
        <v>3</v>
      </c>
    </row>
    <row r="1405" spans="1:16" ht="12.95" customHeight="1" x14ac:dyDescent="0.2">
      <c r="A1405" s="10" t="s">
        <v>176</v>
      </c>
      <c r="B1405" s="10"/>
      <c r="C1405" s="6">
        <v>125</v>
      </c>
      <c r="I1405" s="10" t="s">
        <v>22</v>
      </c>
      <c r="J1405" s="10"/>
      <c r="K1405" s="26">
        <v>2</v>
      </c>
    </row>
    <row r="1406" spans="1:16" ht="12.95" customHeight="1" x14ac:dyDescent="0.2">
      <c r="A1406" s="10" t="s">
        <v>177</v>
      </c>
      <c r="B1406" s="10"/>
      <c r="C1406" s="6">
        <v>110.4</v>
      </c>
      <c r="I1406" s="39" t="s">
        <v>1591</v>
      </c>
      <c r="J1406" s="19"/>
      <c r="K1406" s="20">
        <v>1</v>
      </c>
    </row>
    <row r="1407" spans="1:16" ht="12.95" customHeight="1" x14ac:dyDescent="0.2">
      <c r="A1407" s="10" t="s">
        <v>11</v>
      </c>
      <c r="B1407" s="10"/>
      <c r="C1407" s="6">
        <v>118</v>
      </c>
      <c r="I1407" s="39" t="s">
        <v>1592</v>
      </c>
      <c r="J1407" s="19"/>
      <c r="K1407" s="20">
        <v>0</v>
      </c>
    </row>
    <row r="1408" spans="1:16" ht="12.95" customHeight="1" x14ac:dyDescent="0.25">
      <c r="A1408" s="10" t="s">
        <v>178</v>
      </c>
      <c r="B1408" s="10"/>
      <c r="C1408" s="30">
        <v>4.45</v>
      </c>
      <c r="I1408" s="41" t="s">
        <v>1593</v>
      </c>
      <c r="J1408" s="40"/>
      <c r="K1408" s="42">
        <f>K1406+K1407</f>
        <v>1</v>
      </c>
    </row>
    <row r="1409" spans="1:16" ht="12.95" customHeight="1" x14ac:dyDescent="0.2">
      <c r="A1409" s="28" t="s">
        <v>1571</v>
      </c>
      <c r="B1409" s="27"/>
      <c r="C1409" s="112">
        <v>-2.8</v>
      </c>
    </row>
    <row r="1410" spans="1:16" ht="12.95" customHeight="1" x14ac:dyDescent="0.2">
      <c r="A1410" s="29" t="s">
        <v>1572</v>
      </c>
      <c r="B1410" s="29"/>
      <c r="C1410" s="32">
        <f>C1408+C1409</f>
        <v>1.6500000000000004</v>
      </c>
    </row>
    <row r="1411" spans="1:16" x14ac:dyDescent="0.2">
      <c r="A1411" s="10" t="s">
        <v>10</v>
      </c>
      <c r="B1411" s="10"/>
      <c r="C1411" s="6">
        <v>7</v>
      </c>
    </row>
    <row r="1412" spans="1:16" x14ac:dyDescent="0.2">
      <c r="A1412" t="s">
        <v>1615</v>
      </c>
      <c r="C1412" cm="1">
        <f t="array" ref="C1412">IFERROR(SUMPRODUCT((ISNUMBER(SEARCH("מילואים",N1364:N1401))+ISNUMBER(SEARCH("מילואים",O1364:O1401))&gt;0)*(C1364:C1401&lt;&gt;"")*(J1364:J1401+0))*24,0)</f>
        <v>0</v>
      </c>
    </row>
    <row r="1413" spans="1:16" ht="12.95" customHeight="1" x14ac:dyDescent="0.2">
      <c r="A1413" s="7" t="s">
        <v>1177</v>
      </c>
      <c r="B1413" s="7"/>
      <c r="C1413" s="7"/>
      <c r="D1413" s="7" t="s">
        <v>1</v>
      </c>
      <c r="E1413" s="7"/>
      <c r="F1413" s="7"/>
      <c r="G1413" s="7"/>
      <c r="H1413" s="7" t="s">
        <v>944</v>
      </c>
      <c r="I1413" s="7"/>
      <c r="J1413" s="7"/>
      <c r="K1413" s="7"/>
      <c r="L1413" s="7"/>
      <c r="M1413" s="7"/>
      <c r="N1413" s="7"/>
      <c r="O1413" s="7"/>
      <c r="P1413" s="7"/>
    </row>
    <row r="1414" spans="1:16" ht="12.95" customHeight="1" x14ac:dyDescent="0.2">
      <c r="A1414" s="7" t="s">
        <v>3</v>
      </c>
      <c r="B1414" s="7"/>
      <c r="C1414" s="7"/>
      <c r="D1414" s="7"/>
      <c r="E1414" s="7"/>
      <c r="F1414" s="7">
        <v>124</v>
      </c>
      <c r="G1414" s="7"/>
      <c r="H1414" s="7" t="s">
        <v>4</v>
      </c>
      <c r="I1414" s="7"/>
      <c r="J1414" s="7"/>
      <c r="K1414" s="7"/>
      <c r="L1414" s="7"/>
      <c r="M1414" s="7"/>
      <c r="N1414" s="7"/>
      <c r="O1414" s="7"/>
      <c r="P1414" s="7"/>
    </row>
    <row r="1415" spans="1:16" ht="22.5" customHeight="1" x14ac:dyDescent="0.2">
      <c r="A1415" s="1" t="s">
        <v>5</v>
      </c>
      <c r="B1415" s="1" t="s">
        <v>6</v>
      </c>
      <c r="C1415" s="1" t="s">
        <v>7</v>
      </c>
      <c r="D1415" s="1" t="s">
        <v>8</v>
      </c>
      <c r="E1415" s="1" t="s">
        <v>9</v>
      </c>
      <c r="F1415" s="1" t="s">
        <v>10</v>
      </c>
      <c r="G1415" s="1" t="s">
        <v>11</v>
      </c>
      <c r="H1415" s="1" t="s">
        <v>12</v>
      </c>
      <c r="I1415" s="1" t="s">
        <v>13</v>
      </c>
      <c r="J1415" s="1" t="s">
        <v>14</v>
      </c>
      <c r="K1415" s="1" t="s">
        <v>15</v>
      </c>
      <c r="L1415" s="1" t="s">
        <v>16</v>
      </c>
      <c r="M1415" s="1" t="s">
        <v>17</v>
      </c>
      <c r="N1415" s="1" t="s">
        <v>18</v>
      </c>
      <c r="O1415" s="1" t="s">
        <v>19</v>
      </c>
      <c r="P1415" s="1" t="s">
        <v>20</v>
      </c>
    </row>
    <row r="1416" spans="1:16" ht="12.95" customHeight="1" x14ac:dyDescent="0.2">
      <c r="A1416" s="2" t="s">
        <v>21</v>
      </c>
      <c r="B1416" s="2" t="s">
        <v>22</v>
      </c>
      <c r="C1416" s="2"/>
      <c r="D1416" s="2"/>
      <c r="E1416" s="3"/>
      <c r="F1416" s="2"/>
      <c r="G1416" s="2"/>
      <c r="H1416" s="2" t="s">
        <v>23</v>
      </c>
      <c r="I1416" s="12" t="s">
        <v>23</v>
      </c>
      <c r="J1416" s="2"/>
      <c r="K1416" s="2"/>
      <c r="L1416" s="2"/>
      <c r="M1416" s="2"/>
      <c r="N1416" s="2" t="s">
        <v>24</v>
      </c>
      <c r="O1416" s="2" t="s">
        <v>25</v>
      </c>
      <c r="P1416" s="2"/>
    </row>
    <row r="1417" spans="1:16" ht="12.95" customHeight="1" x14ac:dyDescent="0.2">
      <c r="A1417" s="2" t="s">
        <v>26</v>
      </c>
      <c r="B1417" s="2" t="s">
        <v>27</v>
      </c>
      <c r="C1417" s="2"/>
      <c r="D1417" s="2"/>
      <c r="E1417" s="3"/>
      <c r="F1417" s="2"/>
      <c r="G1417" s="2"/>
      <c r="H1417" s="2"/>
      <c r="I1417" s="13"/>
      <c r="J1417" s="2"/>
      <c r="K1417" s="2"/>
      <c r="L1417" s="2"/>
      <c r="M1417" s="2"/>
      <c r="N1417" s="2" t="s">
        <v>28</v>
      </c>
      <c r="O1417" s="2" t="s">
        <v>29</v>
      </c>
      <c r="P1417" s="2"/>
    </row>
    <row r="1418" spans="1:16" ht="12.95" customHeight="1" x14ac:dyDescent="0.2">
      <c r="A1418" s="4" t="s">
        <v>30</v>
      </c>
      <c r="B1418" s="4" t="s">
        <v>31</v>
      </c>
      <c r="C1418" s="4"/>
      <c r="D1418" s="4"/>
      <c r="E1418" s="3"/>
      <c r="F1418" s="4"/>
      <c r="G1418" s="4"/>
      <c r="H1418" s="4"/>
      <c r="I1418" s="35"/>
      <c r="J1418" s="4"/>
      <c r="K1418" s="4"/>
      <c r="L1418" s="4"/>
      <c r="M1418" s="4"/>
      <c r="N1418" s="4" t="s">
        <v>214</v>
      </c>
      <c r="O1418" s="4"/>
      <c r="P1418" s="4"/>
    </row>
    <row r="1419" spans="1:16" ht="12.95" customHeight="1" x14ac:dyDescent="0.2">
      <c r="A1419" s="4" t="s">
        <v>32</v>
      </c>
      <c r="B1419" s="4" t="s">
        <v>31</v>
      </c>
      <c r="C1419" s="4"/>
      <c r="D1419" s="4"/>
      <c r="E1419" s="3"/>
      <c r="F1419" s="4"/>
      <c r="G1419" s="4"/>
      <c r="H1419" s="4"/>
      <c r="I1419" s="35"/>
      <c r="J1419" s="4"/>
      <c r="K1419" s="4"/>
      <c r="L1419" s="4"/>
      <c r="M1419" s="4"/>
      <c r="N1419" s="4" t="s">
        <v>214</v>
      </c>
      <c r="O1419" s="4"/>
      <c r="P1419" s="4"/>
    </row>
    <row r="1420" spans="1:16" x14ac:dyDescent="0.2">
      <c r="A1420" s="4" t="s">
        <v>33</v>
      </c>
      <c r="B1420" s="4" t="s">
        <v>34</v>
      </c>
      <c r="C1420" s="4" t="s">
        <v>34</v>
      </c>
      <c r="D1420" s="4" t="s">
        <v>34</v>
      </c>
      <c r="E1420" s="4"/>
      <c r="F1420" s="4"/>
      <c r="G1420" s="4"/>
      <c r="H1420" s="4" t="s">
        <v>23</v>
      </c>
      <c r="I1420" s="35" t="s">
        <v>23</v>
      </c>
      <c r="J1420" s="4"/>
      <c r="K1420" s="4"/>
      <c r="L1420" s="4"/>
      <c r="M1420" s="4"/>
      <c r="N1420" s="4"/>
      <c r="O1420" s="4"/>
      <c r="P1420" s="4"/>
    </row>
    <row r="1421" spans="1:16" ht="12.95" customHeight="1" x14ac:dyDescent="0.2">
      <c r="A1421" s="2" t="s">
        <v>35</v>
      </c>
      <c r="B1421" s="2" t="s">
        <v>36</v>
      </c>
      <c r="C1421" s="2"/>
      <c r="D1421" s="2"/>
      <c r="E1421" s="3"/>
      <c r="F1421" s="2"/>
      <c r="G1421" s="2"/>
      <c r="H1421" s="2"/>
      <c r="I1421" s="13"/>
      <c r="J1421" s="2"/>
      <c r="K1421" s="2"/>
      <c r="L1421" s="2"/>
      <c r="M1421" s="2"/>
      <c r="N1421" s="2" t="s">
        <v>37</v>
      </c>
      <c r="O1421" s="2" t="s">
        <v>265</v>
      </c>
      <c r="P1421" s="2"/>
    </row>
    <row r="1422" spans="1:16" ht="12.95" customHeight="1" x14ac:dyDescent="0.2">
      <c r="A1422" s="2" t="s">
        <v>38</v>
      </c>
      <c r="B1422" s="2" t="s">
        <v>36</v>
      </c>
      <c r="C1422" s="2"/>
      <c r="D1422" s="2"/>
      <c r="E1422" s="3"/>
      <c r="F1422" s="2"/>
      <c r="G1422" s="2"/>
      <c r="H1422" s="2"/>
      <c r="I1422" s="13"/>
      <c r="J1422" s="2"/>
      <c r="K1422" s="2"/>
      <c r="L1422" s="2"/>
      <c r="M1422" s="2"/>
      <c r="N1422" s="2" t="s">
        <v>37</v>
      </c>
      <c r="O1422" s="2" t="s">
        <v>265</v>
      </c>
      <c r="P1422" s="2"/>
    </row>
    <row r="1423" spans="1:16" ht="12.95" customHeight="1" x14ac:dyDescent="0.2">
      <c r="A1423" s="2" t="s">
        <v>39</v>
      </c>
      <c r="B1423" s="2" t="s">
        <v>22</v>
      </c>
      <c r="C1423" s="2"/>
      <c r="D1423" s="2"/>
      <c r="E1423" s="3"/>
      <c r="F1423" s="2"/>
      <c r="G1423" s="2"/>
      <c r="H1423" s="2" t="s">
        <v>23</v>
      </c>
      <c r="I1423" s="12" t="s">
        <v>23</v>
      </c>
      <c r="J1423" s="2"/>
      <c r="K1423" s="2"/>
      <c r="L1423" s="2"/>
      <c r="M1423" s="2"/>
      <c r="N1423" s="2" t="s">
        <v>24</v>
      </c>
      <c r="O1423" s="2" t="s">
        <v>25</v>
      </c>
      <c r="P1423" s="2"/>
    </row>
    <row r="1424" spans="1:16" ht="12.95" customHeight="1" x14ac:dyDescent="0.2">
      <c r="A1424" s="2" t="s">
        <v>40</v>
      </c>
      <c r="B1424" s="2" t="s">
        <v>27</v>
      </c>
      <c r="C1424" s="2"/>
      <c r="D1424" s="2"/>
      <c r="E1424" s="3"/>
      <c r="F1424" s="2"/>
      <c r="G1424" s="2"/>
      <c r="H1424" s="2"/>
      <c r="I1424" s="13"/>
      <c r="J1424" s="2"/>
      <c r="K1424" s="2"/>
      <c r="L1424" s="2"/>
      <c r="M1424" s="2"/>
      <c r="N1424" s="2" t="s">
        <v>28</v>
      </c>
      <c r="O1424" s="2" t="s">
        <v>25</v>
      </c>
      <c r="P1424" s="2"/>
    </row>
    <row r="1425" spans="1:16" ht="12.95" customHeight="1" x14ac:dyDescent="0.2">
      <c r="A1425" s="2" t="s">
        <v>41</v>
      </c>
      <c r="B1425" s="2" t="s">
        <v>42</v>
      </c>
      <c r="C1425" s="2"/>
      <c r="D1425" s="2"/>
      <c r="E1425" s="3"/>
      <c r="F1425" s="2"/>
      <c r="G1425" s="2"/>
      <c r="H1425" s="2"/>
      <c r="I1425" s="13"/>
      <c r="J1425" s="2"/>
      <c r="K1425" s="2"/>
      <c r="L1425" s="2"/>
      <c r="M1425" s="2"/>
      <c r="N1425" s="2" t="s">
        <v>214</v>
      </c>
      <c r="O1425" s="2"/>
      <c r="P1425" s="2"/>
    </row>
    <row r="1426" spans="1:16" ht="12.95" customHeight="1" x14ac:dyDescent="0.2">
      <c r="A1426" s="4" t="s">
        <v>51</v>
      </c>
      <c r="B1426" s="4" t="s">
        <v>31</v>
      </c>
      <c r="C1426" s="4"/>
      <c r="D1426" s="4"/>
      <c r="E1426" s="3"/>
      <c r="F1426" s="4"/>
      <c r="G1426" s="4"/>
      <c r="H1426" s="4"/>
      <c r="I1426" s="35"/>
      <c r="J1426" s="4"/>
      <c r="K1426" s="4"/>
      <c r="L1426" s="4"/>
      <c r="M1426" s="4"/>
      <c r="N1426" s="4" t="s">
        <v>214</v>
      </c>
      <c r="O1426" s="4"/>
      <c r="P1426" s="4"/>
    </row>
    <row r="1427" spans="1:16" ht="12.95" customHeight="1" x14ac:dyDescent="0.2">
      <c r="A1427" s="4" t="s">
        <v>52</v>
      </c>
      <c r="B1427" s="4" t="s">
        <v>31</v>
      </c>
      <c r="C1427" s="4"/>
      <c r="D1427" s="4"/>
      <c r="E1427" s="3"/>
      <c r="F1427" s="4"/>
      <c r="G1427" s="4"/>
      <c r="H1427" s="4"/>
      <c r="I1427" s="35"/>
      <c r="J1427" s="4"/>
      <c r="K1427" s="4"/>
      <c r="L1427" s="4"/>
      <c r="M1427" s="4"/>
      <c r="N1427" s="4" t="s">
        <v>214</v>
      </c>
      <c r="O1427" s="4"/>
      <c r="P1427" s="4"/>
    </row>
    <row r="1428" spans="1:16" x14ac:dyDescent="0.2">
      <c r="A1428" s="4" t="s">
        <v>33</v>
      </c>
      <c r="B1428" s="4" t="s">
        <v>34</v>
      </c>
      <c r="C1428" s="4" t="s">
        <v>34</v>
      </c>
      <c r="D1428" s="4" t="s">
        <v>34</v>
      </c>
      <c r="E1428" s="4"/>
      <c r="F1428" s="4"/>
      <c r="G1428" s="4"/>
      <c r="H1428" s="4" t="s">
        <v>23</v>
      </c>
      <c r="I1428" s="35" t="s">
        <v>23</v>
      </c>
      <c r="J1428" s="4"/>
      <c r="K1428" s="4"/>
      <c r="L1428" s="4"/>
      <c r="M1428" s="4"/>
      <c r="N1428" s="4"/>
      <c r="O1428" s="4"/>
      <c r="P1428" s="4"/>
    </row>
    <row r="1429" spans="1:16" ht="12.95" customHeight="1" x14ac:dyDescent="0.2">
      <c r="A1429" s="2" t="s">
        <v>54</v>
      </c>
      <c r="B1429" s="2" t="s">
        <v>42</v>
      </c>
      <c r="C1429" s="2"/>
      <c r="D1429" s="2"/>
      <c r="E1429" s="3"/>
      <c r="F1429" s="2"/>
      <c r="G1429" s="2"/>
      <c r="H1429" s="2"/>
      <c r="I1429" s="13"/>
      <c r="J1429" s="2"/>
      <c r="K1429" s="2"/>
      <c r="L1429" s="2"/>
      <c r="M1429" s="2"/>
      <c r="N1429" s="2" t="s">
        <v>214</v>
      </c>
      <c r="O1429" s="2"/>
      <c r="P1429" s="2"/>
    </row>
    <row r="1430" spans="1:16" ht="12.95" customHeight="1" x14ac:dyDescent="0.2">
      <c r="A1430" s="2" t="s">
        <v>61</v>
      </c>
      <c r="B1430" s="2" t="s">
        <v>42</v>
      </c>
      <c r="C1430" s="2"/>
      <c r="D1430" s="2"/>
      <c r="E1430" s="3"/>
      <c r="F1430" s="2"/>
      <c r="G1430" s="2"/>
      <c r="H1430" s="2"/>
      <c r="I1430" s="13"/>
      <c r="J1430" s="2"/>
      <c r="K1430" s="2"/>
      <c r="L1430" s="2"/>
      <c r="M1430" s="2"/>
      <c r="N1430" s="2" t="s">
        <v>214</v>
      </c>
      <c r="O1430" s="2"/>
      <c r="P1430" s="2"/>
    </row>
    <row r="1431" spans="1:16" ht="12.95" customHeight="1" x14ac:dyDescent="0.2">
      <c r="A1431" s="2" t="s">
        <v>68</v>
      </c>
      <c r="B1431" s="2" t="s">
        <v>42</v>
      </c>
      <c r="C1431" s="2"/>
      <c r="D1431" s="2"/>
      <c r="E1431" s="3"/>
      <c r="F1431" s="2"/>
      <c r="G1431" s="2"/>
      <c r="H1431" s="2"/>
      <c r="I1431" s="13"/>
      <c r="J1431" s="2"/>
      <c r="K1431" s="2"/>
      <c r="L1431" s="2"/>
      <c r="M1431" s="2"/>
      <c r="N1431" s="2" t="s">
        <v>214</v>
      </c>
      <c r="O1431" s="2"/>
      <c r="P1431" s="2"/>
    </row>
    <row r="1432" spans="1:16" ht="12.95" customHeight="1" x14ac:dyDescent="0.2">
      <c r="A1432" s="2" t="s">
        <v>75</v>
      </c>
      <c r="B1432" s="2" t="s">
        <v>42</v>
      </c>
      <c r="C1432" s="2"/>
      <c r="D1432" s="2"/>
      <c r="E1432" s="3"/>
      <c r="F1432" s="2"/>
      <c r="G1432" s="2"/>
      <c r="H1432" s="2"/>
      <c r="I1432" s="13"/>
      <c r="J1432" s="2"/>
      <c r="K1432" s="2"/>
      <c r="L1432" s="2"/>
      <c r="M1432" s="2"/>
      <c r="N1432" s="2" t="s">
        <v>214</v>
      </c>
      <c r="O1432" s="2"/>
      <c r="P1432" s="2"/>
    </row>
    <row r="1433" spans="1:16" ht="12.95" customHeight="1" x14ac:dyDescent="0.2">
      <c r="A1433" s="2" t="s">
        <v>81</v>
      </c>
      <c r="B1433" s="2" t="s">
        <v>42</v>
      </c>
      <c r="C1433" s="2"/>
      <c r="D1433" s="2"/>
      <c r="E1433" s="3"/>
      <c r="F1433" s="2"/>
      <c r="G1433" s="2"/>
      <c r="H1433" s="2"/>
      <c r="I1433" s="13"/>
      <c r="J1433" s="2"/>
      <c r="K1433" s="2"/>
      <c r="L1433" s="2"/>
      <c r="M1433" s="2"/>
      <c r="N1433" s="2" t="s">
        <v>214</v>
      </c>
      <c r="O1433" s="2"/>
      <c r="P1433" s="2"/>
    </row>
    <row r="1434" spans="1:16" ht="12.95" customHeight="1" x14ac:dyDescent="0.2">
      <c r="A1434" s="4" t="s">
        <v>87</v>
      </c>
      <c r="B1434" s="4" t="s">
        <v>31</v>
      </c>
      <c r="C1434" s="4"/>
      <c r="D1434" s="4"/>
      <c r="E1434" s="3"/>
      <c r="F1434" s="4"/>
      <c r="G1434" s="4"/>
      <c r="H1434" s="4"/>
      <c r="I1434" s="35"/>
      <c r="J1434" s="4"/>
      <c r="K1434" s="4"/>
      <c r="L1434" s="4"/>
      <c r="M1434" s="4"/>
      <c r="N1434" s="4" t="s">
        <v>214</v>
      </c>
      <c r="O1434" s="4"/>
      <c r="P1434" s="4"/>
    </row>
    <row r="1435" spans="1:16" ht="12.95" customHeight="1" x14ac:dyDescent="0.2">
      <c r="A1435" s="4" t="s">
        <v>88</v>
      </c>
      <c r="B1435" s="4" t="s">
        <v>31</v>
      </c>
      <c r="C1435" s="4"/>
      <c r="D1435" s="4"/>
      <c r="E1435" s="3"/>
      <c r="F1435" s="4"/>
      <c r="G1435" s="4"/>
      <c r="H1435" s="4"/>
      <c r="I1435" s="35"/>
      <c r="J1435" s="4"/>
      <c r="K1435" s="4"/>
      <c r="L1435" s="4"/>
      <c r="M1435" s="4"/>
      <c r="N1435" s="4" t="s">
        <v>214</v>
      </c>
      <c r="O1435" s="4" t="s">
        <v>1178</v>
      </c>
      <c r="P1435" s="4"/>
    </row>
    <row r="1436" spans="1:16" x14ac:dyDescent="0.2">
      <c r="A1436" s="4" t="s">
        <v>33</v>
      </c>
      <c r="B1436" s="4" t="s">
        <v>34</v>
      </c>
      <c r="C1436" s="4" t="s">
        <v>34</v>
      </c>
      <c r="D1436" s="4" t="s">
        <v>34</v>
      </c>
      <c r="E1436" s="4"/>
      <c r="F1436" s="4"/>
      <c r="G1436" s="4"/>
      <c r="H1436" s="4"/>
      <c r="I1436" s="35"/>
      <c r="J1436" s="4"/>
      <c r="K1436" s="4"/>
      <c r="L1436" s="4"/>
      <c r="M1436" s="4"/>
      <c r="N1436" s="4"/>
      <c r="O1436" s="4"/>
      <c r="P1436" s="4"/>
    </row>
    <row r="1437" spans="1:16" ht="12.95" customHeight="1" x14ac:dyDescent="0.2">
      <c r="A1437" s="2" t="s">
        <v>97</v>
      </c>
      <c r="B1437" s="2" t="s">
        <v>42</v>
      </c>
      <c r="C1437" s="2" t="s">
        <v>98</v>
      </c>
      <c r="D1437" s="2" t="s">
        <v>1130</v>
      </c>
      <c r="E1437" s="3" t="s">
        <v>427</v>
      </c>
      <c r="F1437" s="2" t="s">
        <v>46</v>
      </c>
      <c r="G1437" s="2" t="s">
        <v>185</v>
      </c>
      <c r="H1437" s="2" t="s">
        <v>48</v>
      </c>
      <c r="I1437" s="13" t="s">
        <v>512</v>
      </c>
      <c r="J1437" s="2" t="s">
        <v>185</v>
      </c>
      <c r="K1437" s="2"/>
      <c r="L1437" s="2"/>
      <c r="M1437" s="2" t="s">
        <v>103</v>
      </c>
      <c r="N1437" s="2"/>
      <c r="O1437" s="2"/>
      <c r="P1437" s="2"/>
    </row>
    <row r="1438" spans="1:16" ht="12.95" customHeight="1" x14ac:dyDescent="0.2">
      <c r="A1438" s="2" t="s">
        <v>104</v>
      </c>
      <c r="B1438" s="2" t="s">
        <v>42</v>
      </c>
      <c r="C1438" s="2" t="s">
        <v>402</v>
      </c>
      <c r="D1438" s="2" t="s">
        <v>442</v>
      </c>
      <c r="E1438" s="3" t="s">
        <v>1179</v>
      </c>
      <c r="F1438" s="2"/>
      <c r="G1438" s="2" t="s">
        <v>1179</v>
      </c>
      <c r="H1438" s="2" t="s">
        <v>108</v>
      </c>
      <c r="I1438" s="13"/>
      <c r="J1438" s="2" t="s">
        <v>1179</v>
      </c>
      <c r="K1438" s="2"/>
      <c r="L1438" s="2" t="s">
        <v>823</v>
      </c>
      <c r="M1438" s="2" t="s">
        <v>281</v>
      </c>
      <c r="N1438" s="2" t="s">
        <v>24</v>
      </c>
      <c r="O1438" s="2" t="s">
        <v>111</v>
      </c>
      <c r="P1438" s="2"/>
    </row>
    <row r="1439" spans="1:16" ht="12.95" customHeight="1" x14ac:dyDescent="0.2">
      <c r="A1439" s="2" t="s">
        <v>104</v>
      </c>
      <c r="B1439" s="2" t="s">
        <v>42</v>
      </c>
      <c r="C1439" s="2" t="s">
        <v>1180</v>
      </c>
      <c r="D1439" s="2" t="s">
        <v>1181</v>
      </c>
      <c r="E1439" s="3" t="s">
        <v>1182</v>
      </c>
      <c r="F1439" s="2" t="s">
        <v>46</v>
      </c>
      <c r="G1439" s="2" t="s">
        <v>843</v>
      </c>
      <c r="H1439" s="2"/>
      <c r="I1439" s="13"/>
      <c r="J1439" s="2" t="s">
        <v>843</v>
      </c>
      <c r="K1439" s="2"/>
      <c r="L1439" s="2" t="s">
        <v>843</v>
      </c>
      <c r="M1439" s="2"/>
      <c r="N1439" s="2"/>
      <c r="O1439" s="2"/>
      <c r="P1439" s="2"/>
    </row>
    <row r="1440" spans="1:16" ht="12.95" customHeight="1" x14ac:dyDescent="0.2">
      <c r="A1440" s="2" t="s">
        <v>112</v>
      </c>
      <c r="B1440" s="2" t="s">
        <v>22</v>
      </c>
      <c r="C1440" s="2"/>
      <c r="D1440" s="2"/>
      <c r="E1440" s="3"/>
      <c r="F1440" s="2"/>
      <c r="G1440" s="2"/>
      <c r="H1440" s="2"/>
      <c r="I1440" s="13"/>
      <c r="J1440" s="2"/>
      <c r="K1440" s="2"/>
      <c r="L1440" s="2"/>
      <c r="M1440" s="2"/>
      <c r="N1440" s="2" t="s">
        <v>24</v>
      </c>
      <c r="O1440" s="2"/>
      <c r="P1440" s="2"/>
    </row>
    <row r="1441" spans="1:16" ht="12.95" customHeight="1" x14ac:dyDescent="0.2">
      <c r="A1441" s="2" t="s">
        <v>114</v>
      </c>
      <c r="B1441" s="2" t="s">
        <v>27</v>
      </c>
      <c r="C1441" s="2"/>
      <c r="D1441" s="2"/>
      <c r="E1441" s="3"/>
      <c r="F1441" s="2"/>
      <c r="G1441" s="2"/>
      <c r="H1441" s="2"/>
      <c r="I1441" s="13"/>
      <c r="J1441" s="2"/>
      <c r="K1441" s="2"/>
      <c r="L1441" s="2"/>
      <c r="M1441" s="2"/>
      <c r="N1441" s="2" t="s">
        <v>28</v>
      </c>
      <c r="O1441" s="2" t="s">
        <v>111</v>
      </c>
      <c r="P1441" s="2"/>
    </row>
    <row r="1442" spans="1:16" ht="12.95" customHeight="1" x14ac:dyDescent="0.2">
      <c r="A1442" s="2" t="s">
        <v>115</v>
      </c>
      <c r="B1442" s="2" t="s">
        <v>42</v>
      </c>
      <c r="C1442" s="2" t="s">
        <v>55</v>
      </c>
      <c r="D1442" s="2" t="s">
        <v>1183</v>
      </c>
      <c r="E1442" s="3" t="s">
        <v>137</v>
      </c>
      <c r="F1442" s="2"/>
      <c r="G1442" s="2" t="s">
        <v>137</v>
      </c>
      <c r="H1442" s="2" t="s">
        <v>48</v>
      </c>
      <c r="I1442" s="13" t="s">
        <v>740</v>
      </c>
      <c r="J1442" s="2" t="s">
        <v>137</v>
      </c>
      <c r="K1442" s="2"/>
      <c r="L1442" s="2"/>
      <c r="M1442" s="2" t="s">
        <v>60</v>
      </c>
      <c r="N1442" s="2"/>
      <c r="O1442" s="2" t="s">
        <v>1184</v>
      </c>
      <c r="P1442" s="2"/>
    </row>
    <row r="1443" spans="1:16" ht="12.95" customHeight="1" x14ac:dyDescent="0.2">
      <c r="A1443" s="4" t="s">
        <v>122</v>
      </c>
      <c r="B1443" s="4" t="s">
        <v>31</v>
      </c>
      <c r="C1443" s="4"/>
      <c r="D1443" s="4"/>
      <c r="E1443" s="3"/>
      <c r="F1443" s="4"/>
      <c r="G1443" s="4"/>
      <c r="H1443" s="4"/>
      <c r="I1443" s="35"/>
      <c r="J1443" s="4"/>
      <c r="K1443" s="4"/>
      <c r="L1443" s="4"/>
      <c r="M1443" s="4"/>
      <c r="N1443" s="4"/>
      <c r="O1443" s="4"/>
      <c r="P1443" s="4"/>
    </row>
    <row r="1444" spans="1:16" ht="12.95" customHeight="1" x14ac:dyDescent="0.2">
      <c r="A1444" s="4" t="s">
        <v>123</v>
      </c>
      <c r="B1444" s="4" t="s">
        <v>31</v>
      </c>
      <c r="C1444" s="4"/>
      <c r="D1444" s="4"/>
      <c r="E1444" s="3"/>
      <c r="F1444" s="4"/>
      <c r="G1444" s="4"/>
      <c r="H1444" s="4"/>
      <c r="I1444" s="35"/>
      <c r="J1444" s="4"/>
      <c r="K1444" s="4"/>
      <c r="L1444" s="4"/>
      <c r="M1444" s="4"/>
      <c r="N1444" s="4"/>
      <c r="O1444" s="4"/>
      <c r="P1444" s="4"/>
    </row>
    <row r="1445" spans="1:16" x14ac:dyDescent="0.2">
      <c r="A1445" s="4" t="s">
        <v>33</v>
      </c>
      <c r="B1445" s="4" t="s">
        <v>34</v>
      </c>
      <c r="C1445" s="4" t="s">
        <v>34</v>
      </c>
      <c r="D1445" s="4" t="s">
        <v>34</v>
      </c>
      <c r="E1445" s="4" t="s">
        <v>419</v>
      </c>
      <c r="F1445" s="4" t="s">
        <v>95</v>
      </c>
      <c r="G1445" s="4" t="s">
        <v>1185</v>
      </c>
      <c r="H1445" s="4" t="s">
        <v>1186</v>
      </c>
      <c r="I1445" s="35" t="s">
        <v>1147</v>
      </c>
      <c r="J1445" s="4" t="s">
        <v>1185</v>
      </c>
      <c r="K1445" s="4"/>
      <c r="L1445" s="4" t="s">
        <v>467</v>
      </c>
      <c r="M1445" s="4" t="s">
        <v>1187</v>
      </c>
      <c r="N1445" s="4"/>
      <c r="O1445" s="4"/>
      <c r="P1445" s="4"/>
    </row>
    <row r="1446" spans="1:16" ht="12.95" customHeight="1" x14ac:dyDescent="0.2">
      <c r="A1446" s="2" t="s">
        <v>131</v>
      </c>
      <c r="B1446" s="2" t="s">
        <v>42</v>
      </c>
      <c r="C1446" s="2" t="s">
        <v>303</v>
      </c>
      <c r="D1446" s="2" t="s">
        <v>1188</v>
      </c>
      <c r="E1446" s="3" t="s">
        <v>1189</v>
      </c>
      <c r="F1446" s="2"/>
      <c r="G1446" s="2" t="s">
        <v>1189</v>
      </c>
      <c r="H1446" s="2" t="s">
        <v>48</v>
      </c>
      <c r="I1446" s="13" t="s">
        <v>193</v>
      </c>
      <c r="J1446" s="2" t="s">
        <v>1189</v>
      </c>
      <c r="K1446" s="2"/>
      <c r="L1446" s="2"/>
      <c r="M1446" s="2" t="s">
        <v>272</v>
      </c>
      <c r="N1446" s="2"/>
      <c r="O1446" s="2"/>
      <c r="P1446" s="2"/>
    </row>
    <row r="1447" spans="1:16" ht="12.95" customHeight="1" x14ac:dyDescent="0.2">
      <c r="A1447" s="2" t="s">
        <v>138</v>
      </c>
      <c r="B1447" s="2" t="s">
        <v>42</v>
      </c>
      <c r="C1447" s="2" t="s">
        <v>398</v>
      </c>
      <c r="D1447" s="2" t="s">
        <v>419</v>
      </c>
      <c r="E1447" s="3" t="s">
        <v>657</v>
      </c>
      <c r="F1447" s="2" t="s">
        <v>46</v>
      </c>
      <c r="G1447" s="2" t="s">
        <v>189</v>
      </c>
      <c r="H1447" s="2" t="s">
        <v>48</v>
      </c>
      <c r="I1447" s="13"/>
      <c r="J1447" s="2" t="s">
        <v>48</v>
      </c>
      <c r="K1447" s="2" t="s">
        <v>368</v>
      </c>
      <c r="L1447" s="2" t="s">
        <v>368</v>
      </c>
      <c r="M1447" s="2" t="s">
        <v>282</v>
      </c>
      <c r="N1447" s="2"/>
      <c r="O1447" s="2"/>
      <c r="P1447" s="2"/>
    </row>
    <row r="1448" spans="1:16" ht="12.95" customHeight="1" x14ac:dyDescent="0.2">
      <c r="A1448" s="2" t="s">
        <v>143</v>
      </c>
      <c r="B1448" s="2" t="s">
        <v>42</v>
      </c>
      <c r="C1448" s="2" t="s">
        <v>98</v>
      </c>
      <c r="D1448" s="2" t="s">
        <v>1104</v>
      </c>
      <c r="E1448" s="3" t="s">
        <v>158</v>
      </c>
      <c r="F1448" s="2" t="s">
        <v>46</v>
      </c>
      <c r="G1448" s="2" t="s">
        <v>1190</v>
      </c>
      <c r="H1448" s="2" t="s">
        <v>48</v>
      </c>
      <c r="I1448" s="13" t="s">
        <v>662</v>
      </c>
      <c r="J1448" s="2" t="s">
        <v>1190</v>
      </c>
      <c r="K1448" s="2"/>
      <c r="L1448" s="2"/>
      <c r="M1448" s="2" t="s">
        <v>103</v>
      </c>
      <c r="N1448" s="2"/>
      <c r="O1448" s="2"/>
      <c r="P1448" s="2"/>
    </row>
    <row r="1449" spans="1:16" ht="12.95" customHeight="1" x14ac:dyDescent="0.2">
      <c r="A1449" s="2" t="s">
        <v>148</v>
      </c>
      <c r="B1449" s="2" t="s">
        <v>42</v>
      </c>
      <c r="C1449" s="2" t="s">
        <v>703</v>
      </c>
      <c r="D1449" s="2" t="s">
        <v>1191</v>
      </c>
      <c r="E1449" s="3" t="s">
        <v>82</v>
      </c>
      <c r="F1449" s="2" t="s">
        <v>46</v>
      </c>
      <c r="G1449" s="2" t="s">
        <v>219</v>
      </c>
      <c r="H1449" s="2" t="s">
        <v>48</v>
      </c>
      <c r="I1449" s="13" t="s">
        <v>212</v>
      </c>
      <c r="J1449" s="2" t="s">
        <v>219</v>
      </c>
      <c r="K1449" s="2"/>
      <c r="L1449" s="2"/>
      <c r="M1449" s="2" t="s">
        <v>705</v>
      </c>
      <c r="N1449" s="2"/>
      <c r="O1449" s="2"/>
      <c r="P1449" s="2"/>
    </row>
    <row r="1450" spans="1:16" ht="12.95" customHeight="1" x14ac:dyDescent="0.2">
      <c r="A1450" s="2" t="s">
        <v>155</v>
      </c>
      <c r="B1450" s="2" t="s">
        <v>42</v>
      </c>
      <c r="C1450" s="2" t="s">
        <v>107</v>
      </c>
      <c r="D1450" s="2" t="s">
        <v>1192</v>
      </c>
      <c r="E1450" s="3" t="s">
        <v>71</v>
      </c>
      <c r="F1450" s="2" t="s">
        <v>46</v>
      </c>
      <c r="G1450" s="2" t="s">
        <v>72</v>
      </c>
      <c r="H1450" s="2" t="s">
        <v>48</v>
      </c>
      <c r="I1450" s="13"/>
      <c r="J1450" s="2" t="s">
        <v>48</v>
      </c>
      <c r="K1450" s="2" t="s">
        <v>73</v>
      </c>
      <c r="L1450" s="2" t="s">
        <v>73</v>
      </c>
      <c r="M1450" s="2" t="s">
        <v>232</v>
      </c>
      <c r="N1450" s="2"/>
      <c r="O1450" s="2"/>
      <c r="P1450" s="2"/>
    </row>
    <row r="1451" spans="1:16" ht="12.95" customHeight="1" x14ac:dyDescent="0.2">
      <c r="A1451" s="8" t="s">
        <v>161</v>
      </c>
      <c r="B1451" s="8"/>
      <c r="C1451" s="8"/>
      <c r="D1451" s="8"/>
      <c r="E1451" s="5" t="s">
        <v>1193</v>
      </c>
      <c r="F1451" s="5" t="s">
        <v>515</v>
      </c>
      <c r="G1451" s="5" t="s">
        <v>1194</v>
      </c>
      <c r="H1451" s="5" t="s">
        <v>1195</v>
      </c>
      <c r="I1451" s="36" t="s">
        <v>1047</v>
      </c>
      <c r="J1451" s="5" t="s">
        <v>1196</v>
      </c>
      <c r="K1451" s="5" t="s">
        <v>60</v>
      </c>
      <c r="L1451" s="5" t="s">
        <v>858</v>
      </c>
      <c r="M1451" s="5" t="s">
        <v>1147</v>
      </c>
      <c r="N1451" s="5"/>
      <c r="O1451" s="5"/>
      <c r="P1451" s="5"/>
    </row>
    <row r="1452" spans="1:16" ht="12.95" customHeight="1" x14ac:dyDescent="0.2">
      <c r="A1452" s="8" t="s">
        <v>171</v>
      </c>
      <c r="B1452" s="8"/>
      <c r="C1452" s="8"/>
      <c r="D1452" s="8"/>
      <c r="E1452" s="5" t="s">
        <v>1193</v>
      </c>
      <c r="F1452" s="5" t="s">
        <v>515</v>
      </c>
      <c r="G1452" s="5" t="s">
        <v>1194</v>
      </c>
      <c r="H1452" s="5" t="s">
        <v>1195</v>
      </c>
      <c r="I1452" s="36" t="s">
        <v>885</v>
      </c>
      <c r="J1452" s="5" t="s">
        <v>1196</v>
      </c>
      <c r="K1452" s="5" t="s">
        <v>60</v>
      </c>
      <c r="L1452" s="5" t="s">
        <v>858</v>
      </c>
      <c r="M1452" s="5" t="s">
        <v>1147</v>
      </c>
      <c r="N1452" s="5"/>
      <c r="O1452" s="5"/>
      <c r="P1452" s="5"/>
    </row>
    <row r="1453" spans="1:16" ht="12.95" customHeight="1" x14ac:dyDescent="0.2">
      <c r="A1453" s="8" t="s">
        <v>173</v>
      </c>
      <c r="B1453" s="8"/>
      <c r="C1453" s="8"/>
      <c r="D1453" s="8"/>
      <c r="E1453" s="5">
        <v>58.63</v>
      </c>
      <c r="F1453" s="5">
        <v>3</v>
      </c>
      <c r="G1453" s="5">
        <v>55.63</v>
      </c>
      <c r="H1453" s="5">
        <v>61</v>
      </c>
      <c r="I1453" s="36">
        <v>5.36</v>
      </c>
      <c r="J1453" s="5">
        <v>54.86</v>
      </c>
      <c r="K1453" s="5">
        <v>0.76</v>
      </c>
      <c r="L1453" s="5">
        <v>6.25</v>
      </c>
      <c r="M1453" s="5">
        <v>7.36</v>
      </c>
      <c r="N1453" s="5"/>
      <c r="O1453" s="5"/>
      <c r="P1453" s="5"/>
    </row>
    <row r="1454" spans="1:16" x14ac:dyDescent="0.2">
      <c r="I1454" s="37"/>
    </row>
    <row r="1455" spans="1:16" ht="12.95" customHeight="1" x14ac:dyDescent="0.2">
      <c r="A1455" s="9" t="s">
        <v>174</v>
      </c>
      <c r="B1455" s="9"/>
      <c r="C1455" s="9"/>
      <c r="E1455" s="9" t="s">
        <v>180</v>
      </c>
      <c r="F1455" s="9"/>
      <c r="G1455" s="9"/>
      <c r="I1455" s="9" t="s">
        <v>181</v>
      </c>
      <c r="J1455" s="9"/>
      <c r="K1455" s="9"/>
    </row>
    <row r="1456" spans="1:16" ht="12.95" customHeight="1" x14ac:dyDescent="0.2">
      <c r="A1456" s="10" t="s">
        <v>175</v>
      </c>
      <c r="B1456" s="10"/>
      <c r="C1456" s="6">
        <v>8</v>
      </c>
      <c r="E1456" s="10" t="s">
        <v>14</v>
      </c>
      <c r="F1456" s="10"/>
      <c r="G1456" s="6">
        <v>54.86</v>
      </c>
      <c r="I1456" s="10" t="s">
        <v>264</v>
      </c>
      <c r="J1456" s="10"/>
      <c r="K1456" s="43">
        <v>1</v>
      </c>
    </row>
    <row r="1457" spans="1:17" ht="12.95" customHeight="1" x14ac:dyDescent="0.2">
      <c r="A1457" s="10" t="s">
        <v>1531</v>
      </c>
      <c r="B1457" s="10"/>
      <c r="C1457" s="6">
        <v>22</v>
      </c>
      <c r="E1457" s="10" t="s">
        <v>15</v>
      </c>
      <c r="F1457" s="10"/>
      <c r="G1457" s="6">
        <v>0.76</v>
      </c>
      <c r="I1457" s="10" t="s">
        <v>265</v>
      </c>
      <c r="J1457" s="10"/>
      <c r="K1457" s="6">
        <v>12</v>
      </c>
    </row>
    <row r="1458" spans="1:17" ht="12.95" customHeight="1" x14ac:dyDescent="0.2">
      <c r="A1458" s="10" t="s">
        <v>176</v>
      </c>
      <c r="B1458" s="10"/>
      <c r="C1458" s="6">
        <v>58.63</v>
      </c>
      <c r="I1458" s="10" t="s">
        <v>27</v>
      </c>
      <c r="J1458" s="10"/>
      <c r="K1458" s="26">
        <v>3</v>
      </c>
    </row>
    <row r="1459" spans="1:17" ht="12.95" customHeight="1" x14ac:dyDescent="0.2">
      <c r="A1459" s="10" t="s">
        <v>177</v>
      </c>
      <c r="B1459" s="10"/>
      <c r="C1459" s="6">
        <v>61</v>
      </c>
      <c r="I1459" s="10" t="s">
        <v>22</v>
      </c>
      <c r="J1459" s="10"/>
      <c r="K1459" s="26">
        <v>3</v>
      </c>
    </row>
    <row r="1460" spans="1:17" ht="12.95" customHeight="1" x14ac:dyDescent="0.2">
      <c r="A1460" s="10" t="s">
        <v>11</v>
      </c>
      <c r="B1460" s="10"/>
      <c r="C1460" s="6">
        <v>55.63</v>
      </c>
      <c r="I1460" s="10" t="s">
        <v>36</v>
      </c>
      <c r="J1460" s="10"/>
      <c r="K1460" s="26">
        <v>2</v>
      </c>
    </row>
    <row r="1461" spans="1:17" ht="12.95" customHeight="1" x14ac:dyDescent="0.2">
      <c r="A1461" s="10" t="s">
        <v>178</v>
      </c>
      <c r="B1461" s="10"/>
      <c r="C1461" s="30">
        <v>11.61</v>
      </c>
      <c r="I1461" s="39" t="s">
        <v>1591</v>
      </c>
      <c r="J1461" s="19"/>
      <c r="K1461" s="20">
        <v>1.5</v>
      </c>
    </row>
    <row r="1462" spans="1:17" ht="12.95" customHeight="1" x14ac:dyDescent="0.2">
      <c r="A1462" s="28" t="s">
        <v>1571</v>
      </c>
      <c r="B1462" s="27"/>
      <c r="C1462" s="31">
        <v>-0.8</v>
      </c>
      <c r="I1462" s="39" t="s">
        <v>1592</v>
      </c>
      <c r="J1462" s="19"/>
      <c r="K1462" s="38">
        <v>0</v>
      </c>
    </row>
    <row r="1463" spans="1:17" ht="12.95" customHeight="1" x14ac:dyDescent="0.25">
      <c r="A1463" s="29" t="s">
        <v>1572</v>
      </c>
      <c r="B1463" s="29"/>
      <c r="C1463" s="32">
        <f>C1461+C1462</f>
        <v>10.809999999999999</v>
      </c>
      <c r="I1463" s="41" t="s">
        <v>1593</v>
      </c>
      <c r="J1463" s="40"/>
      <c r="K1463" s="42">
        <f>K1456+K1461+K1462</f>
        <v>2.5</v>
      </c>
    </row>
    <row r="1464" spans="1:17" x14ac:dyDescent="0.2">
      <c r="A1464" s="10" t="s">
        <v>10</v>
      </c>
      <c r="B1464" s="10"/>
      <c r="C1464" s="6">
        <v>3</v>
      </c>
    </row>
    <row r="1465" spans="1:17" x14ac:dyDescent="0.2">
      <c r="A1465" t="s">
        <v>1615</v>
      </c>
      <c r="C1465" cm="1">
        <f t="array" ref="C1465">IFERROR(SUMPRODUCT((ISNUMBER(SEARCH("מילואים",N1416:N1454))+ISNUMBER(SEARCH("מילואים",O1416:O1454))&gt;0)*(C1416:C1454&lt;&gt;"")*(J1416:J1454+0))*24,0)</f>
        <v>0</v>
      </c>
    </row>
    <row r="1466" spans="1:17" ht="12.95" customHeight="1" x14ac:dyDescent="0.2">
      <c r="A1466" s="7" t="s">
        <v>1197</v>
      </c>
      <c r="B1466" s="7"/>
      <c r="C1466" s="7"/>
      <c r="D1466" s="7" t="s">
        <v>1</v>
      </c>
      <c r="E1466" s="7"/>
      <c r="F1466" s="7"/>
      <c r="G1466" s="7"/>
      <c r="H1466" s="7" t="s">
        <v>944</v>
      </c>
      <c r="I1466" s="7"/>
      <c r="J1466" s="7"/>
      <c r="K1466" s="7"/>
      <c r="L1466" s="7"/>
      <c r="M1466" s="7" t="s">
        <v>1198</v>
      </c>
      <c r="N1466" s="7"/>
      <c r="O1466" s="7"/>
      <c r="P1466" s="7"/>
      <c r="Q1466" s="7"/>
    </row>
    <row r="1467" spans="1:17" ht="12.95" customHeight="1" x14ac:dyDescent="0.2">
      <c r="A1467" s="7" t="s">
        <v>3</v>
      </c>
      <c r="B1467" s="7"/>
      <c r="C1467" s="7"/>
      <c r="D1467" s="7"/>
      <c r="E1467" s="7"/>
      <c r="F1467" s="7">
        <v>86</v>
      </c>
      <c r="G1467" s="7"/>
      <c r="H1467" s="7" t="s">
        <v>4</v>
      </c>
      <c r="I1467" s="7"/>
      <c r="J1467" s="7"/>
      <c r="K1467" s="7"/>
      <c r="L1467" s="7"/>
      <c r="M1467" s="7"/>
      <c r="N1467" s="7"/>
      <c r="O1467" s="7"/>
      <c r="P1467" s="7"/>
      <c r="Q1467" s="7"/>
    </row>
    <row r="1468" spans="1:17" ht="22.5" customHeight="1" x14ac:dyDescent="0.2">
      <c r="A1468" s="1" t="s">
        <v>5</v>
      </c>
      <c r="B1468" s="1" t="s">
        <v>6</v>
      </c>
      <c r="C1468" s="1" t="s">
        <v>7</v>
      </c>
      <c r="D1468" s="1" t="s">
        <v>8</v>
      </c>
      <c r="E1468" s="1" t="s">
        <v>9</v>
      </c>
      <c r="F1468" s="1" t="s">
        <v>10</v>
      </c>
      <c r="G1468" s="1" t="s">
        <v>11</v>
      </c>
      <c r="H1468" s="1" t="s">
        <v>12</v>
      </c>
      <c r="I1468" s="1" t="s">
        <v>13</v>
      </c>
      <c r="J1468" s="1" t="s">
        <v>14</v>
      </c>
      <c r="K1468" s="1" t="s">
        <v>15</v>
      </c>
      <c r="L1468" s="1" t="s">
        <v>267</v>
      </c>
      <c r="M1468" s="1" t="s">
        <v>16</v>
      </c>
      <c r="N1468" s="1" t="s">
        <v>17</v>
      </c>
      <c r="O1468" s="109" t="s">
        <v>1717</v>
      </c>
      <c r="P1468" s="1" t="s">
        <v>19</v>
      </c>
      <c r="Q1468" s="1" t="s">
        <v>20</v>
      </c>
    </row>
    <row r="1469" spans="1:17" ht="12.95" customHeight="1" x14ac:dyDescent="0.2">
      <c r="A1469" s="2" t="s">
        <v>21</v>
      </c>
      <c r="B1469" s="2" t="s">
        <v>22</v>
      </c>
      <c r="C1469" s="2"/>
      <c r="D1469" s="2"/>
      <c r="E1469" s="3"/>
      <c r="F1469" s="2"/>
      <c r="G1469" s="2"/>
      <c r="H1469" s="2"/>
      <c r="I1469" s="13"/>
      <c r="J1469" s="2"/>
      <c r="K1469" s="2"/>
      <c r="L1469" s="2"/>
      <c r="M1469" s="2"/>
      <c r="N1469" s="2"/>
      <c r="O1469" s="2" t="s">
        <v>214</v>
      </c>
      <c r="P1469" s="2" t="s">
        <v>25</v>
      </c>
      <c r="Q1469" s="2"/>
    </row>
    <row r="1470" spans="1:17" ht="12.95" customHeight="1" x14ac:dyDescent="0.2">
      <c r="A1470" s="2" t="s">
        <v>26</v>
      </c>
      <c r="B1470" s="2" t="s">
        <v>27</v>
      </c>
      <c r="C1470" s="2"/>
      <c r="D1470" s="2"/>
      <c r="E1470" s="3"/>
      <c r="F1470" s="2"/>
      <c r="G1470" s="2"/>
      <c r="H1470" s="2"/>
      <c r="I1470" s="13"/>
      <c r="J1470" s="2"/>
      <c r="K1470" s="2"/>
      <c r="L1470" s="2"/>
      <c r="M1470" s="2"/>
      <c r="N1470" s="2"/>
      <c r="O1470" s="2" t="s">
        <v>214</v>
      </c>
      <c r="P1470" s="2" t="s">
        <v>29</v>
      </c>
      <c r="Q1470" s="2"/>
    </row>
    <row r="1471" spans="1:17" ht="12.95" customHeight="1" x14ac:dyDescent="0.2">
      <c r="A1471" s="4" t="s">
        <v>30</v>
      </c>
      <c r="B1471" s="4" t="s">
        <v>31</v>
      </c>
      <c r="C1471" s="4"/>
      <c r="D1471" s="4"/>
      <c r="E1471" s="3"/>
      <c r="F1471" s="4"/>
      <c r="G1471" s="4"/>
      <c r="H1471" s="4"/>
      <c r="I1471" s="35"/>
      <c r="J1471" s="4"/>
      <c r="K1471" s="4"/>
      <c r="L1471" s="4"/>
      <c r="M1471" s="4"/>
      <c r="N1471" s="4"/>
      <c r="O1471" s="4" t="s">
        <v>214</v>
      </c>
      <c r="P1471" s="4"/>
      <c r="Q1471" s="4"/>
    </row>
    <row r="1472" spans="1:17" ht="12.95" customHeight="1" x14ac:dyDescent="0.2">
      <c r="A1472" s="4" t="s">
        <v>32</v>
      </c>
      <c r="B1472" s="4" t="s">
        <v>31</v>
      </c>
      <c r="C1472" s="4"/>
      <c r="D1472" s="4"/>
      <c r="E1472" s="3"/>
      <c r="F1472" s="4"/>
      <c r="G1472" s="4"/>
      <c r="H1472" s="4"/>
      <c r="I1472" s="35"/>
      <c r="J1472" s="4"/>
      <c r="K1472" s="4"/>
      <c r="L1472" s="4"/>
      <c r="M1472" s="4"/>
      <c r="N1472" s="4"/>
      <c r="O1472" s="4" t="s">
        <v>214</v>
      </c>
      <c r="P1472" s="4"/>
      <c r="Q1472" s="4"/>
    </row>
    <row r="1473" spans="1:17" x14ac:dyDescent="0.2">
      <c r="A1473" s="4" t="s">
        <v>33</v>
      </c>
      <c r="B1473" s="4" t="s">
        <v>34</v>
      </c>
      <c r="C1473" s="4" t="s">
        <v>34</v>
      </c>
      <c r="D1473" s="4" t="s">
        <v>34</v>
      </c>
      <c r="E1473" s="4"/>
      <c r="F1473" s="4"/>
      <c r="G1473" s="4"/>
      <c r="H1473" s="4"/>
      <c r="I1473" s="35"/>
      <c r="J1473" s="4"/>
      <c r="K1473" s="4"/>
      <c r="L1473" s="4"/>
      <c r="M1473" s="4"/>
      <c r="N1473" s="4"/>
      <c r="O1473" s="4"/>
      <c r="P1473" s="4"/>
      <c r="Q1473" s="4"/>
    </row>
    <row r="1474" spans="1:17" ht="12.95" customHeight="1" x14ac:dyDescent="0.2">
      <c r="A1474" s="2" t="s">
        <v>35</v>
      </c>
      <c r="B1474" s="2" t="s">
        <v>36</v>
      </c>
      <c r="C1474" s="2"/>
      <c r="D1474" s="2"/>
      <c r="E1474" s="3"/>
      <c r="F1474" s="2"/>
      <c r="G1474" s="2"/>
      <c r="H1474" s="2"/>
      <c r="I1474" s="13"/>
      <c r="J1474" s="2"/>
      <c r="K1474" s="2"/>
      <c r="L1474" s="2"/>
      <c r="M1474" s="2"/>
      <c r="N1474" s="2"/>
      <c r="O1474" s="2" t="s">
        <v>214</v>
      </c>
      <c r="P1474" s="2"/>
      <c r="Q1474" s="2"/>
    </row>
    <row r="1475" spans="1:17" ht="12.95" customHeight="1" x14ac:dyDescent="0.2">
      <c r="A1475" s="2" t="s">
        <v>38</v>
      </c>
      <c r="B1475" s="2" t="s">
        <v>36</v>
      </c>
      <c r="C1475" s="2"/>
      <c r="D1475" s="2"/>
      <c r="E1475" s="3"/>
      <c r="F1475" s="2"/>
      <c r="G1475" s="2"/>
      <c r="H1475" s="2"/>
      <c r="I1475" s="13"/>
      <c r="J1475" s="2"/>
      <c r="K1475" s="2"/>
      <c r="L1475" s="2"/>
      <c r="M1475" s="2"/>
      <c r="N1475" s="2"/>
      <c r="O1475" s="2" t="s">
        <v>214</v>
      </c>
      <c r="P1475" s="2"/>
      <c r="Q1475" s="2"/>
    </row>
    <row r="1476" spans="1:17" ht="12.95" customHeight="1" x14ac:dyDescent="0.2">
      <c r="A1476" s="2" t="s">
        <v>39</v>
      </c>
      <c r="B1476" s="2" t="s">
        <v>22</v>
      </c>
      <c r="C1476" s="2"/>
      <c r="D1476" s="2"/>
      <c r="E1476" s="3"/>
      <c r="F1476" s="2"/>
      <c r="G1476" s="2"/>
      <c r="H1476" s="2"/>
      <c r="I1476" s="13"/>
      <c r="J1476" s="2"/>
      <c r="K1476" s="2"/>
      <c r="L1476" s="2"/>
      <c r="M1476" s="2"/>
      <c r="N1476" s="2"/>
      <c r="O1476" s="2" t="s">
        <v>214</v>
      </c>
      <c r="P1476" s="2" t="s">
        <v>25</v>
      </c>
      <c r="Q1476" s="2"/>
    </row>
    <row r="1477" spans="1:17" ht="12.95" customHeight="1" x14ac:dyDescent="0.2">
      <c r="A1477" s="2" t="s">
        <v>40</v>
      </c>
      <c r="B1477" s="2" t="s">
        <v>27</v>
      </c>
      <c r="C1477" s="2"/>
      <c r="D1477" s="2"/>
      <c r="E1477" s="3"/>
      <c r="F1477" s="2"/>
      <c r="G1477" s="2"/>
      <c r="H1477" s="2"/>
      <c r="I1477" s="13"/>
      <c r="J1477" s="2"/>
      <c r="K1477" s="2"/>
      <c r="L1477" s="2"/>
      <c r="M1477" s="2"/>
      <c r="N1477" s="2"/>
      <c r="O1477" s="2" t="s">
        <v>214</v>
      </c>
      <c r="P1477" s="2" t="s">
        <v>25</v>
      </c>
      <c r="Q1477" s="2"/>
    </row>
    <row r="1478" spans="1:17" ht="12.95" customHeight="1" x14ac:dyDescent="0.2">
      <c r="A1478" s="2" t="s">
        <v>41</v>
      </c>
      <c r="B1478" s="2" t="s">
        <v>42</v>
      </c>
      <c r="C1478" s="2"/>
      <c r="D1478" s="2"/>
      <c r="E1478" s="3"/>
      <c r="F1478" s="2"/>
      <c r="G1478" s="2"/>
      <c r="H1478" s="2"/>
      <c r="I1478" s="13"/>
      <c r="J1478" s="2"/>
      <c r="K1478" s="2"/>
      <c r="L1478" s="2"/>
      <c r="M1478" s="2"/>
      <c r="N1478" s="2"/>
      <c r="O1478" s="2" t="s">
        <v>214</v>
      </c>
      <c r="P1478" s="2"/>
      <c r="Q1478" s="2"/>
    </row>
    <row r="1479" spans="1:17" ht="12.95" customHeight="1" x14ac:dyDescent="0.2">
      <c r="A1479" s="4" t="s">
        <v>51</v>
      </c>
      <c r="B1479" s="4" t="s">
        <v>31</v>
      </c>
      <c r="C1479" s="4"/>
      <c r="D1479" s="4"/>
      <c r="E1479" s="3"/>
      <c r="F1479" s="4"/>
      <c r="G1479" s="4"/>
      <c r="H1479" s="4"/>
      <c r="I1479" s="35"/>
      <c r="J1479" s="4"/>
      <c r="K1479" s="4"/>
      <c r="L1479" s="4"/>
      <c r="M1479" s="4"/>
      <c r="N1479" s="4"/>
      <c r="O1479" s="4" t="s">
        <v>214</v>
      </c>
      <c r="P1479" s="4"/>
      <c r="Q1479" s="4"/>
    </row>
    <row r="1480" spans="1:17" ht="12.95" customHeight="1" x14ac:dyDescent="0.2">
      <c r="A1480" s="4" t="s">
        <v>52</v>
      </c>
      <c r="B1480" s="4" t="s">
        <v>31</v>
      </c>
      <c r="C1480" s="4"/>
      <c r="D1480" s="4"/>
      <c r="E1480" s="3"/>
      <c r="F1480" s="4"/>
      <c r="G1480" s="4"/>
      <c r="H1480" s="4"/>
      <c r="I1480" s="35"/>
      <c r="J1480" s="4"/>
      <c r="K1480" s="4"/>
      <c r="L1480" s="4"/>
      <c r="M1480" s="4"/>
      <c r="N1480" s="4"/>
      <c r="O1480" s="4" t="s">
        <v>214</v>
      </c>
      <c r="P1480" s="4"/>
      <c r="Q1480" s="4"/>
    </row>
    <row r="1481" spans="1:17" x14ac:dyDescent="0.2">
      <c r="A1481" s="4" t="s">
        <v>33</v>
      </c>
      <c r="B1481" s="4" t="s">
        <v>34</v>
      </c>
      <c r="C1481" s="4" t="s">
        <v>34</v>
      </c>
      <c r="D1481" s="4" t="s">
        <v>34</v>
      </c>
      <c r="E1481" s="4"/>
      <c r="F1481" s="4"/>
      <c r="G1481" s="4"/>
      <c r="H1481" s="4"/>
      <c r="I1481" s="35"/>
      <c r="J1481" s="4"/>
      <c r="K1481" s="4"/>
      <c r="L1481" s="4"/>
      <c r="M1481" s="4"/>
      <c r="N1481" s="4"/>
      <c r="O1481" s="4"/>
      <c r="P1481" s="4"/>
      <c r="Q1481" s="4"/>
    </row>
    <row r="1482" spans="1:17" ht="12.95" customHeight="1" x14ac:dyDescent="0.2">
      <c r="A1482" s="153" t="s">
        <v>54</v>
      </c>
      <c r="B1482" s="153" t="s">
        <v>42</v>
      </c>
      <c r="C1482" s="153" t="s">
        <v>499</v>
      </c>
      <c r="D1482" s="153" t="s">
        <v>1199</v>
      </c>
      <c r="E1482" s="152" t="s">
        <v>1200</v>
      </c>
      <c r="F1482" s="153" t="s">
        <v>46</v>
      </c>
      <c r="G1482" s="153" t="s">
        <v>45</v>
      </c>
      <c r="H1482" s="153"/>
      <c r="I1482" s="153"/>
      <c r="J1482" s="153" t="s">
        <v>48</v>
      </c>
      <c r="K1482" s="153" t="s">
        <v>50</v>
      </c>
      <c r="L1482" s="153"/>
      <c r="M1482" s="153"/>
      <c r="N1482" s="153" t="s">
        <v>1048</v>
      </c>
      <c r="O1482" s="153" t="s">
        <v>214</v>
      </c>
      <c r="P1482" s="2"/>
      <c r="Q1482" s="2"/>
    </row>
    <row r="1483" spans="1:17" ht="12.95" customHeight="1" x14ac:dyDescent="0.2">
      <c r="A1483" s="153" t="s">
        <v>61</v>
      </c>
      <c r="B1483" s="153" t="s">
        <v>42</v>
      </c>
      <c r="C1483" s="153" t="s">
        <v>890</v>
      </c>
      <c r="D1483" s="153" t="s">
        <v>1063</v>
      </c>
      <c r="E1483" s="152" t="s">
        <v>845</v>
      </c>
      <c r="F1483" s="153" t="s">
        <v>46</v>
      </c>
      <c r="G1483" s="153" t="s">
        <v>516</v>
      </c>
      <c r="H1483" s="153"/>
      <c r="I1483" s="153"/>
      <c r="J1483" s="153" t="s">
        <v>48</v>
      </c>
      <c r="K1483" s="153" t="s">
        <v>46</v>
      </c>
      <c r="L1483" s="153"/>
      <c r="M1483" s="153"/>
      <c r="N1483" s="153" t="s">
        <v>318</v>
      </c>
      <c r="O1483" s="153" t="s">
        <v>214</v>
      </c>
      <c r="P1483" s="2"/>
      <c r="Q1483" s="2"/>
    </row>
    <row r="1484" spans="1:17" ht="12.95" customHeight="1" x14ac:dyDescent="0.2">
      <c r="A1484" s="153" t="s">
        <v>68</v>
      </c>
      <c r="B1484" s="153" t="s">
        <v>42</v>
      </c>
      <c r="C1484" s="153" t="s">
        <v>489</v>
      </c>
      <c r="D1484" s="153" t="s">
        <v>1201</v>
      </c>
      <c r="E1484" s="152" t="s">
        <v>966</v>
      </c>
      <c r="F1484" s="153" t="s">
        <v>46</v>
      </c>
      <c r="G1484" s="153" t="s">
        <v>616</v>
      </c>
      <c r="H1484" s="153"/>
      <c r="I1484" s="153"/>
      <c r="J1484" s="153" t="s">
        <v>48</v>
      </c>
      <c r="K1484" s="153" t="s">
        <v>272</v>
      </c>
      <c r="L1484" s="153" t="s">
        <v>662</v>
      </c>
      <c r="M1484" s="153"/>
      <c r="N1484" s="153" t="s">
        <v>314</v>
      </c>
      <c r="O1484" s="153" t="s">
        <v>214</v>
      </c>
      <c r="P1484" s="2"/>
      <c r="Q1484" s="2"/>
    </row>
    <row r="1485" spans="1:17" ht="12.95" customHeight="1" x14ac:dyDescent="0.2">
      <c r="A1485" s="153" t="s">
        <v>75</v>
      </c>
      <c r="B1485" s="153" t="s">
        <v>42</v>
      </c>
      <c r="C1485" s="153" t="s">
        <v>220</v>
      </c>
      <c r="D1485" s="153" t="s">
        <v>1202</v>
      </c>
      <c r="E1485" s="152" t="s">
        <v>1132</v>
      </c>
      <c r="F1485" s="153"/>
      <c r="G1485" s="153" t="s">
        <v>1132</v>
      </c>
      <c r="H1485" s="153"/>
      <c r="I1485" s="153"/>
      <c r="J1485" s="153" t="s">
        <v>1132</v>
      </c>
      <c r="K1485" s="153"/>
      <c r="L1485" s="153"/>
      <c r="M1485" s="153"/>
      <c r="N1485" s="153" t="s">
        <v>223</v>
      </c>
      <c r="O1485" s="153" t="s">
        <v>214</v>
      </c>
      <c r="P1485" s="2"/>
      <c r="Q1485" s="2"/>
    </row>
    <row r="1486" spans="1:17" ht="12.95" customHeight="1" x14ac:dyDescent="0.2">
      <c r="A1486" s="153" t="s">
        <v>81</v>
      </c>
      <c r="B1486" s="153" t="s">
        <v>42</v>
      </c>
      <c r="C1486" s="153" t="s">
        <v>421</v>
      </c>
      <c r="D1486" s="153" t="s">
        <v>228</v>
      </c>
      <c r="E1486" s="152" t="s">
        <v>488</v>
      </c>
      <c r="F1486" s="153" t="s">
        <v>46</v>
      </c>
      <c r="G1486" s="153" t="s">
        <v>817</v>
      </c>
      <c r="H1486" s="153"/>
      <c r="I1486" s="153"/>
      <c r="J1486" s="153" t="s">
        <v>48</v>
      </c>
      <c r="K1486" s="153" t="s">
        <v>240</v>
      </c>
      <c r="L1486" s="153"/>
      <c r="M1486" s="153"/>
      <c r="N1486" s="153" t="s">
        <v>1028</v>
      </c>
      <c r="O1486" s="153" t="s">
        <v>214</v>
      </c>
      <c r="P1486" s="2"/>
      <c r="Q1486" s="2"/>
    </row>
    <row r="1487" spans="1:17" ht="12.95" customHeight="1" x14ac:dyDescent="0.2">
      <c r="A1487" s="4" t="s">
        <v>87</v>
      </c>
      <c r="B1487" s="4" t="s">
        <v>31</v>
      </c>
      <c r="C1487" s="4"/>
      <c r="D1487" s="4"/>
      <c r="E1487" s="3"/>
      <c r="F1487" s="4"/>
      <c r="G1487" s="4"/>
      <c r="H1487" s="4"/>
      <c r="I1487" s="35"/>
      <c r="J1487" s="4"/>
      <c r="K1487" s="4"/>
      <c r="L1487" s="4"/>
      <c r="M1487" s="4"/>
      <c r="N1487" s="4"/>
      <c r="O1487" s="4" t="s">
        <v>214</v>
      </c>
      <c r="P1487" s="4"/>
      <c r="Q1487" s="4"/>
    </row>
    <row r="1488" spans="1:17" ht="12.95" customHeight="1" x14ac:dyDescent="0.2">
      <c r="A1488" s="4" t="s">
        <v>88</v>
      </c>
      <c r="B1488" s="4" t="s">
        <v>31</v>
      </c>
      <c r="C1488" s="4"/>
      <c r="D1488" s="4"/>
      <c r="E1488" s="3"/>
      <c r="F1488" s="4"/>
      <c r="G1488" s="4"/>
      <c r="H1488" s="4"/>
      <c r="I1488" s="35"/>
      <c r="J1488" s="4"/>
      <c r="K1488" s="4"/>
      <c r="L1488" s="4"/>
      <c r="M1488" s="4"/>
      <c r="N1488" s="4"/>
      <c r="O1488" s="4" t="s">
        <v>214</v>
      </c>
      <c r="P1488" s="4"/>
      <c r="Q1488" s="4"/>
    </row>
    <row r="1489" spans="1:17" x14ac:dyDescent="0.2">
      <c r="A1489" s="4" t="s">
        <v>33</v>
      </c>
      <c r="B1489" s="4" t="s">
        <v>34</v>
      </c>
      <c r="C1489" s="4" t="s">
        <v>34</v>
      </c>
      <c r="D1489" s="4" t="s">
        <v>34</v>
      </c>
      <c r="E1489" s="4" t="s">
        <v>1203</v>
      </c>
      <c r="F1489" s="4" t="s">
        <v>272</v>
      </c>
      <c r="G1489" s="4" t="s">
        <v>1204</v>
      </c>
      <c r="H1489" s="4"/>
      <c r="I1489" s="35"/>
      <c r="J1489" s="4" t="s">
        <v>1205</v>
      </c>
      <c r="K1489" s="4" t="s">
        <v>963</v>
      </c>
      <c r="L1489" s="4" t="s">
        <v>662</v>
      </c>
      <c r="M1489" s="4"/>
      <c r="N1489" s="4" t="s">
        <v>1206</v>
      </c>
      <c r="O1489" s="4"/>
      <c r="P1489" s="4"/>
      <c r="Q1489" s="4"/>
    </row>
    <row r="1490" spans="1:17" ht="12.95" customHeight="1" x14ac:dyDescent="0.2">
      <c r="A1490" s="153" t="s">
        <v>97</v>
      </c>
      <c r="B1490" s="153" t="s">
        <v>42</v>
      </c>
      <c r="C1490" s="153" t="s">
        <v>359</v>
      </c>
      <c r="D1490" s="153" t="s">
        <v>1207</v>
      </c>
      <c r="E1490" s="152" t="s">
        <v>776</v>
      </c>
      <c r="F1490" s="153" t="s">
        <v>46</v>
      </c>
      <c r="G1490" s="153" t="s">
        <v>777</v>
      </c>
      <c r="H1490" s="153"/>
      <c r="I1490" s="153"/>
      <c r="J1490" s="153" t="s">
        <v>48</v>
      </c>
      <c r="K1490" s="153" t="s">
        <v>778</v>
      </c>
      <c r="L1490" s="153"/>
      <c r="M1490" s="153"/>
      <c r="N1490" s="153" t="s">
        <v>93</v>
      </c>
      <c r="O1490" s="153" t="s">
        <v>214</v>
      </c>
      <c r="P1490" s="2"/>
      <c r="Q1490" s="2"/>
    </row>
    <row r="1491" spans="1:17" ht="12.95" customHeight="1" x14ac:dyDescent="0.2">
      <c r="A1491" s="153" t="s">
        <v>104</v>
      </c>
      <c r="B1491" s="153" t="s">
        <v>42</v>
      </c>
      <c r="C1491" s="153" t="s">
        <v>426</v>
      </c>
      <c r="D1491" s="153" t="s">
        <v>1208</v>
      </c>
      <c r="E1491" s="152" t="s">
        <v>559</v>
      </c>
      <c r="F1491" s="153" t="s">
        <v>46</v>
      </c>
      <c r="G1491" s="153" t="s">
        <v>1209</v>
      </c>
      <c r="H1491" s="153"/>
      <c r="I1491" s="153"/>
      <c r="J1491" s="153" t="s">
        <v>48</v>
      </c>
      <c r="K1491" s="153" t="s">
        <v>676</v>
      </c>
      <c r="L1491" s="153"/>
      <c r="M1491" s="153"/>
      <c r="N1491" s="153" t="s">
        <v>428</v>
      </c>
      <c r="O1491" s="153" t="s">
        <v>214</v>
      </c>
      <c r="P1491" s="2" t="s">
        <v>111</v>
      </c>
      <c r="Q1491" s="2"/>
    </row>
    <row r="1492" spans="1:17" ht="12.95" customHeight="1" x14ac:dyDescent="0.2">
      <c r="A1492" s="153" t="s">
        <v>112</v>
      </c>
      <c r="B1492" s="153" t="s">
        <v>22</v>
      </c>
      <c r="C1492" s="153" t="s">
        <v>986</v>
      </c>
      <c r="D1492" s="153" t="s">
        <v>1210</v>
      </c>
      <c r="E1492" s="152" t="s">
        <v>1211</v>
      </c>
      <c r="F1492" s="153" t="s">
        <v>46</v>
      </c>
      <c r="G1492" s="153" t="s">
        <v>467</v>
      </c>
      <c r="H1492" s="153"/>
      <c r="I1492" s="153"/>
      <c r="J1492" s="153" t="s">
        <v>467</v>
      </c>
      <c r="K1492" s="153"/>
      <c r="L1492" s="153"/>
      <c r="M1492" s="153"/>
      <c r="N1492" s="153"/>
      <c r="O1492" s="153" t="s">
        <v>214</v>
      </c>
      <c r="P1492" s="2"/>
      <c r="Q1492" s="2"/>
    </row>
    <row r="1493" spans="1:17" ht="12.95" customHeight="1" x14ac:dyDescent="0.2">
      <c r="A1493" s="2" t="s">
        <v>114</v>
      </c>
      <c r="B1493" s="2" t="s">
        <v>27</v>
      </c>
      <c r="C1493" s="2"/>
      <c r="D1493" s="2"/>
      <c r="E1493" s="3"/>
      <c r="F1493" s="2"/>
      <c r="G1493" s="2"/>
      <c r="H1493" s="2"/>
      <c r="I1493" s="13"/>
      <c r="J1493" s="2"/>
      <c r="K1493" s="2"/>
      <c r="L1493" s="2"/>
      <c r="M1493" s="2"/>
      <c r="N1493" s="2"/>
      <c r="O1493" s="2" t="s">
        <v>28</v>
      </c>
      <c r="P1493" s="2" t="s">
        <v>111</v>
      </c>
      <c r="Q1493" s="2"/>
    </row>
    <row r="1494" spans="1:17" ht="12.95" customHeight="1" x14ac:dyDescent="0.2">
      <c r="A1494" s="2" t="s">
        <v>115</v>
      </c>
      <c r="B1494" s="2" t="s">
        <v>42</v>
      </c>
      <c r="C1494" s="2" t="s">
        <v>437</v>
      </c>
      <c r="D1494" s="2" t="s">
        <v>70</v>
      </c>
      <c r="E1494" s="3" t="s">
        <v>358</v>
      </c>
      <c r="F1494" s="2" t="s">
        <v>46</v>
      </c>
      <c r="G1494" s="2" t="s">
        <v>359</v>
      </c>
      <c r="H1494" s="2" t="s">
        <v>48</v>
      </c>
      <c r="I1494" s="13"/>
      <c r="J1494" s="2" t="s">
        <v>48</v>
      </c>
      <c r="K1494" s="2" t="s">
        <v>360</v>
      </c>
      <c r="L1494" s="2"/>
      <c r="M1494" s="2" t="s">
        <v>360</v>
      </c>
      <c r="N1494" s="2" t="s">
        <v>340</v>
      </c>
      <c r="O1494" s="2"/>
      <c r="P1494" s="2"/>
      <c r="Q1494" s="2"/>
    </row>
    <row r="1495" spans="1:17" ht="12.95" customHeight="1" x14ac:dyDescent="0.2">
      <c r="A1495" s="4" t="s">
        <v>122</v>
      </c>
      <c r="B1495" s="4" t="s">
        <v>31</v>
      </c>
      <c r="C1495" s="4"/>
      <c r="D1495" s="4"/>
      <c r="E1495" s="3"/>
      <c r="F1495" s="4"/>
      <c r="G1495" s="4"/>
      <c r="H1495" s="4"/>
      <c r="I1495" s="35"/>
      <c r="J1495" s="4"/>
      <c r="K1495" s="4"/>
      <c r="L1495" s="4"/>
      <c r="M1495" s="4"/>
      <c r="N1495" s="4"/>
      <c r="O1495" s="4"/>
      <c r="P1495" s="4"/>
      <c r="Q1495" s="4"/>
    </row>
    <row r="1496" spans="1:17" ht="12.95" customHeight="1" x14ac:dyDescent="0.2">
      <c r="A1496" s="4" t="s">
        <v>123</v>
      </c>
      <c r="B1496" s="4" t="s">
        <v>31</v>
      </c>
      <c r="C1496" s="4"/>
      <c r="D1496" s="4"/>
      <c r="E1496" s="3"/>
      <c r="F1496" s="4"/>
      <c r="G1496" s="4"/>
      <c r="H1496" s="4"/>
      <c r="I1496" s="35"/>
      <c r="J1496" s="4"/>
      <c r="K1496" s="4"/>
      <c r="L1496" s="4"/>
      <c r="M1496" s="4"/>
      <c r="N1496" s="4"/>
      <c r="O1496" s="4"/>
      <c r="P1496" s="4"/>
      <c r="Q1496" s="4"/>
    </row>
    <row r="1497" spans="1:17" x14ac:dyDescent="0.2">
      <c r="A1497" s="4" t="s">
        <v>33</v>
      </c>
      <c r="B1497" s="4" t="s">
        <v>34</v>
      </c>
      <c r="C1497" s="4" t="s">
        <v>34</v>
      </c>
      <c r="D1497" s="4" t="s">
        <v>34</v>
      </c>
      <c r="E1497" s="4" t="s">
        <v>1212</v>
      </c>
      <c r="F1497" s="4" t="s">
        <v>272</v>
      </c>
      <c r="G1497" s="4" t="s">
        <v>1213</v>
      </c>
      <c r="H1497" s="4" t="s">
        <v>48</v>
      </c>
      <c r="I1497" s="35"/>
      <c r="J1497" s="4" t="s">
        <v>1214</v>
      </c>
      <c r="K1497" s="4" t="s">
        <v>333</v>
      </c>
      <c r="L1497" s="4"/>
      <c r="M1497" s="4" t="s">
        <v>360</v>
      </c>
      <c r="N1497" s="4" t="s">
        <v>927</v>
      </c>
      <c r="O1497" s="4"/>
      <c r="P1497" s="4"/>
      <c r="Q1497" s="4"/>
    </row>
    <row r="1498" spans="1:17" ht="12.95" customHeight="1" x14ac:dyDescent="0.2">
      <c r="A1498" s="2" t="s">
        <v>131</v>
      </c>
      <c r="B1498" s="2" t="s">
        <v>42</v>
      </c>
      <c r="C1498" s="2" t="s">
        <v>1190</v>
      </c>
      <c r="D1498" s="2" t="s">
        <v>1208</v>
      </c>
      <c r="E1498" s="3" t="s">
        <v>1042</v>
      </c>
      <c r="F1498" s="2" t="s">
        <v>46</v>
      </c>
      <c r="G1498" s="2" t="s">
        <v>317</v>
      </c>
      <c r="H1498" s="2" t="s">
        <v>48</v>
      </c>
      <c r="I1498" s="13"/>
      <c r="J1498" s="2" t="s">
        <v>48</v>
      </c>
      <c r="K1498" s="2" t="s">
        <v>108</v>
      </c>
      <c r="L1498" s="2"/>
      <c r="M1498" s="2" t="s">
        <v>108</v>
      </c>
      <c r="N1498" s="2" t="s">
        <v>302</v>
      </c>
      <c r="O1498" s="2"/>
      <c r="P1498" s="2"/>
      <c r="Q1498" s="2"/>
    </row>
    <row r="1499" spans="1:17" ht="12.95" customHeight="1" x14ac:dyDescent="0.2">
      <c r="A1499" s="2" t="s">
        <v>138</v>
      </c>
      <c r="B1499" s="2" t="s">
        <v>42</v>
      </c>
      <c r="C1499" s="2" t="s">
        <v>639</v>
      </c>
      <c r="D1499" s="2" t="s">
        <v>1215</v>
      </c>
      <c r="E1499" s="3" t="s">
        <v>1216</v>
      </c>
      <c r="F1499" s="2" t="s">
        <v>46</v>
      </c>
      <c r="G1499" s="2" t="s">
        <v>151</v>
      </c>
      <c r="H1499" s="2" t="s">
        <v>48</v>
      </c>
      <c r="I1499" s="13"/>
      <c r="J1499" s="2" t="s">
        <v>48</v>
      </c>
      <c r="K1499" s="2" t="s">
        <v>320</v>
      </c>
      <c r="L1499" s="2"/>
      <c r="M1499" s="2" t="s">
        <v>320</v>
      </c>
      <c r="N1499" s="2" t="s">
        <v>642</v>
      </c>
      <c r="O1499" s="2"/>
      <c r="P1499" s="2"/>
      <c r="Q1499" s="2"/>
    </row>
    <row r="1500" spans="1:17" ht="12.95" customHeight="1" x14ac:dyDescent="0.2">
      <c r="A1500" s="2" t="s">
        <v>143</v>
      </c>
      <c r="B1500" s="2" t="s">
        <v>42</v>
      </c>
      <c r="C1500" s="2" t="s">
        <v>656</v>
      </c>
      <c r="D1500" s="2" t="s">
        <v>614</v>
      </c>
      <c r="E1500" s="3" t="s">
        <v>1217</v>
      </c>
      <c r="F1500" s="2" t="s">
        <v>46</v>
      </c>
      <c r="G1500" s="2" t="s">
        <v>1064</v>
      </c>
      <c r="H1500" s="2" t="s">
        <v>48</v>
      </c>
      <c r="I1500" s="13"/>
      <c r="J1500" s="2" t="s">
        <v>48</v>
      </c>
      <c r="K1500" s="2" t="s">
        <v>272</v>
      </c>
      <c r="L1500" s="2" t="s">
        <v>512</v>
      </c>
      <c r="M1500" s="2" t="s">
        <v>79</v>
      </c>
      <c r="N1500" s="2" t="s">
        <v>287</v>
      </c>
      <c r="O1500" s="2"/>
      <c r="P1500" s="2"/>
      <c r="Q1500" s="2"/>
    </row>
    <row r="1501" spans="1:17" ht="12.95" customHeight="1" x14ac:dyDescent="0.2">
      <c r="A1501" s="153" t="s">
        <v>148</v>
      </c>
      <c r="B1501" s="153" t="s">
        <v>42</v>
      </c>
      <c r="C1501" s="153" t="s">
        <v>1006</v>
      </c>
      <c r="D1501" s="153" t="s">
        <v>513</v>
      </c>
      <c r="E1501" s="152" t="s">
        <v>1218</v>
      </c>
      <c r="F1501" s="153" t="s">
        <v>46</v>
      </c>
      <c r="G1501" s="153" t="s">
        <v>734</v>
      </c>
      <c r="H1501" s="153"/>
      <c r="I1501" s="153"/>
      <c r="J1501" s="153" t="s">
        <v>48</v>
      </c>
      <c r="K1501" s="153" t="s">
        <v>272</v>
      </c>
      <c r="L1501" s="153" t="s">
        <v>645</v>
      </c>
      <c r="M1501" s="153"/>
      <c r="N1501" s="153"/>
      <c r="O1501" s="153" t="s">
        <v>214</v>
      </c>
      <c r="P1501" s="2"/>
      <c r="Q1501" s="2"/>
    </row>
    <row r="1502" spans="1:17" ht="12.95" customHeight="1" x14ac:dyDescent="0.2">
      <c r="A1502" s="153" t="s">
        <v>155</v>
      </c>
      <c r="B1502" s="153" t="s">
        <v>42</v>
      </c>
      <c r="C1502" s="153" t="s">
        <v>1035</v>
      </c>
      <c r="D1502" s="153" t="s">
        <v>1219</v>
      </c>
      <c r="E1502" s="152" t="s">
        <v>822</v>
      </c>
      <c r="F1502" s="153" t="s">
        <v>46</v>
      </c>
      <c r="G1502" s="153" t="s">
        <v>1220</v>
      </c>
      <c r="H1502" s="153"/>
      <c r="I1502" s="153"/>
      <c r="J1502" s="153" t="s">
        <v>48</v>
      </c>
      <c r="K1502" s="153" t="s">
        <v>455</v>
      </c>
      <c r="L1502" s="153"/>
      <c r="M1502" s="153"/>
      <c r="N1502" s="153" t="s">
        <v>240</v>
      </c>
      <c r="O1502" s="153" t="s">
        <v>214</v>
      </c>
      <c r="P1502" s="2"/>
      <c r="Q1502" s="2"/>
    </row>
    <row r="1503" spans="1:17" ht="12.95" customHeight="1" x14ac:dyDescent="0.2">
      <c r="A1503" s="8" t="s">
        <v>161</v>
      </c>
      <c r="B1503" s="8"/>
      <c r="C1503" s="8"/>
      <c r="D1503" s="8"/>
      <c r="E1503" s="5" t="s">
        <v>1221</v>
      </c>
      <c r="F1503" s="5" t="s">
        <v>355</v>
      </c>
      <c r="G1503" s="5" t="s">
        <v>1222</v>
      </c>
      <c r="H1503" s="5" t="s">
        <v>547</v>
      </c>
      <c r="I1503" s="36" t="s">
        <v>296</v>
      </c>
      <c r="J1503" s="5" t="s">
        <v>1223</v>
      </c>
      <c r="K1503" s="5" t="s">
        <v>1224</v>
      </c>
      <c r="L1503" s="5" t="s">
        <v>60</v>
      </c>
      <c r="M1503" s="5" t="s">
        <v>1175</v>
      </c>
      <c r="N1503" s="5" t="s">
        <v>1225</v>
      </c>
      <c r="O1503" s="5"/>
      <c r="P1503" s="5"/>
      <c r="Q1503" s="5"/>
    </row>
    <row r="1504" spans="1:17" ht="12.95" customHeight="1" x14ac:dyDescent="0.2">
      <c r="A1504" s="8" t="s">
        <v>171</v>
      </c>
      <c r="B1504" s="8"/>
      <c r="C1504" s="8"/>
      <c r="D1504" s="8"/>
      <c r="E1504" s="5" t="s">
        <v>1221</v>
      </c>
      <c r="F1504" s="5" t="s">
        <v>355</v>
      </c>
      <c r="G1504" s="5" t="s">
        <v>1222</v>
      </c>
      <c r="H1504" s="5" t="s">
        <v>547</v>
      </c>
      <c r="I1504" s="36" t="s">
        <v>296</v>
      </c>
      <c r="J1504" s="5" t="s">
        <v>1223</v>
      </c>
      <c r="K1504" s="5" t="s">
        <v>1224</v>
      </c>
      <c r="L1504" s="5" t="s">
        <v>60</v>
      </c>
      <c r="M1504" s="5" t="s">
        <v>1175</v>
      </c>
      <c r="N1504" s="5" t="s">
        <v>1225</v>
      </c>
      <c r="O1504" s="5"/>
      <c r="P1504" s="5"/>
      <c r="Q1504" s="5"/>
    </row>
    <row r="1505" spans="1:17" ht="12.95" customHeight="1" x14ac:dyDescent="0.2">
      <c r="A1505" s="8" t="s">
        <v>173</v>
      </c>
      <c r="B1505" s="8"/>
      <c r="C1505" s="8"/>
      <c r="D1505" s="8"/>
      <c r="E1505" s="5">
        <v>134.9</v>
      </c>
      <c r="F1505" s="5">
        <v>6.5</v>
      </c>
      <c r="G1505" s="5">
        <v>128.4</v>
      </c>
      <c r="H1505" s="5">
        <v>33.6</v>
      </c>
      <c r="I1505" s="36">
        <v>0</v>
      </c>
      <c r="J1505" s="5">
        <v>112.11</v>
      </c>
      <c r="K1505" s="5">
        <v>15.51</v>
      </c>
      <c r="L1505" s="5">
        <v>0.76</v>
      </c>
      <c r="M1505" s="5">
        <v>5.05</v>
      </c>
      <c r="N1505" s="5">
        <v>14.01</v>
      </c>
      <c r="O1505" s="5"/>
      <c r="P1505" s="5"/>
      <c r="Q1505" s="5"/>
    </row>
    <row r="1506" spans="1:17" x14ac:dyDescent="0.2">
      <c r="I1506" s="37"/>
    </row>
    <row r="1507" spans="1:17" ht="12.95" customHeight="1" x14ac:dyDescent="0.2">
      <c r="A1507" s="9" t="s">
        <v>174</v>
      </c>
      <c r="B1507" s="9"/>
      <c r="C1507" s="9"/>
      <c r="E1507" s="9" t="s">
        <v>180</v>
      </c>
      <c r="F1507" s="9"/>
      <c r="G1507" s="9"/>
      <c r="I1507" s="9" t="s">
        <v>181</v>
      </c>
      <c r="J1507" s="9"/>
      <c r="K1507" s="9"/>
    </row>
    <row r="1508" spans="1:17" ht="12.95" customHeight="1" x14ac:dyDescent="0.2">
      <c r="A1508" s="10" t="s">
        <v>175</v>
      </c>
      <c r="B1508" s="10"/>
      <c r="C1508" s="6">
        <v>14</v>
      </c>
      <c r="E1508" s="10" t="s">
        <v>14</v>
      </c>
      <c r="F1508" s="10"/>
      <c r="G1508" s="6">
        <v>112.11</v>
      </c>
      <c r="I1508" s="10" t="s">
        <v>265</v>
      </c>
      <c r="J1508" s="10"/>
      <c r="K1508" s="6">
        <v>23</v>
      </c>
    </row>
    <row r="1509" spans="1:17" ht="12.95" customHeight="1" x14ac:dyDescent="0.2">
      <c r="A1509" s="10" t="s">
        <v>1531</v>
      </c>
      <c r="B1509" s="10"/>
      <c r="C1509" s="6">
        <v>22</v>
      </c>
      <c r="E1509" s="10" t="s">
        <v>15</v>
      </c>
      <c r="F1509" s="10"/>
      <c r="G1509" s="6">
        <v>15.51</v>
      </c>
      <c r="I1509" s="10" t="s">
        <v>27</v>
      </c>
      <c r="J1509" s="10"/>
      <c r="K1509" s="26">
        <v>3</v>
      </c>
    </row>
    <row r="1510" spans="1:17" ht="12.95" customHeight="1" x14ac:dyDescent="0.2">
      <c r="A1510" s="10" t="s">
        <v>176</v>
      </c>
      <c r="B1510" s="10"/>
      <c r="C1510" s="6">
        <v>134.9</v>
      </c>
      <c r="E1510" s="10" t="s">
        <v>267</v>
      </c>
      <c r="F1510" s="10"/>
      <c r="G1510" s="6">
        <v>0.76</v>
      </c>
      <c r="I1510" s="39" t="s">
        <v>1591</v>
      </c>
      <c r="J1510" s="19"/>
      <c r="K1510" s="20">
        <v>0</v>
      </c>
    </row>
    <row r="1511" spans="1:17" ht="12.95" customHeight="1" x14ac:dyDescent="0.2">
      <c r="A1511" s="10" t="s">
        <v>177</v>
      </c>
      <c r="B1511" s="10"/>
      <c r="C1511" s="6">
        <v>33.6</v>
      </c>
      <c r="I1511" s="39" t="s">
        <v>1592</v>
      </c>
      <c r="J1511" s="19"/>
      <c r="K1511" s="20">
        <v>0</v>
      </c>
    </row>
    <row r="1512" spans="1:17" ht="12.95" customHeight="1" x14ac:dyDescent="0.25">
      <c r="A1512" s="10" t="s">
        <v>11</v>
      </c>
      <c r="B1512" s="10"/>
      <c r="C1512" s="6">
        <v>128.4</v>
      </c>
      <c r="I1512" s="41" t="s">
        <v>1593</v>
      </c>
      <c r="J1512" s="40"/>
      <c r="K1512" s="42">
        <f>K1510+K1511</f>
        <v>0</v>
      </c>
    </row>
    <row r="1513" spans="1:17" ht="12.95" customHeight="1" x14ac:dyDescent="0.2">
      <c r="A1513" s="10" t="s">
        <v>178</v>
      </c>
      <c r="B1513" s="10"/>
      <c r="C1513" s="6">
        <v>0</v>
      </c>
    </row>
    <row r="1514" spans="1:17" ht="12.95" customHeight="1" x14ac:dyDescent="0.2">
      <c r="A1514" s="10" t="s">
        <v>17</v>
      </c>
      <c r="B1514" s="10"/>
      <c r="C1514" s="6">
        <v>14.01</v>
      </c>
    </row>
    <row r="1515" spans="1:17" ht="12.95" customHeight="1" x14ac:dyDescent="0.2">
      <c r="A1515" s="10" t="s">
        <v>179</v>
      </c>
      <c r="B1515" s="10"/>
      <c r="C1515" s="6">
        <v>0</v>
      </c>
    </row>
    <row r="1516" spans="1:17" x14ac:dyDescent="0.2">
      <c r="A1516" s="10" t="s">
        <v>10</v>
      </c>
      <c r="B1516" s="10"/>
      <c r="C1516" s="6">
        <v>6.5</v>
      </c>
    </row>
    <row r="1517" spans="1:17" ht="15" x14ac:dyDescent="0.25">
      <c r="A1517" s="154" t="s">
        <v>1615</v>
      </c>
      <c r="B1517" s="154"/>
      <c r="C1517" s="154" cm="1">
        <f t="array" ref="C1517">IFERROR(SUMPRODUCT(ISNUMBER(SEARCH("מילואים",O1469:O1506))*(C1469:C1506&lt;&gt;"")*(J1469:J1506+0))*24,0)</f>
        <v>78.51666666666668</v>
      </c>
    </row>
    <row r="1518" spans="1:17" ht="12.95" customHeight="1" x14ac:dyDescent="0.2">
      <c r="A1518" s="7" t="s">
        <v>1226</v>
      </c>
      <c r="B1518" s="7"/>
      <c r="C1518" s="7"/>
      <c r="D1518" s="7" t="s">
        <v>1</v>
      </c>
      <c r="E1518" s="7"/>
      <c r="F1518" s="7"/>
      <c r="G1518" s="7"/>
      <c r="H1518" s="7" t="s">
        <v>944</v>
      </c>
      <c r="I1518" s="7"/>
      <c r="J1518" s="7"/>
      <c r="K1518" s="7"/>
      <c r="L1518" s="7"/>
      <c r="M1518" s="7"/>
      <c r="N1518" s="7"/>
      <c r="O1518" s="103"/>
    </row>
    <row r="1519" spans="1:17" ht="12.95" customHeight="1" x14ac:dyDescent="0.2">
      <c r="A1519" s="7" t="s">
        <v>3</v>
      </c>
      <c r="B1519" s="7"/>
      <c r="C1519" s="7"/>
      <c r="D1519" s="7"/>
      <c r="E1519" s="7"/>
      <c r="F1519" s="7">
        <v>87</v>
      </c>
      <c r="G1519" s="7"/>
      <c r="H1519" s="7" t="s">
        <v>4</v>
      </c>
      <c r="I1519" s="7"/>
      <c r="J1519" s="7"/>
      <c r="K1519" s="7"/>
      <c r="L1519" s="7"/>
      <c r="M1519" s="7"/>
      <c r="N1519" s="7"/>
      <c r="O1519" s="7"/>
    </row>
    <row r="1520" spans="1:17" ht="22.5" customHeight="1" x14ac:dyDescent="0.2">
      <c r="A1520" s="1" t="s">
        <v>5</v>
      </c>
      <c r="B1520" s="1" t="s">
        <v>6</v>
      </c>
      <c r="C1520" s="1" t="s">
        <v>7</v>
      </c>
      <c r="D1520" s="1" t="s">
        <v>8</v>
      </c>
      <c r="E1520" s="1" t="s">
        <v>9</v>
      </c>
      <c r="F1520" s="1" t="s">
        <v>10</v>
      </c>
      <c r="G1520" s="1" t="s">
        <v>11</v>
      </c>
      <c r="H1520" s="1" t="s">
        <v>12</v>
      </c>
      <c r="I1520" s="1" t="s">
        <v>13</v>
      </c>
      <c r="J1520" s="1" t="s">
        <v>14</v>
      </c>
      <c r="K1520" s="1" t="s">
        <v>16</v>
      </c>
      <c r="L1520" s="1" t="s">
        <v>17</v>
      </c>
      <c r="M1520" s="1" t="s">
        <v>18</v>
      </c>
      <c r="N1520" s="1" t="s">
        <v>19</v>
      </c>
      <c r="O1520" s="1" t="s">
        <v>20</v>
      </c>
    </row>
    <row r="1521" spans="1:15" ht="12.95" customHeight="1" x14ac:dyDescent="0.2">
      <c r="A1521" s="2" t="s">
        <v>21</v>
      </c>
      <c r="B1521" s="2" t="s">
        <v>22</v>
      </c>
      <c r="C1521" s="2"/>
      <c r="D1521" s="2"/>
      <c r="E1521" s="3"/>
      <c r="F1521" s="2"/>
      <c r="G1521" s="2"/>
      <c r="H1521" s="2" t="s">
        <v>23</v>
      </c>
      <c r="I1521" s="12">
        <v>0</v>
      </c>
      <c r="J1521" s="2"/>
      <c r="K1521" s="2"/>
      <c r="L1521" s="2"/>
      <c r="M1521" s="2" t="s">
        <v>1020</v>
      </c>
      <c r="N1521" s="2" t="s">
        <v>1713</v>
      </c>
      <c r="O1521" s="2"/>
    </row>
    <row r="1522" spans="1:15" ht="12.95" customHeight="1" x14ac:dyDescent="0.2">
      <c r="A1522" s="2" t="s">
        <v>26</v>
      </c>
      <c r="B1522" s="2" t="s">
        <v>27</v>
      </c>
      <c r="C1522" s="2"/>
      <c r="D1522" s="2"/>
      <c r="E1522" s="3"/>
      <c r="F1522" s="2"/>
      <c r="G1522" s="2"/>
      <c r="H1522" s="2"/>
      <c r="I1522" s="13">
        <v>0</v>
      </c>
      <c r="J1522" s="2"/>
      <c r="K1522" s="2"/>
      <c r="L1522" s="2"/>
      <c r="M1522" s="2" t="s">
        <v>1020</v>
      </c>
      <c r="N1522" s="2" t="s">
        <v>1713</v>
      </c>
      <c r="O1522" s="2"/>
    </row>
    <row r="1523" spans="1:15" ht="12.95" customHeight="1" x14ac:dyDescent="0.2">
      <c r="A1523" s="4" t="s">
        <v>30</v>
      </c>
      <c r="B1523" s="4" t="s">
        <v>31</v>
      </c>
      <c r="C1523" s="4"/>
      <c r="D1523" s="4"/>
      <c r="E1523" s="3"/>
      <c r="F1523" s="4"/>
      <c r="G1523" s="4"/>
      <c r="H1523" s="4"/>
      <c r="I1523" s="35"/>
      <c r="J1523" s="4"/>
      <c r="K1523" s="4"/>
      <c r="L1523" s="4"/>
      <c r="M1523" s="4"/>
      <c r="N1523" s="4"/>
      <c r="O1523" s="4"/>
    </row>
    <row r="1524" spans="1:15" ht="12.95" customHeight="1" x14ac:dyDescent="0.2">
      <c r="A1524" s="4" t="s">
        <v>32</v>
      </c>
      <c r="B1524" s="4" t="s">
        <v>31</v>
      </c>
      <c r="C1524" s="4"/>
      <c r="D1524" s="4"/>
      <c r="E1524" s="3"/>
      <c r="F1524" s="4"/>
      <c r="G1524" s="4"/>
      <c r="H1524" s="4"/>
      <c r="I1524" s="35"/>
      <c r="J1524" s="4"/>
      <c r="K1524" s="4"/>
      <c r="L1524" s="4"/>
      <c r="M1524" s="4"/>
      <c r="N1524" s="4"/>
      <c r="O1524" s="4"/>
    </row>
    <row r="1525" spans="1:15" x14ac:dyDescent="0.2">
      <c r="A1525" s="4" t="s">
        <v>33</v>
      </c>
      <c r="B1525" s="4" t="s">
        <v>34</v>
      </c>
      <c r="C1525" s="4" t="s">
        <v>34</v>
      </c>
      <c r="D1525" s="4" t="s">
        <v>34</v>
      </c>
      <c r="E1525" s="4"/>
      <c r="F1525" s="4"/>
      <c r="G1525" s="4"/>
      <c r="H1525" s="4" t="s">
        <v>23</v>
      </c>
      <c r="I1525" s="102">
        <v>0</v>
      </c>
      <c r="J1525" s="4"/>
      <c r="K1525" s="4"/>
      <c r="L1525" s="4"/>
      <c r="M1525" s="4"/>
      <c r="N1525" s="4"/>
      <c r="O1525" s="4"/>
    </row>
    <row r="1526" spans="1:15" ht="12.95" customHeight="1" x14ac:dyDescent="0.2">
      <c r="A1526" s="2" t="s">
        <v>35</v>
      </c>
      <c r="B1526" s="2" t="s">
        <v>36</v>
      </c>
      <c r="C1526" s="2"/>
      <c r="D1526" s="2"/>
      <c r="E1526" s="3"/>
      <c r="F1526" s="2"/>
      <c r="G1526" s="2"/>
      <c r="H1526" s="2"/>
      <c r="I1526" s="13">
        <v>0</v>
      </c>
      <c r="J1526" s="2"/>
      <c r="K1526" s="2"/>
      <c r="L1526" s="2"/>
      <c r="M1526" s="2" t="s">
        <v>1020</v>
      </c>
      <c r="N1526" s="2" t="s">
        <v>1713</v>
      </c>
      <c r="O1526" s="2"/>
    </row>
    <row r="1527" spans="1:15" ht="12.95" customHeight="1" x14ac:dyDescent="0.2">
      <c r="A1527" s="2" t="s">
        <v>38</v>
      </c>
      <c r="B1527" s="2" t="s">
        <v>36</v>
      </c>
      <c r="C1527" s="2"/>
      <c r="D1527" s="2"/>
      <c r="E1527" s="3"/>
      <c r="F1527" s="2"/>
      <c r="G1527" s="2"/>
      <c r="H1527" s="2"/>
      <c r="I1527" s="13">
        <v>0</v>
      </c>
      <c r="J1527" s="2"/>
      <c r="K1527" s="2"/>
      <c r="L1527" s="2"/>
      <c r="M1527" s="2" t="s">
        <v>1020</v>
      </c>
      <c r="N1527" s="2" t="s">
        <v>1713</v>
      </c>
      <c r="O1527" s="2"/>
    </row>
    <row r="1528" spans="1:15" ht="12.95" customHeight="1" x14ac:dyDescent="0.2">
      <c r="A1528" s="2" t="s">
        <v>39</v>
      </c>
      <c r="B1528" s="2" t="s">
        <v>22</v>
      </c>
      <c r="C1528" s="2"/>
      <c r="D1528" s="2"/>
      <c r="E1528" s="3"/>
      <c r="F1528" s="2"/>
      <c r="G1528" s="2"/>
      <c r="H1528" s="2" t="s">
        <v>23</v>
      </c>
      <c r="I1528" s="12">
        <v>0</v>
      </c>
      <c r="J1528" s="2"/>
      <c r="K1528" s="2"/>
      <c r="L1528" s="2"/>
      <c r="M1528" s="2" t="s">
        <v>1020</v>
      </c>
      <c r="N1528" s="2" t="s">
        <v>1713</v>
      </c>
      <c r="O1528" s="2"/>
    </row>
    <row r="1529" spans="1:15" ht="12.95" customHeight="1" x14ac:dyDescent="0.2">
      <c r="A1529" s="2" t="s">
        <v>40</v>
      </c>
      <c r="B1529" s="2" t="s">
        <v>27</v>
      </c>
      <c r="C1529" s="2"/>
      <c r="D1529" s="2"/>
      <c r="E1529" s="3"/>
      <c r="F1529" s="2"/>
      <c r="G1529" s="2"/>
      <c r="H1529" s="2"/>
      <c r="I1529" s="13">
        <v>0</v>
      </c>
      <c r="J1529" s="2"/>
      <c r="K1529" s="2"/>
      <c r="L1529" s="2"/>
      <c r="M1529" s="2" t="s">
        <v>1020</v>
      </c>
      <c r="N1529" s="2" t="s">
        <v>1713</v>
      </c>
      <c r="O1529" s="2"/>
    </row>
    <row r="1530" spans="1:15" ht="12.95" customHeight="1" x14ac:dyDescent="0.2">
      <c r="A1530" s="2" t="s">
        <v>41</v>
      </c>
      <c r="B1530" s="2" t="s">
        <v>42</v>
      </c>
      <c r="C1530" s="2"/>
      <c r="D1530" s="2"/>
      <c r="E1530" s="3"/>
      <c r="F1530" s="2"/>
      <c r="G1530" s="2"/>
      <c r="H1530" s="2" t="s">
        <v>48</v>
      </c>
      <c r="I1530" s="12">
        <v>0</v>
      </c>
      <c r="J1530" s="2"/>
      <c r="K1530" s="2"/>
      <c r="L1530" s="2"/>
      <c r="M1530" s="2" t="s">
        <v>1020</v>
      </c>
      <c r="N1530" s="2" t="s">
        <v>1713</v>
      </c>
      <c r="O1530" s="2"/>
    </row>
    <row r="1531" spans="1:15" ht="12.95" customHeight="1" x14ac:dyDescent="0.2">
      <c r="A1531" s="4" t="s">
        <v>51</v>
      </c>
      <c r="B1531" s="4" t="s">
        <v>31</v>
      </c>
      <c r="C1531" s="4"/>
      <c r="D1531" s="4"/>
      <c r="E1531" s="3"/>
      <c r="F1531" s="4"/>
      <c r="G1531" s="4"/>
      <c r="H1531" s="4"/>
      <c r="I1531" s="35"/>
      <c r="J1531" s="4"/>
      <c r="K1531" s="4"/>
      <c r="L1531" s="4"/>
      <c r="M1531" s="4"/>
      <c r="N1531" s="4"/>
      <c r="O1531" s="4"/>
    </row>
    <row r="1532" spans="1:15" ht="12.95" customHeight="1" x14ac:dyDescent="0.2">
      <c r="A1532" s="4" t="s">
        <v>52</v>
      </c>
      <c r="B1532" s="4" t="s">
        <v>31</v>
      </c>
      <c r="C1532" s="4"/>
      <c r="D1532" s="4"/>
      <c r="E1532" s="3"/>
      <c r="F1532" s="4"/>
      <c r="G1532" s="4"/>
      <c r="H1532" s="4"/>
      <c r="I1532" s="35"/>
      <c r="J1532" s="4"/>
      <c r="K1532" s="4"/>
      <c r="L1532" s="4"/>
      <c r="M1532" s="4"/>
      <c r="N1532" s="4"/>
      <c r="O1532" s="4"/>
    </row>
    <row r="1533" spans="1:15" x14ac:dyDescent="0.2">
      <c r="A1533" s="4" t="s">
        <v>33</v>
      </c>
      <c r="B1533" s="4" t="s">
        <v>34</v>
      </c>
      <c r="C1533" s="4" t="s">
        <v>34</v>
      </c>
      <c r="D1533" s="4" t="s">
        <v>34</v>
      </c>
      <c r="E1533" s="4"/>
      <c r="F1533" s="4"/>
      <c r="G1533" s="4"/>
      <c r="H1533" s="4" t="s">
        <v>53</v>
      </c>
      <c r="I1533" s="102">
        <v>0</v>
      </c>
      <c r="J1533" s="4"/>
      <c r="K1533" s="4"/>
      <c r="L1533" s="4"/>
      <c r="M1533" s="4"/>
      <c r="N1533" s="4"/>
      <c r="O1533" s="4"/>
    </row>
    <row r="1534" spans="1:15" ht="12.95" customHeight="1" x14ac:dyDescent="0.2">
      <c r="A1534" s="2" t="s">
        <v>54</v>
      </c>
      <c r="B1534" s="2" t="s">
        <v>42</v>
      </c>
      <c r="C1534" s="2"/>
      <c r="D1534" s="2"/>
      <c r="E1534" s="3"/>
      <c r="F1534" s="2"/>
      <c r="G1534" s="2"/>
      <c r="H1534" s="2" t="s">
        <v>48</v>
      </c>
      <c r="I1534" s="12">
        <v>0</v>
      </c>
      <c r="J1534" s="2"/>
      <c r="K1534" s="2"/>
      <c r="L1534" s="2"/>
      <c r="M1534" s="2" t="s">
        <v>1020</v>
      </c>
      <c r="N1534" s="2" t="s">
        <v>1713</v>
      </c>
      <c r="O1534" s="2"/>
    </row>
    <row r="1535" spans="1:15" ht="12.95" customHeight="1" x14ac:dyDescent="0.2">
      <c r="A1535" s="2" t="s">
        <v>61</v>
      </c>
      <c r="B1535" s="2" t="s">
        <v>42</v>
      </c>
      <c r="C1535" s="2"/>
      <c r="D1535" s="2"/>
      <c r="E1535" s="3"/>
      <c r="F1535" s="2"/>
      <c r="G1535" s="2"/>
      <c r="H1535" s="2" t="s">
        <v>48</v>
      </c>
      <c r="I1535" s="12">
        <v>0</v>
      </c>
      <c r="J1535" s="2"/>
      <c r="K1535" s="2"/>
      <c r="L1535" s="2"/>
      <c r="M1535" s="2" t="s">
        <v>1020</v>
      </c>
      <c r="N1535" s="2" t="s">
        <v>1713</v>
      </c>
      <c r="O1535" s="2"/>
    </row>
    <row r="1536" spans="1:15" ht="12.95" customHeight="1" x14ac:dyDescent="0.2">
      <c r="A1536" s="2" t="s">
        <v>68</v>
      </c>
      <c r="B1536" s="2" t="s">
        <v>42</v>
      </c>
      <c r="C1536" s="2"/>
      <c r="D1536" s="2"/>
      <c r="E1536" s="3"/>
      <c r="F1536" s="2"/>
      <c r="G1536" s="2"/>
      <c r="H1536" s="2" t="s">
        <v>48</v>
      </c>
      <c r="I1536" s="12">
        <v>0</v>
      </c>
      <c r="J1536" s="2"/>
      <c r="K1536" s="2"/>
      <c r="L1536" s="2"/>
      <c r="M1536" s="2" t="s">
        <v>1020</v>
      </c>
      <c r="N1536" s="2" t="s">
        <v>1713</v>
      </c>
      <c r="O1536" s="2"/>
    </row>
    <row r="1537" spans="1:15" ht="12.95" customHeight="1" x14ac:dyDescent="0.2">
      <c r="A1537" s="2" t="s">
        <v>75</v>
      </c>
      <c r="B1537" s="2" t="s">
        <v>42</v>
      </c>
      <c r="C1537" s="2"/>
      <c r="D1537" s="2"/>
      <c r="E1537" s="3"/>
      <c r="F1537" s="2"/>
      <c r="G1537" s="2"/>
      <c r="H1537" s="2" t="s">
        <v>48</v>
      </c>
      <c r="I1537" s="12">
        <v>0</v>
      </c>
      <c r="J1537" s="2"/>
      <c r="K1537" s="2"/>
      <c r="L1537" s="2"/>
      <c r="M1537" s="2" t="s">
        <v>1020</v>
      </c>
      <c r="N1537" s="2" t="s">
        <v>1713</v>
      </c>
      <c r="O1537" s="2"/>
    </row>
    <row r="1538" spans="1:15" ht="12.95" customHeight="1" x14ac:dyDescent="0.2">
      <c r="A1538" s="2" t="s">
        <v>81</v>
      </c>
      <c r="B1538" s="2" t="s">
        <v>42</v>
      </c>
      <c r="C1538" s="2"/>
      <c r="D1538" s="2"/>
      <c r="E1538" s="3"/>
      <c r="F1538" s="2"/>
      <c r="G1538" s="2"/>
      <c r="H1538" s="2" t="s">
        <v>48</v>
      </c>
      <c r="I1538" s="12">
        <v>0</v>
      </c>
      <c r="J1538" s="2"/>
      <c r="K1538" s="2"/>
      <c r="L1538" s="2"/>
      <c r="M1538" s="2" t="s">
        <v>1020</v>
      </c>
      <c r="N1538" s="2" t="s">
        <v>1713</v>
      </c>
      <c r="O1538" s="2"/>
    </row>
    <row r="1539" spans="1:15" ht="12.95" customHeight="1" x14ac:dyDescent="0.2">
      <c r="A1539" s="4" t="s">
        <v>87</v>
      </c>
      <c r="B1539" s="4" t="s">
        <v>31</v>
      </c>
      <c r="C1539" s="4"/>
      <c r="D1539" s="4"/>
      <c r="E1539" s="3"/>
      <c r="F1539" s="4"/>
      <c r="G1539" s="4"/>
      <c r="H1539" s="4"/>
      <c r="I1539" s="35"/>
      <c r="J1539" s="4"/>
      <c r="K1539" s="4"/>
      <c r="L1539" s="4"/>
      <c r="M1539" s="4"/>
      <c r="N1539" s="4"/>
      <c r="O1539" s="4"/>
    </row>
    <row r="1540" spans="1:15" ht="12.95" customHeight="1" x14ac:dyDescent="0.2">
      <c r="A1540" s="4" t="s">
        <v>88</v>
      </c>
      <c r="B1540" s="4" t="s">
        <v>31</v>
      </c>
      <c r="C1540" s="4"/>
      <c r="D1540" s="4"/>
      <c r="E1540" s="3"/>
      <c r="F1540" s="4"/>
      <c r="G1540" s="4"/>
      <c r="H1540" s="4"/>
      <c r="I1540" s="35"/>
      <c r="J1540" s="4"/>
      <c r="K1540" s="4"/>
      <c r="L1540" s="4"/>
      <c r="M1540" s="4"/>
      <c r="N1540" s="4"/>
      <c r="O1540" s="4"/>
    </row>
    <row r="1541" spans="1:15" x14ac:dyDescent="0.2">
      <c r="A1541" s="4" t="s">
        <v>33</v>
      </c>
      <c r="B1541" s="4" t="s">
        <v>34</v>
      </c>
      <c r="C1541" s="4" t="s">
        <v>34</v>
      </c>
      <c r="D1541" s="4" t="s">
        <v>34</v>
      </c>
      <c r="E1541" s="4"/>
      <c r="F1541" s="4"/>
      <c r="G1541" s="4"/>
      <c r="H1541" s="4" t="s">
        <v>92</v>
      </c>
      <c r="I1541" s="102">
        <v>0</v>
      </c>
      <c r="J1541" s="4"/>
      <c r="K1541" s="4"/>
      <c r="L1541" s="4"/>
      <c r="M1541" s="4"/>
      <c r="N1541" s="4"/>
      <c r="O1541" s="4"/>
    </row>
    <row r="1542" spans="1:15" ht="12.95" customHeight="1" x14ac:dyDescent="0.2">
      <c r="A1542" s="2" t="s">
        <v>97</v>
      </c>
      <c r="B1542" s="2" t="s">
        <v>42</v>
      </c>
      <c r="C1542" s="2"/>
      <c r="D1542" s="2"/>
      <c r="E1542" s="3"/>
      <c r="F1542" s="2"/>
      <c r="G1542" s="2"/>
      <c r="H1542" s="2" t="s">
        <v>48</v>
      </c>
      <c r="I1542" s="12">
        <v>0</v>
      </c>
      <c r="J1542" s="2"/>
      <c r="K1542" s="2"/>
      <c r="L1542" s="2"/>
      <c r="M1542" s="2" t="s">
        <v>1020</v>
      </c>
      <c r="N1542" s="2" t="s">
        <v>1713</v>
      </c>
      <c r="O1542" s="2"/>
    </row>
    <row r="1543" spans="1:15" ht="12.95" customHeight="1" x14ac:dyDescent="0.2">
      <c r="A1543" s="2" t="s">
        <v>104</v>
      </c>
      <c r="B1543" s="2" t="s">
        <v>42</v>
      </c>
      <c r="C1543" s="2"/>
      <c r="D1543" s="2"/>
      <c r="E1543" s="3"/>
      <c r="F1543" s="2"/>
      <c r="G1543" s="2"/>
      <c r="H1543" s="2" t="s">
        <v>108</v>
      </c>
      <c r="I1543" s="12">
        <v>0</v>
      </c>
      <c r="J1543" s="2"/>
      <c r="K1543" s="2"/>
      <c r="L1543" s="2"/>
      <c r="M1543" s="2" t="s">
        <v>1020</v>
      </c>
      <c r="N1543" s="2" t="s">
        <v>1713</v>
      </c>
      <c r="O1543" s="2"/>
    </row>
    <row r="1544" spans="1:15" ht="12.95" customHeight="1" x14ac:dyDescent="0.2">
      <c r="A1544" s="2" t="s">
        <v>112</v>
      </c>
      <c r="B1544" s="2" t="s">
        <v>22</v>
      </c>
      <c r="C1544" s="2"/>
      <c r="D1544" s="2"/>
      <c r="E1544" s="3"/>
      <c r="F1544" s="2"/>
      <c r="G1544" s="2"/>
      <c r="H1544" s="2" t="s">
        <v>113</v>
      </c>
      <c r="I1544" s="13">
        <v>0</v>
      </c>
      <c r="J1544" s="2"/>
      <c r="K1544" s="2"/>
      <c r="L1544" s="2"/>
      <c r="M1544" s="2" t="s">
        <v>1020</v>
      </c>
      <c r="N1544" s="2" t="s">
        <v>1713</v>
      </c>
      <c r="O1544" s="2"/>
    </row>
    <row r="1545" spans="1:15" ht="12.95" customHeight="1" x14ac:dyDescent="0.2">
      <c r="A1545" s="2" t="s">
        <v>114</v>
      </c>
      <c r="B1545" s="2" t="s">
        <v>27</v>
      </c>
      <c r="C1545" s="2"/>
      <c r="D1545" s="2"/>
      <c r="E1545" s="3"/>
      <c r="F1545" s="2"/>
      <c r="G1545" s="2"/>
      <c r="H1545" s="2"/>
      <c r="I1545" s="13"/>
      <c r="J1545" s="2"/>
      <c r="K1545" s="2"/>
      <c r="L1545" s="2"/>
      <c r="M1545" s="2" t="s">
        <v>28</v>
      </c>
      <c r="N1545" s="2" t="s">
        <v>1714</v>
      </c>
      <c r="O1545" s="2"/>
    </row>
    <row r="1546" spans="1:15" ht="12.95" customHeight="1" x14ac:dyDescent="0.2">
      <c r="A1546" s="2" t="s">
        <v>115</v>
      </c>
      <c r="B1546" s="2" t="s">
        <v>42</v>
      </c>
      <c r="C1546" s="2" t="s">
        <v>682</v>
      </c>
      <c r="D1546" s="2" t="s">
        <v>667</v>
      </c>
      <c r="E1546" s="3" t="s">
        <v>583</v>
      </c>
      <c r="F1546" s="2" t="s">
        <v>46</v>
      </c>
      <c r="G1546" s="2" t="s">
        <v>472</v>
      </c>
      <c r="H1546" s="2" t="s">
        <v>48</v>
      </c>
      <c r="I1546" s="13" t="s">
        <v>484</v>
      </c>
      <c r="J1546" s="2" t="s">
        <v>472</v>
      </c>
      <c r="K1546" s="2"/>
      <c r="L1546" s="2" t="s">
        <v>1227</v>
      </c>
      <c r="M1546" s="2"/>
      <c r="N1546" s="2"/>
      <c r="O1546" s="2"/>
    </row>
    <row r="1547" spans="1:15" ht="12.95" customHeight="1" x14ac:dyDescent="0.2">
      <c r="A1547" s="4" t="s">
        <v>122</v>
      </c>
      <c r="B1547" s="4" t="s">
        <v>31</v>
      </c>
      <c r="C1547" s="4"/>
      <c r="D1547" s="4"/>
      <c r="E1547" s="3"/>
      <c r="F1547" s="4"/>
      <c r="G1547" s="4"/>
      <c r="H1547" s="4"/>
      <c r="I1547" s="35"/>
      <c r="J1547" s="4"/>
      <c r="K1547" s="4"/>
      <c r="L1547" s="4"/>
      <c r="M1547" s="4"/>
      <c r="N1547" s="4"/>
      <c r="O1547" s="4"/>
    </row>
    <row r="1548" spans="1:15" ht="12.95" customHeight="1" x14ac:dyDescent="0.2">
      <c r="A1548" s="4" t="s">
        <v>123</v>
      </c>
      <c r="B1548" s="4" t="s">
        <v>31</v>
      </c>
      <c r="C1548" s="4"/>
      <c r="D1548" s="4"/>
      <c r="E1548" s="3"/>
      <c r="F1548" s="4"/>
      <c r="G1548" s="4"/>
      <c r="H1548" s="4"/>
      <c r="I1548" s="35"/>
      <c r="J1548" s="4"/>
      <c r="K1548" s="4"/>
      <c r="L1548" s="4"/>
      <c r="M1548" s="4"/>
      <c r="N1548" s="4"/>
      <c r="O1548" s="4"/>
    </row>
    <row r="1549" spans="1:15" x14ac:dyDescent="0.2">
      <c r="A1549" s="4" t="s">
        <v>33</v>
      </c>
      <c r="B1549" s="4" t="s">
        <v>34</v>
      </c>
      <c r="C1549" s="4" t="s">
        <v>34</v>
      </c>
      <c r="D1549" s="4" t="s">
        <v>34</v>
      </c>
      <c r="E1549" s="4" t="s">
        <v>583</v>
      </c>
      <c r="F1549" s="4" t="s">
        <v>46</v>
      </c>
      <c r="G1549" s="4" t="s">
        <v>472</v>
      </c>
      <c r="H1549" s="4" t="s">
        <v>127</v>
      </c>
      <c r="I1549" s="102">
        <v>7.2916666666666671E-2</v>
      </c>
      <c r="J1549" s="4" t="s">
        <v>472</v>
      </c>
      <c r="K1549" s="4"/>
      <c r="L1549" s="4" t="s">
        <v>1227</v>
      </c>
      <c r="M1549" s="4"/>
      <c r="N1549" s="4"/>
      <c r="O1549" s="4"/>
    </row>
    <row r="1550" spans="1:15" ht="12.95" customHeight="1" x14ac:dyDescent="0.2">
      <c r="A1550" s="2" t="s">
        <v>131</v>
      </c>
      <c r="B1550" s="2" t="s">
        <v>42</v>
      </c>
      <c r="C1550" s="2" t="s">
        <v>619</v>
      </c>
      <c r="D1550" s="2" t="s">
        <v>1102</v>
      </c>
      <c r="E1550" s="3" t="s">
        <v>1031</v>
      </c>
      <c r="F1550" s="2" t="s">
        <v>46</v>
      </c>
      <c r="G1550" s="2" t="s">
        <v>832</v>
      </c>
      <c r="H1550" s="2" t="s">
        <v>48</v>
      </c>
      <c r="I1550" s="13" t="s">
        <v>1028</v>
      </c>
      <c r="J1550" s="2" t="s">
        <v>832</v>
      </c>
      <c r="K1550" s="2"/>
      <c r="L1550" s="2" t="s">
        <v>686</v>
      </c>
      <c r="M1550" s="2"/>
      <c r="N1550" s="2"/>
      <c r="O1550" s="2"/>
    </row>
    <row r="1551" spans="1:15" ht="12.95" customHeight="1" x14ac:dyDescent="0.2">
      <c r="A1551" s="2" t="s">
        <v>138</v>
      </c>
      <c r="B1551" s="2" t="s">
        <v>42</v>
      </c>
      <c r="C1551" s="2" t="s">
        <v>895</v>
      </c>
      <c r="D1551" s="2" t="s">
        <v>1228</v>
      </c>
      <c r="E1551" s="3" t="s">
        <v>972</v>
      </c>
      <c r="F1551" s="2" t="s">
        <v>46</v>
      </c>
      <c r="G1551" s="2" t="s">
        <v>1229</v>
      </c>
      <c r="H1551" s="2" t="s">
        <v>48</v>
      </c>
      <c r="I1551" s="13" t="s">
        <v>793</v>
      </c>
      <c r="J1551" s="2" t="s">
        <v>1229</v>
      </c>
      <c r="K1551" s="2"/>
      <c r="L1551" s="2" t="s">
        <v>778</v>
      </c>
      <c r="M1551" s="2"/>
      <c r="N1551" s="2"/>
      <c r="O1551" s="2"/>
    </row>
    <row r="1552" spans="1:15" ht="12.95" customHeight="1" x14ac:dyDescent="0.2">
      <c r="A1552" s="2" t="s">
        <v>143</v>
      </c>
      <c r="B1552" s="2" t="s">
        <v>42</v>
      </c>
      <c r="C1552" s="2" t="s">
        <v>119</v>
      </c>
      <c r="D1552" s="2" t="s">
        <v>1038</v>
      </c>
      <c r="E1552" s="3" t="s">
        <v>1163</v>
      </c>
      <c r="F1552" s="2" t="s">
        <v>46</v>
      </c>
      <c r="G1552" s="2" t="s">
        <v>562</v>
      </c>
      <c r="H1552" s="2" t="s">
        <v>48</v>
      </c>
      <c r="I1552" s="13" t="s">
        <v>1230</v>
      </c>
      <c r="J1552" s="2" t="s">
        <v>562</v>
      </c>
      <c r="K1552" s="2"/>
      <c r="L1552" s="2" t="s">
        <v>414</v>
      </c>
      <c r="M1552" s="2"/>
      <c r="N1552" s="2"/>
      <c r="O1552" s="2"/>
    </row>
    <row r="1553" spans="1:15" ht="12.95" customHeight="1" x14ac:dyDescent="0.2">
      <c r="A1553" s="2" t="s">
        <v>148</v>
      </c>
      <c r="B1553" s="2" t="s">
        <v>42</v>
      </c>
      <c r="C1553" s="2" t="s">
        <v>354</v>
      </c>
      <c r="D1553" s="2" t="s">
        <v>1231</v>
      </c>
      <c r="E1553" s="3" t="s">
        <v>589</v>
      </c>
      <c r="F1553" s="2"/>
      <c r="G1553" s="2" t="s">
        <v>589</v>
      </c>
      <c r="H1553" s="2" t="s">
        <v>48</v>
      </c>
      <c r="I1553" s="13" t="s">
        <v>1232</v>
      </c>
      <c r="J1553" s="2" t="s">
        <v>589</v>
      </c>
      <c r="K1553" s="2"/>
      <c r="L1553" s="2" t="s">
        <v>356</v>
      </c>
      <c r="M1553" s="2"/>
      <c r="N1553" s="2"/>
      <c r="O1553" s="2"/>
    </row>
    <row r="1554" spans="1:15" ht="12.95" customHeight="1" x14ac:dyDescent="0.2">
      <c r="A1554" s="2" t="s">
        <v>155</v>
      </c>
      <c r="B1554" s="2" t="s">
        <v>42</v>
      </c>
      <c r="C1554" s="2" t="s">
        <v>107</v>
      </c>
      <c r="D1554" s="2" t="s">
        <v>660</v>
      </c>
      <c r="E1554" s="3" t="s">
        <v>544</v>
      </c>
      <c r="F1554" s="2" t="s">
        <v>46</v>
      </c>
      <c r="G1554" s="2" t="s">
        <v>639</v>
      </c>
      <c r="H1554" s="2" t="s">
        <v>48</v>
      </c>
      <c r="I1554" s="13" t="s">
        <v>490</v>
      </c>
      <c r="J1554" s="2" t="s">
        <v>639</v>
      </c>
      <c r="K1554" s="2"/>
      <c r="L1554" s="2" t="s">
        <v>232</v>
      </c>
      <c r="M1554" s="2"/>
      <c r="N1554" s="2"/>
      <c r="O1554" s="2"/>
    </row>
    <row r="1555" spans="1:15" ht="12.95" customHeight="1" x14ac:dyDescent="0.2">
      <c r="A1555" s="8" t="s">
        <v>161</v>
      </c>
      <c r="B1555" s="8"/>
      <c r="C1555" s="8"/>
      <c r="D1555" s="8"/>
      <c r="E1555" s="5" t="s">
        <v>1233</v>
      </c>
      <c r="F1555" s="5" t="s">
        <v>90</v>
      </c>
      <c r="G1555" s="5" t="s">
        <v>1234</v>
      </c>
      <c r="H1555" s="5" t="s">
        <v>165</v>
      </c>
      <c r="I1555" s="101">
        <v>0.47708333333333336</v>
      </c>
      <c r="J1555" s="5" t="s">
        <v>1234</v>
      </c>
      <c r="K1555" s="5" t="s">
        <v>296</v>
      </c>
      <c r="L1555" s="5" t="s">
        <v>1235</v>
      </c>
      <c r="M1555" s="5"/>
      <c r="N1555" s="5"/>
      <c r="O1555" s="5"/>
    </row>
    <row r="1556" spans="1:15" ht="12.95" customHeight="1" x14ac:dyDescent="0.2">
      <c r="A1556" s="8" t="s">
        <v>171</v>
      </c>
      <c r="B1556" s="8"/>
      <c r="C1556" s="8"/>
      <c r="D1556" s="8"/>
      <c r="E1556" s="5" t="s">
        <v>1233</v>
      </c>
      <c r="F1556" s="5" t="s">
        <v>90</v>
      </c>
      <c r="G1556" s="5" t="s">
        <v>1234</v>
      </c>
      <c r="H1556" s="5" t="s">
        <v>165</v>
      </c>
      <c r="I1556" s="101">
        <v>0.47708333333333336</v>
      </c>
      <c r="J1556" s="5" t="s">
        <v>1234</v>
      </c>
      <c r="K1556" s="5" t="s">
        <v>296</v>
      </c>
      <c r="L1556" s="5" t="s">
        <v>1235</v>
      </c>
      <c r="M1556" s="5"/>
      <c r="N1556" s="5"/>
      <c r="O1556" s="5"/>
    </row>
    <row r="1557" spans="1:15" ht="12.95" customHeight="1" x14ac:dyDescent="0.2">
      <c r="A1557" s="8" t="s">
        <v>173</v>
      </c>
      <c r="B1557" s="8"/>
      <c r="C1557" s="8"/>
      <c r="D1557" s="8"/>
      <c r="E1557" s="5">
        <v>41.45</v>
      </c>
      <c r="F1557" s="5">
        <v>2.5</v>
      </c>
      <c r="G1557" s="5">
        <v>38.950000000000003</v>
      </c>
      <c r="H1557" s="5">
        <v>118.8</v>
      </c>
      <c r="I1557" s="36">
        <v>11.45</v>
      </c>
      <c r="J1557" s="5">
        <v>38.950000000000003</v>
      </c>
      <c r="K1557" s="5">
        <v>0</v>
      </c>
      <c r="L1557" s="5">
        <v>11.23</v>
      </c>
      <c r="M1557" s="5"/>
      <c r="N1557" s="5"/>
      <c r="O1557" s="5"/>
    </row>
    <row r="1558" spans="1:15" x14ac:dyDescent="0.2">
      <c r="I1558" s="37"/>
    </row>
    <row r="1559" spans="1:15" ht="12.95" customHeight="1" x14ac:dyDescent="0.2">
      <c r="A1559" s="9" t="s">
        <v>174</v>
      </c>
      <c r="B1559" s="9"/>
      <c r="C1559" s="9"/>
      <c r="E1559" s="9" t="s">
        <v>180</v>
      </c>
      <c r="F1559" s="9"/>
      <c r="G1559" s="9"/>
      <c r="I1559" s="9" t="s">
        <v>181</v>
      </c>
      <c r="J1559" s="9"/>
      <c r="K1559" s="9"/>
    </row>
    <row r="1560" spans="1:15" ht="12.95" customHeight="1" x14ac:dyDescent="0.2">
      <c r="A1560" s="10" t="s">
        <v>175</v>
      </c>
      <c r="B1560" s="10"/>
      <c r="C1560" s="6">
        <v>6</v>
      </c>
      <c r="E1560" s="10" t="s">
        <v>14</v>
      </c>
      <c r="F1560" s="10"/>
      <c r="G1560" s="6">
        <v>38.950000000000003</v>
      </c>
      <c r="I1560" s="10" t="s">
        <v>27</v>
      </c>
      <c r="J1560" s="10"/>
      <c r="K1560" s="26">
        <v>1</v>
      </c>
    </row>
    <row r="1561" spans="1:15" ht="12.95" customHeight="1" x14ac:dyDescent="0.2">
      <c r="A1561" s="10" t="s">
        <v>1531</v>
      </c>
      <c r="B1561" s="10"/>
      <c r="C1561" s="6">
        <v>7</v>
      </c>
      <c r="I1561" s="10" t="s">
        <v>22</v>
      </c>
      <c r="J1561" s="10"/>
      <c r="K1561" s="26">
        <v>0</v>
      </c>
      <c r="L1561" s="110" t="s">
        <v>1719</v>
      </c>
    </row>
    <row r="1562" spans="1:15" ht="12.95" customHeight="1" x14ac:dyDescent="0.2">
      <c r="A1562" s="10" t="s">
        <v>176</v>
      </c>
      <c r="B1562" s="10"/>
      <c r="C1562" s="6">
        <v>41.45</v>
      </c>
      <c r="I1562" s="10" t="s">
        <v>36</v>
      </c>
      <c r="J1562" s="10"/>
      <c r="K1562" s="26">
        <v>0</v>
      </c>
    </row>
    <row r="1563" spans="1:15" ht="12.95" customHeight="1" x14ac:dyDescent="0.2">
      <c r="A1563" s="10" t="s">
        <v>177</v>
      </c>
      <c r="B1563" s="10"/>
      <c r="C1563" s="6">
        <v>118.8</v>
      </c>
      <c r="I1563" s="39" t="s">
        <v>1591</v>
      </c>
      <c r="J1563" s="19"/>
      <c r="K1563" s="20">
        <v>0</v>
      </c>
    </row>
    <row r="1564" spans="1:15" ht="12.95" customHeight="1" x14ac:dyDescent="0.2">
      <c r="A1564" s="10" t="s">
        <v>11</v>
      </c>
      <c r="B1564" s="10"/>
      <c r="C1564" s="6">
        <v>38.950000000000003</v>
      </c>
      <c r="I1564" s="39" t="s">
        <v>1592</v>
      </c>
      <c r="J1564" s="19"/>
      <c r="K1564" s="38">
        <v>0</v>
      </c>
    </row>
    <row r="1565" spans="1:15" ht="12.95" customHeight="1" x14ac:dyDescent="0.25">
      <c r="A1565" s="10" t="s">
        <v>178</v>
      </c>
      <c r="B1565" s="10"/>
      <c r="C1565" s="30">
        <v>11.45</v>
      </c>
      <c r="I1565" s="41" t="s">
        <v>1593</v>
      </c>
      <c r="J1565" s="40"/>
      <c r="K1565" s="42">
        <f>K1563+K1564</f>
        <v>0</v>
      </c>
    </row>
    <row r="1566" spans="1:15" ht="12.95" customHeight="1" x14ac:dyDescent="0.2">
      <c r="A1566" s="28" t="s">
        <v>1571</v>
      </c>
      <c r="B1566" s="27"/>
      <c r="C1566" s="31">
        <v>0</v>
      </c>
      <c r="I1566" t="s">
        <v>1020</v>
      </c>
      <c r="K1566" cm="1">
        <f t="array" ref="K1566">SUMPRODUCT(--ISNUMBER(SEARCH("חל""ת",M1521:M1558)))</f>
        <v>15</v>
      </c>
    </row>
    <row r="1567" spans="1:15" ht="12.95" customHeight="1" x14ac:dyDescent="0.2">
      <c r="A1567" s="29" t="s">
        <v>1572</v>
      </c>
      <c r="B1567" s="29"/>
      <c r="C1567" s="32">
        <f>C1565+C1566</f>
        <v>11.45</v>
      </c>
    </row>
    <row r="1568" spans="1:15" x14ac:dyDescent="0.2">
      <c r="A1568" s="10" t="s">
        <v>10</v>
      </c>
      <c r="B1568" s="10"/>
      <c r="C1568" s="6">
        <v>2.5</v>
      </c>
    </row>
    <row r="1569" spans="1:16" x14ac:dyDescent="0.2">
      <c r="A1569" t="s">
        <v>1615</v>
      </c>
      <c r="C1569" cm="1">
        <f t="array" ref="C1569">IFERROR(SUMPRODUCT((ISNUMBER(SEARCH("מילואים",M1521:M1558))+ISNUMBER(SEARCH("מילואים",N1521:N1558))&gt;0)*(C1521:C1558&lt;&gt;"")*(J1521:J1558+0))*24,0)</f>
        <v>0</v>
      </c>
    </row>
    <row r="1570" spans="1:16" ht="12.95" customHeight="1" x14ac:dyDescent="0.2">
      <c r="A1570" s="7" t="s">
        <v>1236</v>
      </c>
      <c r="B1570" s="7"/>
      <c r="C1570" s="7"/>
      <c r="D1570" s="7" t="s">
        <v>1</v>
      </c>
      <c r="E1570" s="7"/>
      <c r="F1570" s="7"/>
      <c r="G1570" s="7"/>
      <c r="H1570" s="7" t="s">
        <v>1237</v>
      </c>
      <c r="I1570" s="7"/>
      <c r="J1570" s="7"/>
      <c r="K1570" s="7"/>
      <c r="L1570" s="7"/>
      <c r="M1570" s="7"/>
      <c r="N1570" s="7"/>
      <c r="O1570" s="7"/>
      <c r="P1570" s="7"/>
    </row>
    <row r="1571" spans="1:16" ht="12.95" customHeight="1" x14ac:dyDescent="0.2">
      <c r="A1571" s="7" t="s">
        <v>3</v>
      </c>
      <c r="B1571" s="7"/>
      <c r="C1571" s="7"/>
      <c r="D1571" s="7"/>
      <c r="E1571" s="7"/>
      <c r="F1571" s="7">
        <v>60</v>
      </c>
      <c r="G1571" s="7"/>
      <c r="H1571" s="7" t="s">
        <v>4</v>
      </c>
      <c r="I1571" s="7"/>
      <c r="J1571" s="7"/>
      <c r="K1571" s="7"/>
      <c r="L1571" s="7"/>
      <c r="M1571" s="7"/>
      <c r="N1571" s="7"/>
      <c r="O1571" s="7"/>
      <c r="P1571" s="7"/>
    </row>
    <row r="1572" spans="1:16" ht="22.5" customHeight="1" x14ac:dyDescent="0.2">
      <c r="A1572" s="1" t="s">
        <v>5</v>
      </c>
      <c r="B1572" s="1" t="s">
        <v>6</v>
      </c>
      <c r="C1572" s="1" t="s">
        <v>7</v>
      </c>
      <c r="D1572" s="1" t="s">
        <v>8</v>
      </c>
      <c r="E1572" s="1" t="s">
        <v>9</v>
      </c>
      <c r="F1572" s="1" t="s">
        <v>10</v>
      </c>
      <c r="G1572" s="1" t="s">
        <v>11</v>
      </c>
      <c r="H1572" s="1" t="s">
        <v>12</v>
      </c>
      <c r="I1572" s="1" t="s">
        <v>13</v>
      </c>
      <c r="J1572" s="1" t="s">
        <v>14</v>
      </c>
      <c r="K1572" s="1" t="s">
        <v>15</v>
      </c>
      <c r="L1572" s="1" t="s">
        <v>16</v>
      </c>
      <c r="M1572" s="1" t="s">
        <v>17</v>
      </c>
      <c r="N1572" s="1" t="s">
        <v>18</v>
      </c>
      <c r="O1572" s="1" t="s">
        <v>19</v>
      </c>
      <c r="P1572" s="1" t="s">
        <v>20</v>
      </c>
    </row>
    <row r="1573" spans="1:16" ht="12.95" customHeight="1" x14ac:dyDescent="0.2">
      <c r="A1573" s="2" t="s">
        <v>21</v>
      </c>
      <c r="B1573" s="2" t="s">
        <v>22</v>
      </c>
      <c r="C1573" s="2"/>
      <c r="D1573" s="2"/>
      <c r="E1573" s="3"/>
      <c r="F1573" s="2"/>
      <c r="G1573" s="2"/>
      <c r="H1573" s="2" t="s">
        <v>23</v>
      </c>
      <c r="I1573" s="12" t="s">
        <v>23</v>
      </c>
      <c r="J1573" s="2"/>
      <c r="K1573" s="2"/>
      <c r="L1573" s="2"/>
      <c r="M1573" s="2"/>
      <c r="N1573" s="2" t="s">
        <v>24</v>
      </c>
      <c r="O1573" s="2" t="s">
        <v>25</v>
      </c>
      <c r="P1573" s="2"/>
    </row>
    <row r="1574" spans="1:16" ht="12.95" customHeight="1" x14ac:dyDescent="0.2">
      <c r="A1574" s="2" t="s">
        <v>26</v>
      </c>
      <c r="B1574" s="2" t="s">
        <v>27</v>
      </c>
      <c r="C1574" s="2"/>
      <c r="D1574" s="2"/>
      <c r="E1574" s="3"/>
      <c r="F1574" s="2"/>
      <c r="G1574" s="2"/>
      <c r="H1574" s="2"/>
      <c r="I1574" s="13"/>
      <c r="J1574" s="2"/>
      <c r="K1574" s="2"/>
      <c r="L1574" s="2"/>
      <c r="M1574" s="2"/>
      <c r="N1574" s="2" t="s">
        <v>28</v>
      </c>
      <c r="O1574" s="2" t="s">
        <v>29</v>
      </c>
      <c r="P1574" s="2"/>
    </row>
    <row r="1575" spans="1:16" ht="12.95" customHeight="1" x14ac:dyDescent="0.2">
      <c r="A1575" s="4" t="s">
        <v>30</v>
      </c>
      <c r="B1575" s="4" t="s">
        <v>31</v>
      </c>
      <c r="C1575" s="4"/>
      <c r="D1575" s="4"/>
      <c r="E1575" s="3"/>
      <c r="F1575" s="4"/>
      <c r="G1575" s="4"/>
      <c r="H1575" s="4"/>
      <c r="I1575" s="35"/>
      <c r="J1575" s="4"/>
      <c r="K1575" s="4"/>
      <c r="L1575" s="4"/>
      <c r="M1575" s="4"/>
      <c r="N1575" s="4"/>
      <c r="O1575" s="4"/>
      <c r="P1575" s="4"/>
    </row>
    <row r="1576" spans="1:16" ht="12.95" customHeight="1" x14ac:dyDescent="0.2">
      <c r="A1576" s="4" t="s">
        <v>32</v>
      </c>
      <c r="B1576" s="4" t="s">
        <v>31</v>
      </c>
      <c r="C1576" s="4"/>
      <c r="D1576" s="4"/>
      <c r="E1576" s="3"/>
      <c r="F1576" s="4"/>
      <c r="G1576" s="4"/>
      <c r="H1576" s="4"/>
      <c r="I1576" s="35"/>
      <c r="J1576" s="4"/>
      <c r="K1576" s="4"/>
      <c r="L1576" s="4"/>
      <c r="M1576" s="4"/>
      <c r="N1576" s="4"/>
      <c r="O1576" s="4"/>
      <c r="P1576" s="4"/>
    </row>
    <row r="1577" spans="1:16" x14ac:dyDescent="0.2">
      <c r="A1577" s="4" t="s">
        <v>33</v>
      </c>
      <c r="B1577" s="4" t="s">
        <v>34</v>
      </c>
      <c r="C1577" s="4" t="s">
        <v>34</v>
      </c>
      <c r="D1577" s="4" t="s">
        <v>34</v>
      </c>
      <c r="E1577" s="4"/>
      <c r="F1577" s="4"/>
      <c r="G1577" s="4"/>
      <c r="H1577" s="4" t="s">
        <v>23</v>
      </c>
      <c r="I1577" s="35" t="s">
        <v>23</v>
      </c>
      <c r="J1577" s="4"/>
      <c r="K1577" s="4"/>
      <c r="L1577" s="4"/>
      <c r="M1577" s="4"/>
      <c r="N1577" s="4"/>
      <c r="O1577" s="4"/>
      <c r="P1577" s="4"/>
    </row>
    <row r="1578" spans="1:16" ht="12.95" customHeight="1" x14ac:dyDescent="0.2">
      <c r="A1578" s="2" t="s">
        <v>35</v>
      </c>
      <c r="B1578" s="2" t="s">
        <v>36</v>
      </c>
      <c r="C1578" s="2"/>
      <c r="D1578" s="2"/>
      <c r="E1578" s="3"/>
      <c r="F1578" s="2"/>
      <c r="G1578" s="2"/>
      <c r="H1578" s="2"/>
      <c r="I1578" s="13"/>
      <c r="J1578" s="2"/>
      <c r="K1578" s="2"/>
      <c r="L1578" s="2"/>
      <c r="M1578" s="2"/>
      <c r="N1578" s="2" t="s">
        <v>194</v>
      </c>
      <c r="O1578" s="2"/>
      <c r="P1578" s="2"/>
    </row>
    <row r="1579" spans="1:16" ht="12.95" customHeight="1" x14ac:dyDescent="0.2">
      <c r="A1579" s="2" t="s">
        <v>38</v>
      </c>
      <c r="B1579" s="2" t="s">
        <v>36</v>
      </c>
      <c r="C1579" s="2"/>
      <c r="D1579" s="2"/>
      <c r="E1579" s="3"/>
      <c r="F1579" s="2"/>
      <c r="G1579" s="2"/>
      <c r="H1579" s="2"/>
      <c r="I1579" s="13"/>
      <c r="J1579" s="2"/>
      <c r="K1579" s="2"/>
      <c r="L1579" s="2"/>
      <c r="M1579" s="2"/>
      <c r="N1579" s="2" t="s">
        <v>194</v>
      </c>
      <c r="O1579" s="2"/>
      <c r="P1579" s="2"/>
    </row>
    <row r="1580" spans="1:16" ht="12.95" customHeight="1" x14ac:dyDescent="0.2">
      <c r="A1580" s="2" t="s">
        <v>39</v>
      </c>
      <c r="B1580" s="2" t="s">
        <v>22</v>
      </c>
      <c r="C1580" s="2"/>
      <c r="D1580" s="2"/>
      <c r="E1580" s="3"/>
      <c r="F1580" s="2"/>
      <c r="G1580" s="2"/>
      <c r="H1580" s="2" t="s">
        <v>23</v>
      </c>
      <c r="I1580" s="12" t="s">
        <v>23</v>
      </c>
      <c r="J1580" s="2"/>
      <c r="K1580" s="2"/>
      <c r="L1580" s="2"/>
      <c r="M1580" s="2"/>
      <c r="N1580" s="2" t="s">
        <v>24</v>
      </c>
      <c r="O1580" s="2" t="s">
        <v>25</v>
      </c>
      <c r="P1580" s="2"/>
    </row>
    <row r="1581" spans="1:16" ht="12.95" customHeight="1" x14ac:dyDescent="0.2">
      <c r="A1581" s="2" t="s">
        <v>40</v>
      </c>
      <c r="B1581" s="2" t="s">
        <v>27</v>
      </c>
      <c r="C1581" s="2"/>
      <c r="D1581" s="2"/>
      <c r="E1581" s="3"/>
      <c r="F1581" s="2"/>
      <c r="G1581" s="2"/>
      <c r="H1581" s="2"/>
      <c r="I1581" s="13"/>
      <c r="J1581" s="2"/>
      <c r="K1581" s="2"/>
      <c r="L1581" s="2"/>
      <c r="M1581" s="2"/>
      <c r="N1581" s="2" t="s">
        <v>28</v>
      </c>
      <c r="O1581" s="2" t="s">
        <v>25</v>
      </c>
      <c r="P1581" s="2"/>
    </row>
    <row r="1582" spans="1:16" ht="12.95" customHeight="1" x14ac:dyDescent="0.2">
      <c r="A1582" s="2" t="s">
        <v>41</v>
      </c>
      <c r="B1582" s="2" t="s">
        <v>42</v>
      </c>
      <c r="C1582" s="2" t="s">
        <v>1238</v>
      </c>
      <c r="D1582" s="2" t="s">
        <v>1239</v>
      </c>
      <c r="E1582" s="3" t="s">
        <v>543</v>
      </c>
      <c r="F1582" s="2" t="s">
        <v>46</v>
      </c>
      <c r="G1582" s="2" t="s">
        <v>544</v>
      </c>
      <c r="H1582" s="2" t="s">
        <v>48</v>
      </c>
      <c r="I1582" s="13"/>
      <c r="J1582" s="2" t="s">
        <v>48</v>
      </c>
      <c r="K1582" s="2" t="s">
        <v>397</v>
      </c>
      <c r="L1582" s="2" t="s">
        <v>397</v>
      </c>
      <c r="M1582" s="2" t="s">
        <v>110</v>
      </c>
      <c r="N1582" s="2"/>
      <c r="O1582" s="2"/>
      <c r="P1582" s="2"/>
    </row>
    <row r="1583" spans="1:16" ht="12.95" customHeight="1" x14ac:dyDescent="0.2">
      <c r="A1583" s="4" t="s">
        <v>51</v>
      </c>
      <c r="B1583" s="4" t="s">
        <v>31</v>
      </c>
      <c r="C1583" s="4"/>
      <c r="D1583" s="4"/>
      <c r="E1583" s="3"/>
      <c r="F1583" s="4"/>
      <c r="G1583" s="4"/>
      <c r="H1583" s="4"/>
      <c r="I1583" s="35"/>
      <c r="J1583" s="4"/>
      <c r="K1583" s="4"/>
      <c r="L1583" s="4"/>
      <c r="M1583" s="4"/>
      <c r="N1583" s="4"/>
      <c r="O1583" s="4"/>
      <c r="P1583" s="4"/>
    </row>
    <row r="1584" spans="1:16" ht="12.95" customHeight="1" x14ac:dyDescent="0.2">
      <c r="A1584" s="4" t="s">
        <v>52</v>
      </c>
      <c r="B1584" s="4" t="s">
        <v>31</v>
      </c>
      <c r="C1584" s="4"/>
      <c r="D1584" s="4"/>
      <c r="E1584" s="3"/>
      <c r="F1584" s="4"/>
      <c r="G1584" s="4"/>
      <c r="H1584" s="4"/>
      <c r="I1584" s="35"/>
      <c r="J1584" s="4"/>
      <c r="K1584" s="4"/>
      <c r="L1584" s="4"/>
      <c r="M1584" s="4"/>
      <c r="N1584" s="4"/>
      <c r="O1584" s="4"/>
      <c r="P1584" s="4"/>
    </row>
    <row r="1585" spans="1:16" x14ac:dyDescent="0.2">
      <c r="A1585" s="4" t="s">
        <v>33</v>
      </c>
      <c r="B1585" s="4" t="s">
        <v>34</v>
      </c>
      <c r="C1585" s="4" t="s">
        <v>34</v>
      </c>
      <c r="D1585" s="4" t="s">
        <v>34</v>
      </c>
      <c r="E1585" s="4" t="s">
        <v>543</v>
      </c>
      <c r="F1585" s="4" t="s">
        <v>46</v>
      </c>
      <c r="G1585" s="4" t="s">
        <v>544</v>
      </c>
      <c r="H1585" s="4" t="s">
        <v>53</v>
      </c>
      <c r="I1585" s="35" t="s">
        <v>23</v>
      </c>
      <c r="J1585" s="4" t="s">
        <v>48</v>
      </c>
      <c r="K1585" s="4" t="s">
        <v>397</v>
      </c>
      <c r="L1585" s="4" t="s">
        <v>397</v>
      </c>
      <c r="M1585" s="4" t="s">
        <v>110</v>
      </c>
      <c r="N1585" s="4"/>
      <c r="O1585" s="4"/>
      <c r="P1585" s="4"/>
    </row>
    <row r="1586" spans="1:16" ht="12.95" customHeight="1" x14ac:dyDescent="0.2">
      <c r="A1586" s="2" t="s">
        <v>54</v>
      </c>
      <c r="B1586" s="2" t="s">
        <v>42</v>
      </c>
      <c r="C1586" s="2" t="s">
        <v>1238</v>
      </c>
      <c r="D1586" s="2" t="s">
        <v>1240</v>
      </c>
      <c r="E1586" s="3" t="s">
        <v>694</v>
      </c>
      <c r="F1586" s="2" t="s">
        <v>46</v>
      </c>
      <c r="G1586" s="2" t="s">
        <v>668</v>
      </c>
      <c r="H1586" s="2" t="s">
        <v>48</v>
      </c>
      <c r="I1586" s="13"/>
      <c r="J1586" s="2" t="s">
        <v>48</v>
      </c>
      <c r="K1586" s="2" t="s">
        <v>212</v>
      </c>
      <c r="L1586" s="2" t="s">
        <v>212</v>
      </c>
      <c r="M1586" s="2" t="s">
        <v>110</v>
      </c>
      <c r="N1586" s="2"/>
      <c r="O1586" s="2"/>
      <c r="P1586" s="2"/>
    </row>
    <row r="1587" spans="1:16" ht="12.95" customHeight="1" x14ac:dyDescent="0.2">
      <c r="A1587" s="2" t="s">
        <v>61</v>
      </c>
      <c r="B1587" s="2" t="s">
        <v>42</v>
      </c>
      <c r="C1587" s="2" t="s">
        <v>1241</v>
      </c>
      <c r="D1587" s="2" t="s">
        <v>1242</v>
      </c>
      <c r="E1587" s="3" t="s">
        <v>488</v>
      </c>
      <c r="F1587" s="2" t="s">
        <v>46</v>
      </c>
      <c r="G1587" s="2" t="s">
        <v>817</v>
      </c>
      <c r="H1587" s="2" t="s">
        <v>48</v>
      </c>
      <c r="I1587" s="13"/>
      <c r="J1587" s="2" t="s">
        <v>48</v>
      </c>
      <c r="K1587" s="2" t="s">
        <v>240</v>
      </c>
      <c r="L1587" s="2" t="s">
        <v>240</v>
      </c>
      <c r="M1587" s="2" t="s">
        <v>436</v>
      </c>
      <c r="N1587" s="2"/>
      <c r="O1587" s="2"/>
      <c r="P1587" s="2"/>
    </row>
    <row r="1588" spans="1:16" ht="12.95" customHeight="1" x14ac:dyDescent="0.2">
      <c r="A1588" s="2" t="s">
        <v>68</v>
      </c>
      <c r="B1588" s="2" t="s">
        <v>42</v>
      </c>
      <c r="C1588" s="2" t="s">
        <v>907</v>
      </c>
      <c r="D1588" s="2" t="s">
        <v>1243</v>
      </c>
      <c r="E1588" s="3" t="s">
        <v>359</v>
      </c>
      <c r="F1588" s="2" t="s">
        <v>46</v>
      </c>
      <c r="G1588" s="2" t="s">
        <v>878</v>
      </c>
      <c r="H1588" s="2" t="s">
        <v>48</v>
      </c>
      <c r="I1588" s="13"/>
      <c r="J1588" s="2" t="s">
        <v>48</v>
      </c>
      <c r="K1588" s="2" t="s">
        <v>249</v>
      </c>
      <c r="L1588" s="2" t="s">
        <v>249</v>
      </c>
      <c r="M1588" s="2" t="s">
        <v>347</v>
      </c>
      <c r="N1588" s="2"/>
      <c r="O1588" s="2"/>
      <c r="P1588" s="2"/>
    </row>
    <row r="1589" spans="1:16" ht="12.95" customHeight="1" x14ac:dyDescent="0.2">
      <c r="A1589" s="2" t="s">
        <v>75</v>
      </c>
      <c r="B1589" s="2" t="s">
        <v>42</v>
      </c>
      <c r="C1589" s="2" t="s">
        <v>334</v>
      </c>
      <c r="D1589" s="2" t="s">
        <v>1244</v>
      </c>
      <c r="E1589" s="3" t="s">
        <v>543</v>
      </c>
      <c r="F1589" s="2" t="s">
        <v>46</v>
      </c>
      <c r="G1589" s="2" t="s">
        <v>544</v>
      </c>
      <c r="H1589" s="2" t="s">
        <v>48</v>
      </c>
      <c r="I1589" s="13"/>
      <c r="J1589" s="2" t="s">
        <v>48</v>
      </c>
      <c r="K1589" s="2" t="s">
        <v>397</v>
      </c>
      <c r="L1589" s="2" t="s">
        <v>397</v>
      </c>
      <c r="M1589" s="2" t="s">
        <v>318</v>
      </c>
      <c r="N1589" s="2"/>
      <c r="O1589" s="2"/>
      <c r="P1589" s="2"/>
    </row>
    <row r="1590" spans="1:16" ht="12.95" customHeight="1" x14ac:dyDescent="0.2">
      <c r="A1590" s="2" t="s">
        <v>81</v>
      </c>
      <c r="B1590" s="2" t="s">
        <v>42</v>
      </c>
      <c r="C1590" s="2" t="s">
        <v>299</v>
      </c>
      <c r="D1590" s="2" t="s">
        <v>1245</v>
      </c>
      <c r="E1590" s="3" t="s">
        <v>661</v>
      </c>
      <c r="F1590" s="2" t="s">
        <v>46</v>
      </c>
      <c r="G1590" s="2" t="s">
        <v>100</v>
      </c>
      <c r="H1590" s="2" t="s">
        <v>48</v>
      </c>
      <c r="I1590" s="13"/>
      <c r="J1590" s="2" t="s">
        <v>48</v>
      </c>
      <c r="K1590" s="2" t="s">
        <v>560</v>
      </c>
      <c r="L1590" s="2" t="s">
        <v>560</v>
      </c>
      <c r="M1590" s="2" t="s">
        <v>282</v>
      </c>
      <c r="N1590" s="2"/>
      <c r="O1590" s="2"/>
      <c r="P1590" s="2"/>
    </row>
    <row r="1591" spans="1:16" ht="12.95" customHeight="1" x14ac:dyDescent="0.2">
      <c r="A1591" s="4" t="s">
        <v>87</v>
      </c>
      <c r="B1591" s="4" t="s">
        <v>31</v>
      </c>
      <c r="C1591" s="4"/>
      <c r="D1591" s="4"/>
      <c r="E1591" s="3"/>
      <c r="F1591" s="4"/>
      <c r="G1591" s="4"/>
      <c r="H1591" s="4"/>
      <c r="I1591" s="35"/>
      <c r="J1591" s="4"/>
      <c r="K1591" s="4"/>
      <c r="L1591" s="4"/>
      <c r="M1591" s="4"/>
      <c r="N1591" s="4"/>
      <c r="O1591" s="4"/>
      <c r="P1591" s="4"/>
    </row>
    <row r="1592" spans="1:16" ht="12.95" customHeight="1" x14ac:dyDescent="0.2">
      <c r="A1592" s="4" t="s">
        <v>88</v>
      </c>
      <c r="B1592" s="4" t="s">
        <v>31</v>
      </c>
      <c r="C1592" s="4"/>
      <c r="D1592" s="4"/>
      <c r="E1592" s="3"/>
      <c r="F1592" s="4"/>
      <c r="G1592" s="4"/>
      <c r="H1592" s="4"/>
      <c r="I1592" s="35"/>
      <c r="J1592" s="4"/>
      <c r="K1592" s="4"/>
      <c r="L1592" s="4"/>
      <c r="M1592" s="4"/>
      <c r="N1592" s="4"/>
      <c r="O1592" s="4"/>
      <c r="P1592" s="4"/>
    </row>
    <row r="1593" spans="1:16" x14ac:dyDescent="0.2">
      <c r="A1593" s="4" t="s">
        <v>33</v>
      </c>
      <c r="B1593" s="4" t="s">
        <v>34</v>
      </c>
      <c r="C1593" s="4" t="s">
        <v>34</v>
      </c>
      <c r="D1593" s="4" t="s">
        <v>34</v>
      </c>
      <c r="E1593" s="4" t="s">
        <v>1246</v>
      </c>
      <c r="F1593" s="4" t="s">
        <v>90</v>
      </c>
      <c r="G1593" s="4" t="s">
        <v>1247</v>
      </c>
      <c r="H1593" s="4" t="s">
        <v>92</v>
      </c>
      <c r="I1593" s="35"/>
      <c r="J1593" s="4" t="s">
        <v>92</v>
      </c>
      <c r="K1593" s="4" t="s">
        <v>79</v>
      </c>
      <c r="L1593" s="4" t="s">
        <v>79</v>
      </c>
      <c r="M1593" s="4" t="s">
        <v>1094</v>
      </c>
      <c r="N1593" s="4"/>
      <c r="O1593" s="4"/>
      <c r="P1593" s="4"/>
    </row>
    <row r="1594" spans="1:16" ht="12.95" customHeight="1" x14ac:dyDescent="0.2">
      <c r="A1594" s="2" t="s">
        <v>97</v>
      </c>
      <c r="B1594" s="2" t="s">
        <v>42</v>
      </c>
      <c r="C1594" s="2" t="s">
        <v>304</v>
      </c>
      <c r="D1594" s="2" t="s">
        <v>1248</v>
      </c>
      <c r="E1594" s="3" t="s">
        <v>1249</v>
      </c>
      <c r="F1594" s="2" t="s">
        <v>46</v>
      </c>
      <c r="G1594" s="2" t="s">
        <v>1250</v>
      </c>
      <c r="H1594" s="2" t="s">
        <v>48</v>
      </c>
      <c r="I1594" s="13"/>
      <c r="J1594" s="2" t="s">
        <v>48</v>
      </c>
      <c r="K1594" s="2" t="s">
        <v>324</v>
      </c>
      <c r="L1594" s="2" t="s">
        <v>324</v>
      </c>
      <c r="M1594" s="2" t="s">
        <v>212</v>
      </c>
      <c r="N1594" s="2"/>
      <c r="O1594" s="2"/>
      <c r="P1594" s="2"/>
    </row>
    <row r="1595" spans="1:16" ht="12.95" customHeight="1" x14ac:dyDescent="0.2">
      <c r="A1595" s="2" t="s">
        <v>104</v>
      </c>
      <c r="B1595" s="2" t="s">
        <v>42</v>
      </c>
      <c r="C1595" s="2" t="s">
        <v>1251</v>
      </c>
      <c r="D1595" s="2" t="s">
        <v>1252</v>
      </c>
      <c r="E1595" s="3" t="s">
        <v>1253</v>
      </c>
      <c r="F1595" s="2" t="s">
        <v>46</v>
      </c>
      <c r="G1595" s="2" t="s">
        <v>1254</v>
      </c>
      <c r="H1595" s="2" t="s">
        <v>108</v>
      </c>
      <c r="I1595" s="13"/>
      <c r="J1595" s="2" t="s">
        <v>48</v>
      </c>
      <c r="K1595" s="2" t="s">
        <v>137</v>
      </c>
      <c r="L1595" s="2" t="s">
        <v>132</v>
      </c>
      <c r="M1595" s="2" t="s">
        <v>287</v>
      </c>
      <c r="N1595" s="2"/>
      <c r="O1595" s="2"/>
      <c r="P1595" s="2"/>
    </row>
    <row r="1596" spans="1:16" ht="12.95" customHeight="1" x14ac:dyDescent="0.2">
      <c r="A1596" s="2" t="s">
        <v>112</v>
      </c>
      <c r="B1596" s="2" t="s">
        <v>22</v>
      </c>
      <c r="C1596" s="2" t="s">
        <v>366</v>
      </c>
      <c r="D1596" s="2" t="s">
        <v>1255</v>
      </c>
      <c r="E1596" s="3" t="s">
        <v>661</v>
      </c>
      <c r="F1596" s="2" t="s">
        <v>46</v>
      </c>
      <c r="G1596" s="2" t="s">
        <v>100</v>
      </c>
      <c r="H1596" s="2" t="s">
        <v>113</v>
      </c>
      <c r="I1596" s="13"/>
      <c r="J1596" s="2" t="s">
        <v>113</v>
      </c>
      <c r="K1596" s="2" t="s">
        <v>686</v>
      </c>
      <c r="L1596" s="2" t="s">
        <v>686</v>
      </c>
      <c r="M1596" s="2"/>
      <c r="N1596" s="2" t="s">
        <v>24</v>
      </c>
      <c r="O1596" s="2" t="s">
        <v>111</v>
      </c>
      <c r="P1596" s="2"/>
    </row>
    <row r="1597" spans="1:16" ht="12.95" customHeight="1" x14ac:dyDescent="0.2">
      <c r="A1597" s="2" t="s">
        <v>114</v>
      </c>
      <c r="B1597" s="2" t="s">
        <v>27</v>
      </c>
      <c r="C1597" s="2"/>
      <c r="D1597" s="2"/>
      <c r="E1597" s="3"/>
      <c r="F1597" s="2"/>
      <c r="G1597" s="2"/>
      <c r="H1597" s="2"/>
      <c r="I1597" s="13"/>
      <c r="J1597" s="2"/>
      <c r="K1597" s="2"/>
      <c r="L1597" s="2"/>
      <c r="M1597" s="2"/>
      <c r="N1597" s="2" t="s">
        <v>28</v>
      </c>
      <c r="O1597" s="2" t="s">
        <v>111</v>
      </c>
      <c r="P1597" s="2"/>
    </row>
    <row r="1598" spans="1:16" ht="12.95" customHeight="1" x14ac:dyDescent="0.2">
      <c r="A1598" s="2" t="s">
        <v>115</v>
      </c>
      <c r="B1598" s="2" t="s">
        <v>42</v>
      </c>
      <c r="C1598" s="2" t="s">
        <v>316</v>
      </c>
      <c r="D1598" s="2" t="s">
        <v>1256</v>
      </c>
      <c r="E1598" s="3" t="s">
        <v>403</v>
      </c>
      <c r="F1598" s="2" t="s">
        <v>46</v>
      </c>
      <c r="G1598" s="2" t="s">
        <v>404</v>
      </c>
      <c r="H1598" s="2" t="s">
        <v>48</v>
      </c>
      <c r="I1598" s="13"/>
      <c r="J1598" s="2" t="s">
        <v>48</v>
      </c>
      <c r="K1598" s="2" t="s">
        <v>60</v>
      </c>
      <c r="L1598" s="2" t="s">
        <v>60</v>
      </c>
      <c r="M1598" s="2" t="s">
        <v>320</v>
      </c>
      <c r="N1598" s="2"/>
      <c r="O1598" s="2"/>
      <c r="P1598" s="2"/>
    </row>
    <row r="1599" spans="1:16" ht="12.95" customHeight="1" x14ac:dyDescent="0.2">
      <c r="A1599" s="4" t="s">
        <v>122</v>
      </c>
      <c r="B1599" s="4" t="s">
        <v>31</v>
      </c>
      <c r="C1599" s="4"/>
      <c r="D1599" s="4"/>
      <c r="E1599" s="3"/>
      <c r="F1599" s="4"/>
      <c r="G1599" s="4"/>
      <c r="H1599" s="4"/>
      <c r="I1599" s="35"/>
      <c r="J1599" s="4"/>
      <c r="K1599" s="4"/>
      <c r="L1599" s="4"/>
      <c r="M1599" s="4"/>
      <c r="N1599" s="4"/>
      <c r="O1599" s="4"/>
      <c r="P1599" s="4"/>
    </row>
    <row r="1600" spans="1:16" ht="12.95" customHeight="1" x14ac:dyDescent="0.2">
      <c r="A1600" s="4" t="s">
        <v>123</v>
      </c>
      <c r="B1600" s="4" t="s">
        <v>31</v>
      </c>
      <c r="C1600" s="4"/>
      <c r="D1600" s="4"/>
      <c r="E1600" s="3"/>
      <c r="F1600" s="4"/>
      <c r="G1600" s="4"/>
      <c r="H1600" s="4"/>
      <c r="I1600" s="35"/>
      <c r="J1600" s="4"/>
      <c r="K1600" s="4"/>
      <c r="L1600" s="4"/>
      <c r="M1600" s="4"/>
      <c r="N1600" s="4"/>
      <c r="O1600" s="4"/>
      <c r="P1600" s="4"/>
    </row>
    <row r="1601" spans="1:16" x14ac:dyDescent="0.2">
      <c r="A1601" s="4" t="s">
        <v>33</v>
      </c>
      <c r="B1601" s="4" t="s">
        <v>34</v>
      </c>
      <c r="C1601" s="4" t="s">
        <v>34</v>
      </c>
      <c r="D1601" s="4" t="s">
        <v>34</v>
      </c>
      <c r="E1601" s="4" t="s">
        <v>1257</v>
      </c>
      <c r="F1601" s="4" t="s">
        <v>272</v>
      </c>
      <c r="G1601" s="4" t="s">
        <v>1258</v>
      </c>
      <c r="H1601" s="4" t="s">
        <v>127</v>
      </c>
      <c r="I1601" s="35"/>
      <c r="J1601" s="4" t="s">
        <v>1259</v>
      </c>
      <c r="K1601" s="4" t="s">
        <v>297</v>
      </c>
      <c r="L1601" s="4" t="s">
        <v>780</v>
      </c>
      <c r="M1601" s="4" t="s">
        <v>432</v>
      </c>
      <c r="N1601" s="4"/>
      <c r="O1601" s="4"/>
      <c r="P1601" s="4"/>
    </row>
    <row r="1602" spans="1:16" ht="12.95" customHeight="1" x14ac:dyDescent="0.2">
      <c r="A1602" s="2" t="s">
        <v>131</v>
      </c>
      <c r="B1602" s="2" t="s">
        <v>42</v>
      </c>
      <c r="C1602" s="2" t="s">
        <v>907</v>
      </c>
      <c r="D1602" s="2" t="s">
        <v>1260</v>
      </c>
      <c r="E1602" s="3" t="s">
        <v>538</v>
      </c>
      <c r="F1602" s="2" t="s">
        <v>46</v>
      </c>
      <c r="G1602" s="2" t="s">
        <v>276</v>
      </c>
      <c r="H1602" s="2" t="s">
        <v>48</v>
      </c>
      <c r="I1602" s="13"/>
      <c r="J1602" s="2" t="s">
        <v>48</v>
      </c>
      <c r="K1602" s="2" t="s">
        <v>539</v>
      </c>
      <c r="L1602" s="2" t="s">
        <v>539</v>
      </c>
      <c r="M1602" s="2" t="s">
        <v>347</v>
      </c>
      <c r="N1602" s="2"/>
      <c r="O1602" s="2"/>
      <c r="P1602" s="2"/>
    </row>
    <row r="1603" spans="1:16" ht="12.95" customHeight="1" x14ac:dyDescent="0.2">
      <c r="A1603" s="2" t="s">
        <v>138</v>
      </c>
      <c r="B1603" s="2" t="s">
        <v>42</v>
      </c>
      <c r="C1603" s="2" t="s">
        <v>299</v>
      </c>
      <c r="D1603" s="2" t="s">
        <v>1261</v>
      </c>
      <c r="E1603" s="3" t="s">
        <v>1200</v>
      </c>
      <c r="F1603" s="2" t="s">
        <v>46</v>
      </c>
      <c r="G1603" s="2" t="s">
        <v>45</v>
      </c>
      <c r="H1603" s="2" t="s">
        <v>48</v>
      </c>
      <c r="I1603" s="13"/>
      <c r="J1603" s="2" t="s">
        <v>48</v>
      </c>
      <c r="K1603" s="2" t="s">
        <v>50</v>
      </c>
      <c r="L1603" s="2" t="s">
        <v>50</v>
      </c>
      <c r="M1603" s="2" t="s">
        <v>282</v>
      </c>
      <c r="N1603" s="2"/>
      <c r="O1603" s="2"/>
      <c r="P1603" s="2"/>
    </row>
    <row r="1604" spans="1:16" ht="12.95" customHeight="1" x14ac:dyDescent="0.2">
      <c r="A1604" s="2" t="s">
        <v>143</v>
      </c>
      <c r="B1604" s="2" t="s">
        <v>42</v>
      </c>
      <c r="C1604" s="2" t="s">
        <v>334</v>
      </c>
      <c r="D1604" s="2" t="s">
        <v>1262</v>
      </c>
      <c r="E1604" s="3" t="s">
        <v>845</v>
      </c>
      <c r="F1604" s="2" t="s">
        <v>46</v>
      </c>
      <c r="G1604" s="2" t="s">
        <v>516</v>
      </c>
      <c r="H1604" s="2" t="s">
        <v>48</v>
      </c>
      <c r="I1604" s="13"/>
      <c r="J1604" s="2" t="s">
        <v>48</v>
      </c>
      <c r="K1604" s="2" t="s">
        <v>46</v>
      </c>
      <c r="L1604" s="2" t="s">
        <v>46</v>
      </c>
      <c r="M1604" s="2" t="s">
        <v>318</v>
      </c>
      <c r="N1604" s="2"/>
      <c r="O1604" s="2"/>
      <c r="P1604" s="2"/>
    </row>
    <row r="1605" spans="1:16" ht="12.95" customHeight="1" x14ac:dyDescent="0.2">
      <c r="A1605" s="2" t="s">
        <v>148</v>
      </c>
      <c r="B1605" s="2" t="s">
        <v>42</v>
      </c>
      <c r="C1605" s="2" t="s">
        <v>1095</v>
      </c>
      <c r="D1605" s="2" t="s">
        <v>1245</v>
      </c>
      <c r="E1605" s="3" t="s">
        <v>306</v>
      </c>
      <c r="F1605" s="2" t="s">
        <v>46</v>
      </c>
      <c r="G1605" s="2" t="s">
        <v>307</v>
      </c>
      <c r="H1605" s="2" t="s">
        <v>48</v>
      </c>
      <c r="I1605" s="13"/>
      <c r="J1605" s="2" t="s">
        <v>48</v>
      </c>
      <c r="K1605" s="2" t="s">
        <v>232</v>
      </c>
      <c r="L1605" s="2" t="s">
        <v>232</v>
      </c>
      <c r="M1605" s="2" t="s">
        <v>46</v>
      </c>
      <c r="N1605" s="2"/>
      <c r="O1605" s="2"/>
      <c r="P1605" s="2"/>
    </row>
    <row r="1606" spans="1:16" ht="12.95" customHeight="1" x14ac:dyDescent="0.2">
      <c r="A1606" s="2" t="s">
        <v>155</v>
      </c>
      <c r="B1606" s="2" t="s">
        <v>42</v>
      </c>
      <c r="C1606" s="2" t="s">
        <v>304</v>
      </c>
      <c r="D1606" s="2" t="s">
        <v>1244</v>
      </c>
      <c r="E1606" s="3" t="s">
        <v>488</v>
      </c>
      <c r="F1606" s="2" t="s">
        <v>46</v>
      </c>
      <c r="G1606" s="2" t="s">
        <v>817</v>
      </c>
      <c r="H1606" s="2" t="s">
        <v>48</v>
      </c>
      <c r="I1606" s="13"/>
      <c r="J1606" s="2" t="s">
        <v>48</v>
      </c>
      <c r="K1606" s="2" t="s">
        <v>240</v>
      </c>
      <c r="L1606" s="2" t="s">
        <v>240</v>
      </c>
      <c r="M1606" s="2" t="s">
        <v>212</v>
      </c>
      <c r="N1606" s="2"/>
      <c r="O1606" s="2"/>
      <c r="P1606" s="2"/>
    </row>
    <row r="1607" spans="1:16" ht="12.95" customHeight="1" x14ac:dyDescent="0.2">
      <c r="A1607" s="8" t="s">
        <v>161</v>
      </c>
      <c r="B1607" s="8"/>
      <c r="C1607" s="8"/>
      <c r="D1607" s="8"/>
      <c r="E1607" s="5" t="s">
        <v>1263</v>
      </c>
      <c r="F1607" s="5" t="s">
        <v>227</v>
      </c>
      <c r="G1607" s="5" t="s">
        <v>1264</v>
      </c>
      <c r="H1607" s="5" t="s">
        <v>165</v>
      </c>
      <c r="I1607" s="36" t="s">
        <v>319</v>
      </c>
      <c r="J1607" s="5" t="s">
        <v>1172</v>
      </c>
      <c r="K1607" s="5" t="s">
        <v>1265</v>
      </c>
      <c r="L1607" s="5" t="s">
        <v>1266</v>
      </c>
      <c r="M1607" s="5" t="s">
        <v>1002</v>
      </c>
      <c r="N1607" s="5"/>
      <c r="O1607" s="5"/>
      <c r="P1607" s="5"/>
    </row>
    <row r="1608" spans="1:16" ht="12.95" customHeight="1" x14ac:dyDescent="0.2">
      <c r="A1608" s="8" t="s">
        <v>171</v>
      </c>
      <c r="B1608" s="8"/>
      <c r="C1608" s="8"/>
      <c r="D1608" s="8"/>
      <c r="E1608" s="5" t="s">
        <v>1263</v>
      </c>
      <c r="F1608" s="5" t="s">
        <v>227</v>
      </c>
      <c r="G1608" s="5" t="s">
        <v>1264</v>
      </c>
      <c r="H1608" s="5" t="s">
        <v>165</v>
      </c>
      <c r="I1608" s="36" t="s">
        <v>296</v>
      </c>
      <c r="J1608" s="5" t="s">
        <v>1172</v>
      </c>
      <c r="K1608" s="5" t="s">
        <v>1265</v>
      </c>
      <c r="L1608" s="5" t="s">
        <v>1266</v>
      </c>
      <c r="M1608" s="5" t="s">
        <v>1002</v>
      </c>
      <c r="N1608" s="5"/>
      <c r="O1608" s="5"/>
      <c r="P1608" s="5"/>
    </row>
    <row r="1609" spans="1:16" ht="12.95" customHeight="1" x14ac:dyDescent="0.2">
      <c r="A1609" s="8" t="s">
        <v>173</v>
      </c>
      <c r="B1609" s="8"/>
      <c r="C1609" s="8"/>
      <c r="D1609" s="8"/>
      <c r="E1609" s="5">
        <v>142.61000000000001</v>
      </c>
      <c r="F1609" s="5">
        <v>7.5</v>
      </c>
      <c r="G1609" s="5">
        <v>135.11000000000001</v>
      </c>
      <c r="H1609" s="5">
        <v>118.8</v>
      </c>
      <c r="I1609" s="36">
        <v>0</v>
      </c>
      <c r="J1609" s="5">
        <v>125</v>
      </c>
      <c r="K1609" s="5">
        <v>10.11</v>
      </c>
      <c r="L1609" s="5">
        <v>17.11</v>
      </c>
      <c r="M1609" s="5">
        <v>11.25</v>
      </c>
      <c r="N1609" s="5"/>
      <c r="O1609" s="5"/>
      <c r="P1609" s="5"/>
    </row>
    <row r="1610" spans="1:16" x14ac:dyDescent="0.2">
      <c r="I1610" s="37"/>
    </row>
    <row r="1611" spans="1:16" ht="12.95" customHeight="1" x14ac:dyDescent="0.2">
      <c r="A1611" s="9" t="s">
        <v>174</v>
      </c>
      <c r="B1611" s="9"/>
      <c r="C1611" s="9"/>
      <c r="E1611" s="9" t="s">
        <v>180</v>
      </c>
      <c r="F1611" s="9"/>
      <c r="G1611" s="9"/>
      <c r="I1611" s="9" t="s">
        <v>181</v>
      </c>
      <c r="J1611" s="9"/>
      <c r="K1611" s="9"/>
    </row>
    <row r="1612" spans="1:16" ht="12.95" customHeight="1" x14ac:dyDescent="0.2">
      <c r="A1612" s="10" t="s">
        <v>175</v>
      </c>
      <c r="B1612" s="10"/>
      <c r="C1612" s="6">
        <v>15</v>
      </c>
      <c r="E1612" s="10" t="s">
        <v>14</v>
      </c>
      <c r="F1612" s="10"/>
      <c r="G1612" s="6">
        <v>125</v>
      </c>
      <c r="I1612" s="10" t="s">
        <v>264</v>
      </c>
      <c r="J1612" s="10"/>
      <c r="K1612" s="43">
        <v>2</v>
      </c>
    </row>
    <row r="1613" spans="1:16" ht="12.95" customHeight="1" x14ac:dyDescent="0.2">
      <c r="A1613" s="10" t="s">
        <v>1531</v>
      </c>
      <c r="B1613" s="10"/>
      <c r="C1613" s="6">
        <v>22</v>
      </c>
      <c r="E1613" s="10" t="s">
        <v>15</v>
      </c>
      <c r="F1613" s="10"/>
      <c r="G1613" s="6">
        <v>10.11</v>
      </c>
      <c r="I1613" s="10" t="s">
        <v>27</v>
      </c>
      <c r="J1613" s="10"/>
      <c r="K1613" s="26">
        <v>3</v>
      </c>
    </row>
    <row r="1614" spans="1:16" ht="12.95" customHeight="1" x14ac:dyDescent="0.2">
      <c r="A1614" s="10" t="s">
        <v>176</v>
      </c>
      <c r="B1614" s="10"/>
      <c r="C1614" s="6">
        <v>142.61000000000001</v>
      </c>
      <c r="I1614" s="10" t="s">
        <v>22</v>
      </c>
      <c r="J1614" s="10"/>
      <c r="K1614" s="26">
        <v>2</v>
      </c>
    </row>
    <row r="1615" spans="1:16" ht="12.95" customHeight="1" x14ac:dyDescent="0.2">
      <c r="A1615" s="10" t="s">
        <v>177</v>
      </c>
      <c r="B1615" s="10"/>
      <c r="C1615" s="6">
        <v>118.8</v>
      </c>
      <c r="I1615" s="39" t="s">
        <v>1591</v>
      </c>
      <c r="J1615" s="19"/>
      <c r="K1615" s="20">
        <v>1</v>
      </c>
    </row>
    <row r="1616" spans="1:16" ht="12.95" customHeight="1" x14ac:dyDescent="0.2">
      <c r="A1616" s="10" t="s">
        <v>11</v>
      </c>
      <c r="B1616" s="10"/>
      <c r="C1616" s="6">
        <v>135.11000000000001</v>
      </c>
      <c r="I1616" s="39" t="s">
        <v>1592</v>
      </c>
      <c r="J1616" s="19"/>
      <c r="K1616" s="20">
        <v>0</v>
      </c>
    </row>
    <row r="1617" spans="1:17" ht="12.95" customHeight="1" x14ac:dyDescent="0.25">
      <c r="A1617" s="10" t="s">
        <v>178</v>
      </c>
      <c r="B1617" s="10"/>
      <c r="C1617" s="30">
        <v>0.8</v>
      </c>
      <c r="I1617" s="41" t="s">
        <v>1593</v>
      </c>
      <c r="J1617" s="40"/>
      <c r="K1617" s="42">
        <f>K1612+K1615+K1616</f>
        <v>3</v>
      </c>
    </row>
    <row r="1618" spans="1:17" ht="12.95" customHeight="1" x14ac:dyDescent="0.2">
      <c r="A1618" s="28" t="s">
        <v>1571</v>
      </c>
      <c r="B1618" s="27"/>
      <c r="C1618" s="31">
        <v>-0.8</v>
      </c>
    </row>
    <row r="1619" spans="1:17" ht="12.95" customHeight="1" x14ac:dyDescent="0.2">
      <c r="A1619" s="29" t="s">
        <v>1572</v>
      </c>
      <c r="B1619" s="29"/>
      <c r="C1619" s="32">
        <f>C1617+C1618</f>
        <v>0</v>
      </c>
    </row>
    <row r="1620" spans="1:17" x14ac:dyDescent="0.2">
      <c r="A1620" s="10" t="s">
        <v>10</v>
      </c>
      <c r="B1620" s="10"/>
      <c r="C1620" s="6">
        <v>7.5</v>
      </c>
    </row>
    <row r="1621" spans="1:17" x14ac:dyDescent="0.2">
      <c r="A1621" t="s">
        <v>1615</v>
      </c>
      <c r="C1621" cm="1">
        <f t="array" ref="C1621">IFERROR(SUMPRODUCT((ISNUMBER(SEARCH("מילואים",N1573:N1610))+ISNUMBER(SEARCH("מילואים",O1573:O1610))&gt;0)*(C1573:C1610&lt;&gt;"")*(J1573:J1610+0))*24,0)</f>
        <v>0</v>
      </c>
    </row>
    <row r="1622" spans="1:17" ht="12.95" customHeight="1" x14ac:dyDescent="0.2">
      <c r="A1622" s="7" t="s">
        <v>1267</v>
      </c>
      <c r="B1622" s="7"/>
      <c r="C1622" s="7"/>
      <c r="D1622" s="7" t="s">
        <v>1</v>
      </c>
      <c r="E1622" s="7"/>
      <c r="F1622" s="7"/>
      <c r="G1622" s="7"/>
      <c r="H1622" s="7" t="s">
        <v>1237</v>
      </c>
      <c r="I1622" s="7"/>
      <c r="J1622" s="7"/>
      <c r="K1622" s="7"/>
      <c r="L1622" s="7"/>
      <c r="M1622" s="7"/>
      <c r="N1622" s="7"/>
      <c r="O1622" s="103"/>
      <c r="P1622" s="7"/>
      <c r="Q1622" s="7"/>
    </row>
    <row r="1623" spans="1:17" ht="12.95" customHeight="1" x14ac:dyDescent="0.2">
      <c r="A1623" s="7" t="s">
        <v>3</v>
      </c>
      <c r="B1623" s="7"/>
      <c r="C1623" s="7"/>
      <c r="D1623" s="7"/>
      <c r="E1623" s="7"/>
      <c r="F1623" s="7">
        <v>106</v>
      </c>
      <c r="G1623" s="7"/>
      <c r="H1623" s="7" t="s">
        <v>4</v>
      </c>
      <c r="I1623" s="7"/>
      <c r="J1623" s="7"/>
      <c r="K1623" s="7"/>
      <c r="L1623" s="7"/>
      <c r="M1623" s="7"/>
      <c r="N1623" s="7"/>
      <c r="O1623" s="7"/>
      <c r="P1623" s="7"/>
      <c r="Q1623" s="7"/>
    </row>
    <row r="1624" spans="1:17" ht="22.5" customHeight="1" x14ac:dyDescent="0.2">
      <c r="A1624" s="1" t="s">
        <v>5</v>
      </c>
      <c r="B1624" s="1" t="s">
        <v>6</v>
      </c>
      <c r="C1624" s="1" t="s">
        <v>7</v>
      </c>
      <c r="D1624" s="1" t="s">
        <v>8</v>
      </c>
      <c r="E1624" s="1" t="s">
        <v>9</v>
      </c>
      <c r="F1624" s="1" t="s">
        <v>10</v>
      </c>
      <c r="G1624" s="1" t="s">
        <v>11</v>
      </c>
      <c r="H1624" s="1" t="s">
        <v>12</v>
      </c>
      <c r="I1624" s="1" t="s">
        <v>13</v>
      </c>
      <c r="J1624" s="1" t="s">
        <v>14</v>
      </c>
      <c r="K1624" s="1" t="s">
        <v>15</v>
      </c>
      <c r="L1624" s="1" t="s">
        <v>267</v>
      </c>
      <c r="M1624" s="1" t="s">
        <v>16</v>
      </c>
      <c r="N1624" s="1" t="s">
        <v>17</v>
      </c>
      <c r="O1624" s="1" t="s">
        <v>18</v>
      </c>
      <c r="P1624" s="1" t="s">
        <v>19</v>
      </c>
      <c r="Q1624" s="1" t="s">
        <v>20</v>
      </c>
    </row>
    <row r="1625" spans="1:17" ht="12.95" customHeight="1" x14ac:dyDescent="0.2">
      <c r="A1625" s="2" t="s">
        <v>21</v>
      </c>
      <c r="B1625" s="2" t="s">
        <v>22</v>
      </c>
      <c r="C1625" s="2"/>
      <c r="D1625" s="2"/>
      <c r="E1625" s="3"/>
      <c r="F1625" s="2"/>
      <c r="G1625" s="2"/>
      <c r="H1625" s="2" t="s">
        <v>23</v>
      </c>
      <c r="I1625" s="12" t="s">
        <v>23</v>
      </c>
      <c r="J1625" s="2"/>
      <c r="K1625" s="2"/>
      <c r="L1625" s="2"/>
      <c r="M1625" s="2"/>
      <c r="N1625" s="2"/>
      <c r="O1625" s="2" t="s">
        <v>24</v>
      </c>
      <c r="P1625" s="2" t="s">
        <v>25</v>
      </c>
      <c r="Q1625" s="2"/>
    </row>
    <row r="1626" spans="1:17" ht="12.95" customHeight="1" x14ac:dyDescent="0.2">
      <c r="A1626" s="2" t="s">
        <v>26</v>
      </c>
      <c r="B1626" s="2" t="s">
        <v>27</v>
      </c>
      <c r="C1626" s="2"/>
      <c r="D1626" s="2"/>
      <c r="E1626" s="3"/>
      <c r="F1626" s="2"/>
      <c r="G1626" s="2"/>
      <c r="H1626" s="2"/>
      <c r="I1626" s="13"/>
      <c r="J1626" s="2"/>
      <c r="K1626" s="2"/>
      <c r="L1626" s="2"/>
      <c r="M1626" s="2"/>
      <c r="N1626" s="2"/>
      <c r="O1626" s="2" t="s">
        <v>28</v>
      </c>
      <c r="P1626" s="2" t="s">
        <v>29</v>
      </c>
      <c r="Q1626" s="2"/>
    </row>
    <row r="1627" spans="1:17" ht="12.95" customHeight="1" x14ac:dyDescent="0.2">
      <c r="A1627" s="4" t="s">
        <v>30</v>
      </c>
      <c r="B1627" s="4" t="s">
        <v>31</v>
      </c>
      <c r="C1627" s="4"/>
      <c r="D1627" s="4"/>
      <c r="E1627" s="3"/>
      <c r="F1627" s="4"/>
      <c r="G1627" s="4"/>
      <c r="H1627" s="4"/>
      <c r="I1627" s="35"/>
      <c r="J1627" s="4"/>
      <c r="K1627" s="4"/>
      <c r="L1627" s="4"/>
      <c r="M1627" s="4"/>
      <c r="N1627" s="4"/>
      <c r="O1627" s="4"/>
      <c r="P1627" s="4"/>
      <c r="Q1627" s="4"/>
    </row>
    <row r="1628" spans="1:17" ht="12.95" customHeight="1" x14ac:dyDescent="0.2">
      <c r="A1628" s="4" t="s">
        <v>32</v>
      </c>
      <c r="B1628" s="4" t="s">
        <v>31</v>
      </c>
      <c r="C1628" s="4"/>
      <c r="D1628" s="4"/>
      <c r="E1628" s="3"/>
      <c r="F1628" s="4"/>
      <c r="G1628" s="4"/>
      <c r="H1628" s="4"/>
      <c r="I1628" s="35"/>
      <c r="J1628" s="4"/>
      <c r="K1628" s="4"/>
      <c r="L1628" s="4"/>
      <c r="M1628" s="4"/>
      <c r="N1628" s="4"/>
      <c r="O1628" s="4"/>
      <c r="P1628" s="4"/>
      <c r="Q1628" s="4"/>
    </row>
    <row r="1629" spans="1:17" x14ac:dyDescent="0.2">
      <c r="A1629" s="4" t="s">
        <v>33</v>
      </c>
      <c r="B1629" s="4" t="s">
        <v>34</v>
      </c>
      <c r="C1629" s="4" t="s">
        <v>34</v>
      </c>
      <c r="D1629" s="4" t="s">
        <v>34</v>
      </c>
      <c r="E1629" s="4"/>
      <c r="F1629" s="4"/>
      <c r="G1629" s="4"/>
      <c r="H1629" s="4" t="s">
        <v>23</v>
      </c>
      <c r="I1629" s="35" t="s">
        <v>23</v>
      </c>
      <c r="J1629" s="4"/>
      <c r="K1629" s="4"/>
      <c r="L1629" s="4"/>
      <c r="M1629" s="4"/>
      <c r="N1629" s="4"/>
      <c r="O1629" s="4"/>
      <c r="P1629" s="4"/>
      <c r="Q1629" s="4"/>
    </row>
    <row r="1630" spans="1:17" ht="12.95" customHeight="1" x14ac:dyDescent="0.2">
      <c r="A1630" s="2" t="s">
        <v>35</v>
      </c>
      <c r="B1630" s="2" t="s">
        <v>36</v>
      </c>
      <c r="C1630" s="2"/>
      <c r="D1630" s="2"/>
      <c r="E1630" s="3"/>
      <c r="F1630" s="2"/>
      <c r="G1630" s="2"/>
      <c r="H1630" s="2"/>
      <c r="I1630" s="13"/>
      <c r="J1630" s="2"/>
      <c r="K1630" s="2"/>
      <c r="L1630" s="2"/>
      <c r="M1630" s="2"/>
      <c r="N1630" s="2"/>
      <c r="O1630" s="2" t="s">
        <v>1011</v>
      </c>
      <c r="P1630" s="2"/>
      <c r="Q1630" s="2"/>
    </row>
    <row r="1631" spans="1:17" ht="12.95" customHeight="1" x14ac:dyDescent="0.2">
      <c r="A1631" s="2" t="s">
        <v>38</v>
      </c>
      <c r="B1631" s="2" t="s">
        <v>36</v>
      </c>
      <c r="C1631" s="2"/>
      <c r="D1631" s="2"/>
      <c r="E1631" s="3"/>
      <c r="F1631" s="2"/>
      <c r="G1631" s="2"/>
      <c r="H1631" s="2"/>
      <c r="I1631" s="13"/>
      <c r="J1631" s="2"/>
      <c r="K1631" s="2"/>
      <c r="L1631" s="2"/>
      <c r="M1631" s="2"/>
      <c r="N1631" s="2"/>
      <c r="O1631" s="2" t="s">
        <v>1011</v>
      </c>
      <c r="P1631" s="2"/>
      <c r="Q1631" s="2"/>
    </row>
    <row r="1632" spans="1:17" ht="12.95" customHeight="1" x14ac:dyDescent="0.2">
      <c r="A1632" s="2" t="s">
        <v>39</v>
      </c>
      <c r="B1632" s="2" t="s">
        <v>22</v>
      </c>
      <c r="C1632" s="2"/>
      <c r="D1632" s="2"/>
      <c r="E1632" s="3"/>
      <c r="F1632" s="2"/>
      <c r="G1632" s="2"/>
      <c r="H1632" s="2"/>
      <c r="I1632" s="13"/>
      <c r="J1632" s="2"/>
      <c r="K1632" s="2"/>
      <c r="L1632" s="2"/>
      <c r="M1632" s="2"/>
      <c r="N1632" s="2"/>
      <c r="O1632" s="2" t="s">
        <v>1011</v>
      </c>
      <c r="P1632" s="2" t="s">
        <v>25</v>
      </c>
      <c r="Q1632" s="2"/>
    </row>
    <row r="1633" spans="1:17" ht="12.95" customHeight="1" x14ac:dyDescent="0.2">
      <c r="A1633" s="2" t="s">
        <v>40</v>
      </c>
      <c r="B1633" s="2" t="s">
        <v>27</v>
      </c>
      <c r="C1633" s="2"/>
      <c r="D1633" s="2"/>
      <c r="E1633" s="3"/>
      <c r="F1633" s="2"/>
      <c r="G1633" s="2"/>
      <c r="H1633" s="2"/>
      <c r="I1633" s="13"/>
      <c r="J1633" s="2"/>
      <c r="K1633" s="2"/>
      <c r="L1633" s="2"/>
      <c r="M1633" s="2"/>
      <c r="N1633" s="2"/>
      <c r="O1633" s="2" t="s">
        <v>28</v>
      </c>
      <c r="P1633" s="2" t="s">
        <v>25</v>
      </c>
      <c r="Q1633" s="2"/>
    </row>
    <row r="1634" spans="1:17" ht="12.95" customHeight="1" x14ac:dyDescent="0.2">
      <c r="A1634" s="2" t="s">
        <v>41</v>
      </c>
      <c r="B1634" s="2" t="s">
        <v>42</v>
      </c>
      <c r="C1634" s="2"/>
      <c r="D1634" s="2"/>
      <c r="E1634" s="3"/>
      <c r="F1634" s="2"/>
      <c r="G1634" s="2"/>
      <c r="H1634" s="2"/>
      <c r="I1634" s="13"/>
      <c r="J1634" s="2"/>
      <c r="K1634" s="2"/>
      <c r="L1634" s="2"/>
      <c r="M1634" s="2"/>
      <c r="N1634" s="2"/>
      <c r="O1634" s="2" t="s">
        <v>1011</v>
      </c>
      <c r="P1634" s="2"/>
      <c r="Q1634" s="2"/>
    </row>
    <row r="1635" spans="1:17" ht="12.95" customHeight="1" x14ac:dyDescent="0.2">
      <c r="A1635" s="4" t="s">
        <v>51</v>
      </c>
      <c r="B1635" s="4" t="s">
        <v>31</v>
      </c>
      <c r="C1635" s="4"/>
      <c r="D1635" s="4"/>
      <c r="E1635" s="3"/>
      <c r="F1635" s="4"/>
      <c r="G1635" s="4"/>
      <c r="H1635" s="4"/>
      <c r="I1635" s="35"/>
      <c r="J1635" s="4"/>
      <c r="K1635" s="4"/>
      <c r="L1635" s="4"/>
      <c r="M1635" s="4"/>
      <c r="N1635" s="4"/>
      <c r="O1635" s="4"/>
      <c r="P1635" s="4"/>
      <c r="Q1635" s="4"/>
    </row>
    <row r="1636" spans="1:17" ht="12.95" customHeight="1" x14ac:dyDescent="0.2">
      <c r="A1636" s="4" t="s">
        <v>52</v>
      </c>
      <c r="B1636" s="4" t="s">
        <v>31</v>
      </c>
      <c r="C1636" s="4"/>
      <c r="D1636" s="4"/>
      <c r="E1636" s="3"/>
      <c r="F1636" s="4"/>
      <c r="G1636" s="4"/>
      <c r="H1636" s="4"/>
      <c r="I1636" s="35"/>
      <c r="J1636" s="4"/>
      <c r="K1636" s="4"/>
      <c r="L1636" s="4"/>
      <c r="M1636" s="4"/>
      <c r="N1636" s="4"/>
      <c r="O1636" s="4"/>
      <c r="P1636" s="4"/>
      <c r="Q1636" s="4"/>
    </row>
    <row r="1637" spans="1:17" x14ac:dyDescent="0.2">
      <c r="A1637" s="4" t="s">
        <v>33</v>
      </c>
      <c r="B1637" s="4" t="s">
        <v>34</v>
      </c>
      <c r="C1637" s="4" t="s">
        <v>34</v>
      </c>
      <c r="D1637" s="4" t="s">
        <v>34</v>
      </c>
      <c r="E1637" s="4"/>
      <c r="F1637" s="4"/>
      <c r="G1637" s="4"/>
      <c r="H1637" s="4"/>
      <c r="I1637" s="35"/>
      <c r="J1637" s="4"/>
      <c r="K1637" s="4"/>
      <c r="L1637" s="4"/>
      <c r="M1637" s="4"/>
      <c r="N1637" s="4"/>
      <c r="O1637" s="4"/>
      <c r="P1637" s="4"/>
      <c r="Q1637" s="4"/>
    </row>
    <row r="1638" spans="1:17" ht="12.95" customHeight="1" x14ac:dyDescent="0.2">
      <c r="A1638" s="2" t="s">
        <v>54</v>
      </c>
      <c r="B1638" s="2" t="s">
        <v>42</v>
      </c>
      <c r="C1638" s="2" t="s">
        <v>1039</v>
      </c>
      <c r="D1638" s="2" t="s">
        <v>946</v>
      </c>
      <c r="E1638" s="3" t="s">
        <v>310</v>
      </c>
      <c r="F1638" s="2" t="s">
        <v>46</v>
      </c>
      <c r="G1638" s="2" t="s">
        <v>394</v>
      </c>
      <c r="H1638" s="2" t="s">
        <v>48</v>
      </c>
      <c r="I1638" s="13"/>
      <c r="J1638" s="2" t="s">
        <v>48</v>
      </c>
      <c r="K1638" s="2" t="s">
        <v>395</v>
      </c>
      <c r="L1638" s="2"/>
      <c r="M1638" s="2" t="s">
        <v>395</v>
      </c>
      <c r="N1638" s="2" t="s">
        <v>273</v>
      </c>
      <c r="O1638" s="2"/>
      <c r="P1638" s="2"/>
      <c r="Q1638" s="2"/>
    </row>
    <row r="1639" spans="1:17" ht="12.95" customHeight="1" x14ac:dyDescent="0.2">
      <c r="A1639" s="2" t="s">
        <v>61</v>
      </c>
      <c r="B1639" s="2" t="s">
        <v>42</v>
      </c>
      <c r="C1639" s="2" t="s">
        <v>740</v>
      </c>
      <c r="D1639" s="2" t="s">
        <v>170</v>
      </c>
      <c r="E1639" s="3" t="s">
        <v>533</v>
      </c>
      <c r="F1639" s="2" t="s">
        <v>46</v>
      </c>
      <c r="G1639" s="2" t="s">
        <v>145</v>
      </c>
      <c r="H1639" s="2" t="s">
        <v>48</v>
      </c>
      <c r="I1639" s="13"/>
      <c r="J1639" s="2" t="s">
        <v>48</v>
      </c>
      <c r="K1639" s="2" t="s">
        <v>342</v>
      </c>
      <c r="L1639" s="2"/>
      <c r="M1639" s="2" t="s">
        <v>342</v>
      </c>
      <c r="N1639" s="2" t="s">
        <v>315</v>
      </c>
      <c r="O1639" s="2"/>
      <c r="P1639" s="2"/>
      <c r="Q1639" s="2"/>
    </row>
    <row r="1640" spans="1:17" ht="12.95" customHeight="1" x14ac:dyDescent="0.2">
      <c r="A1640" s="2" t="s">
        <v>68</v>
      </c>
      <c r="B1640" s="2" t="s">
        <v>42</v>
      </c>
      <c r="C1640" s="2" t="s">
        <v>986</v>
      </c>
      <c r="D1640" s="2" t="s">
        <v>1192</v>
      </c>
      <c r="E1640" s="3" t="s">
        <v>327</v>
      </c>
      <c r="F1640" s="2" t="s">
        <v>46</v>
      </c>
      <c r="G1640" s="2" t="s">
        <v>1165</v>
      </c>
      <c r="H1640" s="2" t="s">
        <v>48</v>
      </c>
      <c r="I1640" s="13"/>
      <c r="J1640" s="2" t="s">
        <v>48</v>
      </c>
      <c r="K1640" s="2" t="s">
        <v>66</v>
      </c>
      <c r="L1640" s="2"/>
      <c r="M1640" s="2" t="s">
        <v>66</v>
      </c>
      <c r="N1640" s="2" t="s">
        <v>320</v>
      </c>
      <c r="O1640" s="2"/>
      <c r="P1640" s="2"/>
      <c r="Q1640" s="2"/>
    </row>
    <row r="1641" spans="1:17" ht="12.95" customHeight="1" x14ac:dyDescent="0.2">
      <c r="A1641" s="2" t="s">
        <v>75</v>
      </c>
      <c r="B1641" s="2" t="s">
        <v>42</v>
      </c>
      <c r="C1641" s="2" t="s">
        <v>43</v>
      </c>
      <c r="D1641" s="2" t="s">
        <v>482</v>
      </c>
      <c r="E1641" s="3" t="s">
        <v>688</v>
      </c>
      <c r="F1641" s="2" t="s">
        <v>46</v>
      </c>
      <c r="G1641" s="2" t="s">
        <v>543</v>
      </c>
      <c r="H1641" s="2" t="s">
        <v>48</v>
      </c>
      <c r="I1641" s="13"/>
      <c r="J1641" s="2" t="s">
        <v>48</v>
      </c>
      <c r="K1641" s="2" t="s">
        <v>445</v>
      </c>
      <c r="L1641" s="2"/>
      <c r="M1641" s="2" t="s">
        <v>445</v>
      </c>
      <c r="N1641" s="2" t="s">
        <v>50</v>
      </c>
      <c r="O1641" s="2"/>
      <c r="P1641" s="2"/>
      <c r="Q1641" s="2"/>
    </row>
    <row r="1642" spans="1:17" ht="12.95" customHeight="1" x14ac:dyDescent="0.2">
      <c r="A1642" s="2" t="s">
        <v>81</v>
      </c>
      <c r="B1642" s="2" t="s">
        <v>42</v>
      </c>
      <c r="C1642" s="2" t="s">
        <v>43</v>
      </c>
      <c r="D1642" s="2" t="s">
        <v>1268</v>
      </c>
      <c r="E1642" s="3" t="s">
        <v>413</v>
      </c>
      <c r="F1642" s="2" t="s">
        <v>46</v>
      </c>
      <c r="G1642" s="2" t="s">
        <v>383</v>
      </c>
      <c r="H1642" s="2" t="s">
        <v>48</v>
      </c>
      <c r="I1642" s="13"/>
      <c r="J1642" s="2" t="s">
        <v>48</v>
      </c>
      <c r="K1642" s="2" t="s">
        <v>384</v>
      </c>
      <c r="L1642" s="2"/>
      <c r="M1642" s="2" t="s">
        <v>384</v>
      </c>
      <c r="N1642" s="2" t="s">
        <v>50</v>
      </c>
      <c r="O1642" s="2"/>
      <c r="P1642" s="2"/>
      <c r="Q1642" s="2"/>
    </row>
    <row r="1643" spans="1:17" ht="12.95" customHeight="1" x14ac:dyDescent="0.2">
      <c r="A1643" s="4" t="s">
        <v>87</v>
      </c>
      <c r="B1643" s="4" t="s">
        <v>31</v>
      </c>
      <c r="C1643" s="4"/>
      <c r="D1643" s="4"/>
      <c r="E1643" s="3"/>
      <c r="F1643" s="4"/>
      <c r="G1643" s="4"/>
      <c r="H1643" s="4"/>
      <c r="I1643" s="35"/>
      <c r="J1643" s="4"/>
      <c r="K1643" s="4"/>
      <c r="L1643" s="4"/>
      <c r="M1643" s="4"/>
      <c r="N1643" s="4"/>
      <c r="O1643" s="4"/>
      <c r="P1643" s="4"/>
      <c r="Q1643" s="4"/>
    </row>
    <row r="1644" spans="1:17" ht="12.95" customHeight="1" x14ac:dyDescent="0.2">
      <c r="A1644" s="4" t="s">
        <v>88</v>
      </c>
      <c r="B1644" s="4" t="s">
        <v>31</v>
      </c>
      <c r="C1644" s="4"/>
      <c r="D1644" s="4"/>
      <c r="E1644" s="3"/>
      <c r="F1644" s="4"/>
      <c r="G1644" s="4"/>
      <c r="H1644" s="4"/>
      <c r="I1644" s="35"/>
      <c r="J1644" s="4"/>
      <c r="K1644" s="4"/>
      <c r="L1644" s="4"/>
      <c r="M1644" s="4"/>
      <c r="N1644" s="4"/>
      <c r="O1644" s="4"/>
      <c r="P1644" s="4"/>
      <c r="Q1644" s="4"/>
    </row>
    <row r="1645" spans="1:17" x14ac:dyDescent="0.2">
      <c r="A1645" s="4" t="s">
        <v>33</v>
      </c>
      <c r="B1645" s="4" t="s">
        <v>34</v>
      </c>
      <c r="C1645" s="4" t="s">
        <v>34</v>
      </c>
      <c r="D1645" s="4" t="s">
        <v>34</v>
      </c>
      <c r="E1645" s="4" t="s">
        <v>1269</v>
      </c>
      <c r="F1645" s="4" t="s">
        <v>90</v>
      </c>
      <c r="G1645" s="4" t="s">
        <v>1270</v>
      </c>
      <c r="H1645" s="4" t="s">
        <v>92</v>
      </c>
      <c r="I1645" s="35"/>
      <c r="J1645" s="4" t="s">
        <v>92</v>
      </c>
      <c r="K1645" s="4" t="s">
        <v>495</v>
      </c>
      <c r="L1645" s="4"/>
      <c r="M1645" s="4" t="s">
        <v>495</v>
      </c>
      <c r="N1645" s="4" t="s">
        <v>548</v>
      </c>
      <c r="O1645" s="4"/>
      <c r="P1645" s="4"/>
      <c r="Q1645" s="4"/>
    </row>
    <row r="1646" spans="1:17" ht="12.95" customHeight="1" x14ac:dyDescent="0.2">
      <c r="A1646" s="2" t="s">
        <v>97</v>
      </c>
      <c r="B1646" s="2" t="s">
        <v>42</v>
      </c>
      <c r="C1646" s="2" t="s">
        <v>107</v>
      </c>
      <c r="D1646" s="2" t="s">
        <v>363</v>
      </c>
      <c r="E1646" s="3" t="s">
        <v>420</v>
      </c>
      <c r="F1646" s="2" t="s">
        <v>46</v>
      </c>
      <c r="G1646" s="2" t="s">
        <v>421</v>
      </c>
      <c r="H1646" s="2" t="s">
        <v>48</v>
      </c>
      <c r="I1646" s="13"/>
      <c r="J1646" s="2" t="s">
        <v>48</v>
      </c>
      <c r="K1646" s="2" t="s">
        <v>347</v>
      </c>
      <c r="L1646" s="2"/>
      <c r="M1646" s="2" t="s">
        <v>347</v>
      </c>
      <c r="N1646" s="2" t="s">
        <v>232</v>
      </c>
      <c r="O1646" s="2"/>
      <c r="P1646" s="2"/>
      <c r="Q1646" s="2"/>
    </row>
    <row r="1647" spans="1:17" ht="12.95" customHeight="1" x14ac:dyDescent="0.2">
      <c r="A1647" s="2" t="s">
        <v>104</v>
      </c>
      <c r="B1647" s="2" t="s">
        <v>42</v>
      </c>
      <c r="C1647" s="2" t="s">
        <v>1035</v>
      </c>
      <c r="D1647" s="2" t="s">
        <v>438</v>
      </c>
      <c r="E1647" s="3" t="s">
        <v>685</v>
      </c>
      <c r="F1647" s="2" t="s">
        <v>46</v>
      </c>
      <c r="G1647" s="2" t="s">
        <v>140</v>
      </c>
      <c r="H1647" s="2" t="s">
        <v>48</v>
      </c>
      <c r="I1647" s="13"/>
      <c r="J1647" s="2" t="s">
        <v>48</v>
      </c>
      <c r="K1647" s="2" t="s">
        <v>436</v>
      </c>
      <c r="L1647" s="2"/>
      <c r="M1647" s="2" t="s">
        <v>436</v>
      </c>
      <c r="N1647" s="2" t="s">
        <v>240</v>
      </c>
      <c r="O1647" s="2"/>
      <c r="P1647" s="2" t="s">
        <v>111</v>
      </c>
      <c r="Q1647" s="2"/>
    </row>
    <row r="1648" spans="1:17" ht="12.95" customHeight="1" x14ac:dyDescent="0.2">
      <c r="A1648" s="2" t="s">
        <v>112</v>
      </c>
      <c r="B1648" s="2" t="s">
        <v>22</v>
      </c>
      <c r="C1648" s="2" t="s">
        <v>1271</v>
      </c>
      <c r="D1648" s="2" t="s">
        <v>1272</v>
      </c>
      <c r="E1648" s="3" t="s">
        <v>109</v>
      </c>
      <c r="F1648" s="2" t="s">
        <v>46</v>
      </c>
      <c r="G1648" s="2" t="s">
        <v>1273</v>
      </c>
      <c r="H1648" s="2" t="s">
        <v>113</v>
      </c>
      <c r="I1648" s="111" t="s">
        <v>401</v>
      </c>
      <c r="J1648" s="2" t="s">
        <v>1273</v>
      </c>
      <c r="K1648" s="2"/>
      <c r="L1648" s="2"/>
      <c r="M1648" s="2"/>
      <c r="N1648" s="2"/>
      <c r="O1648" s="2" t="s">
        <v>24</v>
      </c>
      <c r="P1648" s="2"/>
      <c r="Q1648" s="2"/>
    </row>
    <row r="1649" spans="1:17" ht="12.95" customHeight="1" x14ac:dyDescent="0.2">
      <c r="A1649" s="2" t="s">
        <v>114</v>
      </c>
      <c r="B1649" s="2" t="s">
        <v>27</v>
      </c>
      <c r="C1649" s="2"/>
      <c r="D1649" s="2"/>
      <c r="E1649" s="3"/>
      <c r="F1649" s="2"/>
      <c r="G1649" s="2"/>
      <c r="H1649" s="2"/>
      <c r="I1649" s="13"/>
      <c r="J1649" s="2"/>
      <c r="K1649" s="2"/>
      <c r="L1649" s="2"/>
      <c r="M1649" s="2"/>
      <c r="N1649" s="2"/>
      <c r="O1649" s="2" t="s">
        <v>28</v>
      </c>
      <c r="P1649" s="2" t="s">
        <v>111</v>
      </c>
      <c r="Q1649" s="2"/>
    </row>
    <row r="1650" spans="1:17" ht="12.95" customHeight="1" x14ac:dyDescent="0.2">
      <c r="A1650" s="2" t="s">
        <v>115</v>
      </c>
      <c r="B1650" s="2" t="s">
        <v>42</v>
      </c>
      <c r="C1650" s="2" t="s">
        <v>390</v>
      </c>
      <c r="D1650" s="2" t="s">
        <v>1245</v>
      </c>
      <c r="E1650" s="3" t="s">
        <v>488</v>
      </c>
      <c r="F1650" s="2" t="s">
        <v>46</v>
      </c>
      <c r="G1650" s="2" t="s">
        <v>817</v>
      </c>
      <c r="H1650" s="2" t="s">
        <v>48</v>
      </c>
      <c r="I1650" s="13"/>
      <c r="J1650" s="2" t="s">
        <v>48</v>
      </c>
      <c r="K1650" s="2" t="s">
        <v>240</v>
      </c>
      <c r="L1650" s="2"/>
      <c r="M1650" s="2" t="s">
        <v>240</v>
      </c>
      <c r="N1650" s="2" t="s">
        <v>347</v>
      </c>
      <c r="O1650" s="2"/>
      <c r="P1650" s="2"/>
      <c r="Q1650" s="2"/>
    </row>
    <row r="1651" spans="1:17" ht="12.95" customHeight="1" x14ac:dyDescent="0.2">
      <c r="A1651" s="4" t="s">
        <v>122</v>
      </c>
      <c r="B1651" s="4" t="s">
        <v>31</v>
      </c>
      <c r="C1651" s="4"/>
      <c r="D1651" s="4"/>
      <c r="E1651" s="3"/>
      <c r="F1651" s="4"/>
      <c r="G1651" s="4"/>
      <c r="H1651" s="4"/>
      <c r="I1651" s="35"/>
      <c r="J1651" s="4"/>
      <c r="K1651" s="4"/>
      <c r="L1651" s="4"/>
      <c r="M1651" s="4"/>
      <c r="N1651" s="4"/>
      <c r="O1651" s="4"/>
      <c r="P1651" s="4"/>
      <c r="Q1651" s="4"/>
    </row>
    <row r="1652" spans="1:17" ht="12.95" customHeight="1" x14ac:dyDescent="0.2">
      <c r="A1652" s="4" t="s">
        <v>123</v>
      </c>
      <c r="B1652" s="4" t="s">
        <v>31</v>
      </c>
      <c r="C1652" s="4"/>
      <c r="D1652" s="4"/>
      <c r="E1652" s="3"/>
      <c r="F1652" s="4"/>
      <c r="G1652" s="4"/>
      <c r="H1652" s="4"/>
      <c r="I1652" s="35"/>
      <c r="J1652" s="4"/>
      <c r="K1652" s="4"/>
      <c r="L1652" s="4"/>
      <c r="M1652" s="4"/>
      <c r="N1652" s="4"/>
      <c r="O1652" s="4"/>
      <c r="P1652" s="4"/>
      <c r="Q1652" s="4"/>
    </row>
    <row r="1653" spans="1:17" x14ac:dyDescent="0.2">
      <c r="A1653" s="4" t="s">
        <v>33</v>
      </c>
      <c r="B1653" s="4" t="s">
        <v>34</v>
      </c>
      <c r="C1653" s="4" t="s">
        <v>34</v>
      </c>
      <c r="D1653" s="4" t="s">
        <v>34</v>
      </c>
      <c r="E1653" s="4" t="s">
        <v>1274</v>
      </c>
      <c r="F1653" s="4" t="s">
        <v>272</v>
      </c>
      <c r="G1653" s="4" t="s">
        <v>1275</v>
      </c>
      <c r="H1653" s="4" t="s">
        <v>1259</v>
      </c>
      <c r="I1653" s="35" t="s">
        <v>401</v>
      </c>
      <c r="J1653" s="4" t="s">
        <v>1276</v>
      </c>
      <c r="K1653" s="4" t="s">
        <v>548</v>
      </c>
      <c r="L1653" s="4"/>
      <c r="M1653" s="4" t="s">
        <v>548</v>
      </c>
      <c r="N1653" s="4" t="s">
        <v>1277</v>
      </c>
      <c r="O1653" s="4"/>
      <c r="P1653" s="4"/>
      <c r="Q1653" s="4"/>
    </row>
    <row r="1654" spans="1:17" ht="12.95" customHeight="1" x14ac:dyDescent="0.2">
      <c r="A1654" s="2" t="s">
        <v>131</v>
      </c>
      <c r="B1654" s="2" t="s">
        <v>42</v>
      </c>
      <c r="C1654" s="2" t="s">
        <v>107</v>
      </c>
      <c r="D1654" s="2" t="s">
        <v>1278</v>
      </c>
      <c r="E1654" s="3" t="s">
        <v>1065</v>
      </c>
      <c r="F1654" s="2" t="s">
        <v>46</v>
      </c>
      <c r="G1654" s="2" t="s">
        <v>657</v>
      </c>
      <c r="H1654" s="2" t="s">
        <v>48</v>
      </c>
      <c r="I1654" s="13"/>
      <c r="J1654" s="2" t="s">
        <v>48</v>
      </c>
      <c r="K1654" s="2" t="s">
        <v>658</v>
      </c>
      <c r="L1654" s="2"/>
      <c r="M1654" s="2" t="s">
        <v>658</v>
      </c>
      <c r="N1654" s="2" t="s">
        <v>232</v>
      </c>
      <c r="O1654" s="2"/>
      <c r="P1654" s="2"/>
      <c r="Q1654" s="2"/>
    </row>
    <row r="1655" spans="1:17" ht="12.95" customHeight="1" x14ac:dyDescent="0.2">
      <c r="A1655" s="2" t="s">
        <v>138</v>
      </c>
      <c r="B1655" s="2" t="s">
        <v>42</v>
      </c>
      <c r="C1655" s="2" t="s">
        <v>479</v>
      </c>
      <c r="D1655" s="2" t="s">
        <v>775</v>
      </c>
      <c r="E1655" s="3" t="s">
        <v>966</v>
      </c>
      <c r="F1655" s="2" t="s">
        <v>46</v>
      </c>
      <c r="G1655" s="2" t="s">
        <v>616</v>
      </c>
      <c r="H1655" s="2" t="s">
        <v>48</v>
      </c>
      <c r="I1655" s="13"/>
      <c r="J1655" s="2" t="s">
        <v>48</v>
      </c>
      <c r="K1655" s="2" t="s">
        <v>272</v>
      </c>
      <c r="L1655" s="2" t="s">
        <v>662</v>
      </c>
      <c r="M1655" s="2" t="s">
        <v>311</v>
      </c>
      <c r="N1655" s="2"/>
      <c r="O1655" s="2"/>
      <c r="P1655" s="2"/>
      <c r="Q1655" s="2"/>
    </row>
    <row r="1656" spans="1:17" ht="12.95" customHeight="1" x14ac:dyDescent="0.2">
      <c r="A1656" s="2" t="s">
        <v>143</v>
      </c>
      <c r="B1656" s="2" t="s">
        <v>42</v>
      </c>
      <c r="C1656" s="2" t="s">
        <v>706</v>
      </c>
      <c r="D1656" s="2" t="s">
        <v>1164</v>
      </c>
      <c r="E1656" s="3" t="s">
        <v>116</v>
      </c>
      <c r="F1656" s="2" t="s">
        <v>46</v>
      </c>
      <c r="G1656" s="2" t="s">
        <v>489</v>
      </c>
      <c r="H1656" s="2" t="s">
        <v>48</v>
      </c>
      <c r="I1656" s="13" t="s">
        <v>645</v>
      </c>
      <c r="J1656" s="2" t="s">
        <v>489</v>
      </c>
      <c r="K1656" s="2"/>
      <c r="L1656" s="2"/>
      <c r="M1656" s="2"/>
      <c r="N1656" s="2" t="s">
        <v>59</v>
      </c>
      <c r="O1656" s="2"/>
      <c r="P1656" s="2"/>
      <c r="Q1656" s="2"/>
    </row>
    <row r="1657" spans="1:17" ht="12.95" customHeight="1" x14ac:dyDescent="0.2">
      <c r="A1657" s="2" t="s">
        <v>148</v>
      </c>
      <c r="B1657" s="2" t="s">
        <v>42</v>
      </c>
      <c r="C1657" s="2" t="s">
        <v>418</v>
      </c>
      <c r="D1657" s="2" t="s">
        <v>1149</v>
      </c>
      <c r="E1657" s="3" t="s">
        <v>878</v>
      </c>
      <c r="F1657" s="2" t="s">
        <v>46</v>
      </c>
      <c r="G1657" s="2" t="s">
        <v>210</v>
      </c>
      <c r="H1657" s="2" t="s">
        <v>48</v>
      </c>
      <c r="I1657" s="13" t="s">
        <v>278</v>
      </c>
      <c r="J1657" s="2" t="s">
        <v>210</v>
      </c>
      <c r="K1657" s="2"/>
      <c r="L1657" s="2"/>
      <c r="M1657" s="2"/>
      <c r="N1657" s="2" t="s">
        <v>308</v>
      </c>
      <c r="O1657" s="2"/>
      <c r="P1657" s="2"/>
      <c r="Q1657" s="2"/>
    </row>
    <row r="1658" spans="1:17" ht="12.95" customHeight="1" x14ac:dyDescent="0.2">
      <c r="A1658" s="2" t="s">
        <v>155</v>
      </c>
      <c r="B1658" s="2" t="s">
        <v>42</v>
      </c>
      <c r="C1658" s="2" t="s">
        <v>211</v>
      </c>
      <c r="D1658" s="2" t="s">
        <v>1279</v>
      </c>
      <c r="E1658" s="3" t="s">
        <v>201</v>
      </c>
      <c r="F1658" s="2" t="s">
        <v>46</v>
      </c>
      <c r="G1658" s="2" t="s">
        <v>810</v>
      </c>
      <c r="H1658" s="2" t="s">
        <v>48</v>
      </c>
      <c r="I1658" s="13" t="s">
        <v>23</v>
      </c>
      <c r="J1658" s="2" t="s">
        <v>810</v>
      </c>
      <c r="K1658" s="2"/>
      <c r="L1658" s="2"/>
      <c r="M1658" s="2"/>
      <c r="N1658" s="2" t="s">
        <v>212</v>
      </c>
      <c r="O1658" s="2"/>
      <c r="P1658" s="2"/>
      <c r="Q1658" s="2"/>
    </row>
    <row r="1659" spans="1:17" ht="12.95" customHeight="1" x14ac:dyDescent="0.2">
      <c r="A1659" s="8" t="s">
        <v>161</v>
      </c>
      <c r="B1659" s="8"/>
      <c r="C1659" s="8"/>
      <c r="D1659" s="8"/>
      <c r="E1659" s="5" t="s">
        <v>1280</v>
      </c>
      <c r="F1659" s="5" t="s">
        <v>163</v>
      </c>
      <c r="G1659" s="5" t="s">
        <v>1281</v>
      </c>
      <c r="H1659" s="5" t="s">
        <v>1282</v>
      </c>
      <c r="I1659" s="36" t="s">
        <v>235</v>
      </c>
      <c r="J1659" s="5" t="s">
        <v>1283</v>
      </c>
      <c r="K1659" s="5" t="s">
        <v>1284</v>
      </c>
      <c r="L1659" s="5" t="s">
        <v>662</v>
      </c>
      <c r="M1659" s="5" t="s">
        <v>413</v>
      </c>
      <c r="N1659" s="5" t="s">
        <v>199</v>
      </c>
      <c r="O1659" s="5"/>
      <c r="P1659" s="5"/>
      <c r="Q1659" s="5"/>
    </row>
    <row r="1660" spans="1:17" ht="12.95" customHeight="1" x14ac:dyDescent="0.2">
      <c r="A1660" s="8" t="s">
        <v>171</v>
      </c>
      <c r="B1660" s="8"/>
      <c r="C1660" s="8"/>
      <c r="D1660" s="8"/>
      <c r="E1660" s="5" t="s">
        <v>1280</v>
      </c>
      <c r="F1660" s="5" t="s">
        <v>163</v>
      </c>
      <c r="G1660" s="5" t="s">
        <v>1281</v>
      </c>
      <c r="H1660" s="5" t="s">
        <v>1282</v>
      </c>
      <c r="I1660" s="36" t="s">
        <v>296</v>
      </c>
      <c r="J1660" s="5" t="s">
        <v>1283</v>
      </c>
      <c r="K1660" s="5" t="s">
        <v>1284</v>
      </c>
      <c r="L1660" s="5" t="s">
        <v>662</v>
      </c>
      <c r="M1660" s="5" t="s">
        <v>413</v>
      </c>
      <c r="N1660" s="5" t="s">
        <v>199</v>
      </c>
      <c r="O1660" s="5"/>
      <c r="P1660" s="5"/>
      <c r="Q1660" s="5"/>
    </row>
    <row r="1661" spans="1:17" ht="12.95" customHeight="1" x14ac:dyDescent="0.2">
      <c r="A1661" s="8" t="s">
        <v>173</v>
      </c>
      <c r="B1661" s="8"/>
      <c r="C1661" s="8"/>
      <c r="D1661" s="8"/>
      <c r="E1661" s="5">
        <v>130.78</v>
      </c>
      <c r="F1661" s="5">
        <v>7</v>
      </c>
      <c r="G1661" s="5">
        <v>123.78</v>
      </c>
      <c r="H1661" s="5">
        <v>117</v>
      </c>
      <c r="I1661" s="36">
        <v>0</v>
      </c>
      <c r="J1661" s="5">
        <v>113.83</v>
      </c>
      <c r="K1661" s="5">
        <v>9.8800000000000008</v>
      </c>
      <c r="L1661" s="5">
        <v>0.06</v>
      </c>
      <c r="M1661" s="5">
        <v>9.9499999999999993</v>
      </c>
      <c r="N1661" s="5">
        <v>6.6</v>
      </c>
      <c r="O1661" s="5"/>
      <c r="P1661" s="5"/>
      <c r="Q1661" s="5"/>
    </row>
    <row r="1662" spans="1:17" x14ac:dyDescent="0.2">
      <c r="I1662" s="37"/>
    </row>
    <row r="1663" spans="1:17" ht="12.95" customHeight="1" x14ac:dyDescent="0.2">
      <c r="A1663" s="9" t="s">
        <v>174</v>
      </c>
      <c r="B1663" s="9"/>
      <c r="C1663" s="9"/>
      <c r="E1663" s="9" t="s">
        <v>180</v>
      </c>
      <c r="F1663" s="9"/>
      <c r="G1663" s="9"/>
      <c r="I1663" s="9" t="s">
        <v>181</v>
      </c>
      <c r="J1663" s="9"/>
      <c r="K1663" s="9"/>
    </row>
    <row r="1664" spans="1:17" ht="12.95" customHeight="1" x14ac:dyDescent="0.2">
      <c r="A1664" s="10" t="s">
        <v>175</v>
      </c>
      <c r="B1664" s="10"/>
      <c r="C1664" s="6">
        <v>14</v>
      </c>
      <c r="E1664" s="10" t="s">
        <v>14</v>
      </c>
      <c r="F1664" s="10"/>
      <c r="G1664" s="6">
        <v>113.83</v>
      </c>
      <c r="I1664" s="10" t="s">
        <v>1019</v>
      </c>
      <c r="J1664" s="10"/>
      <c r="K1664" s="6">
        <v>4</v>
      </c>
    </row>
    <row r="1665" spans="1:16" ht="12.95" customHeight="1" x14ac:dyDescent="0.2">
      <c r="A1665" s="10" t="s">
        <v>1531</v>
      </c>
      <c r="B1665" s="10"/>
      <c r="C1665" s="6">
        <v>20</v>
      </c>
      <c r="E1665" s="10" t="s">
        <v>15</v>
      </c>
      <c r="F1665" s="10"/>
      <c r="G1665" s="6">
        <v>9.8800000000000008</v>
      </c>
      <c r="I1665" s="10" t="s">
        <v>1768</v>
      </c>
      <c r="J1665" s="10"/>
      <c r="K1665" s="6">
        <v>2</v>
      </c>
    </row>
    <row r="1666" spans="1:16" ht="12.95" customHeight="1" x14ac:dyDescent="0.2">
      <c r="A1666" s="10" t="s">
        <v>176</v>
      </c>
      <c r="B1666" s="10"/>
      <c r="C1666" s="6">
        <v>130.78</v>
      </c>
      <c r="E1666" s="10" t="s">
        <v>267</v>
      </c>
      <c r="F1666" s="10"/>
      <c r="G1666" s="6">
        <v>0.06</v>
      </c>
      <c r="I1666" s="10" t="s">
        <v>27</v>
      </c>
      <c r="J1666" s="10"/>
      <c r="K1666" s="26">
        <v>3</v>
      </c>
    </row>
    <row r="1667" spans="1:16" ht="12.95" customHeight="1" x14ac:dyDescent="0.2">
      <c r="A1667" s="10" t="s">
        <v>177</v>
      </c>
      <c r="B1667" s="10"/>
      <c r="C1667" s="6">
        <v>117</v>
      </c>
      <c r="I1667" s="10" t="s">
        <v>22</v>
      </c>
      <c r="J1667" s="10"/>
      <c r="K1667" s="26">
        <v>1</v>
      </c>
      <c r="L1667" s="110" t="s">
        <v>1720</v>
      </c>
    </row>
    <row r="1668" spans="1:16" ht="12.95" customHeight="1" x14ac:dyDescent="0.2">
      <c r="A1668" s="10" t="s">
        <v>11</v>
      </c>
      <c r="B1668" s="10"/>
      <c r="C1668" s="6">
        <v>123.78</v>
      </c>
      <c r="I1668" s="39" t="s">
        <v>1591</v>
      </c>
      <c r="J1668" s="19"/>
      <c r="K1668" s="20">
        <v>0.5</v>
      </c>
    </row>
    <row r="1669" spans="1:16" ht="12.95" customHeight="1" x14ac:dyDescent="0.2">
      <c r="A1669" s="10" t="s">
        <v>178</v>
      </c>
      <c r="B1669" s="10"/>
      <c r="C1669" s="30">
        <v>3.16</v>
      </c>
      <c r="I1669" s="39" t="s">
        <v>1592</v>
      </c>
      <c r="J1669" s="19"/>
      <c r="K1669" s="20">
        <v>0</v>
      </c>
    </row>
    <row r="1670" spans="1:16" ht="12.95" customHeight="1" x14ac:dyDescent="0.25">
      <c r="A1670" s="28" t="s">
        <v>1571</v>
      </c>
      <c r="B1670" s="27"/>
      <c r="C1670" s="112">
        <v>-2</v>
      </c>
      <c r="I1670" s="41" t="s">
        <v>1593</v>
      </c>
      <c r="J1670" s="40"/>
      <c r="K1670" s="42">
        <f>K1668+K1669</f>
        <v>0.5</v>
      </c>
    </row>
    <row r="1671" spans="1:16" ht="12.95" customHeight="1" x14ac:dyDescent="0.2">
      <c r="A1671" s="29" t="s">
        <v>1572</v>
      </c>
      <c r="B1671" s="29"/>
      <c r="C1671" s="32">
        <f>C1669+C1670</f>
        <v>1.1600000000000001</v>
      </c>
    </row>
    <row r="1672" spans="1:16" x14ac:dyDescent="0.2">
      <c r="A1672" s="10" t="s">
        <v>10</v>
      </c>
      <c r="B1672" s="10"/>
      <c r="C1672" s="6">
        <v>7</v>
      </c>
    </row>
    <row r="1673" spans="1:16" x14ac:dyDescent="0.2">
      <c r="A1673" t="s">
        <v>1615</v>
      </c>
      <c r="C1673" cm="1">
        <f t="array" ref="C1673">IFERROR(SUMPRODUCT(ISNUMBER(SEARCH("מילואים",O1625:O1662))*(C1625:C1662&lt;&gt;"")*(J1625:J1662+0))*24,0)</f>
        <v>0</v>
      </c>
    </row>
    <row r="1674" spans="1:16" ht="12.95" customHeight="1" x14ac:dyDescent="0.2">
      <c r="A1674" s="7" t="s">
        <v>1285</v>
      </c>
      <c r="B1674" s="7"/>
      <c r="C1674" s="7"/>
      <c r="D1674" s="7" t="s">
        <v>1</v>
      </c>
      <c r="E1674" s="7"/>
      <c r="F1674" s="7"/>
      <c r="G1674" s="7"/>
      <c r="H1674" s="7" t="s">
        <v>1237</v>
      </c>
      <c r="I1674" s="7"/>
      <c r="J1674" s="7"/>
      <c r="K1674" s="7"/>
      <c r="L1674" s="7"/>
      <c r="M1674" s="7"/>
      <c r="N1674" s="7"/>
      <c r="O1674" s="7"/>
      <c r="P1674" s="7"/>
    </row>
    <row r="1675" spans="1:16" ht="12.95" customHeight="1" x14ac:dyDescent="0.2">
      <c r="A1675" s="7" t="s">
        <v>3</v>
      </c>
      <c r="B1675" s="7"/>
      <c r="C1675" s="7"/>
      <c r="D1675" s="7"/>
      <c r="E1675" s="7"/>
      <c r="F1675" s="7">
        <v>75</v>
      </c>
      <c r="G1675" s="7"/>
      <c r="H1675" s="7" t="s">
        <v>4</v>
      </c>
      <c r="I1675" s="7"/>
      <c r="J1675" s="7"/>
      <c r="K1675" s="7"/>
      <c r="L1675" s="7"/>
      <c r="M1675" s="7"/>
      <c r="N1675" s="7"/>
      <c r="O1675" s="7"/>
      <c r="P1675" s="7"/>
    </row>
    <row r="1676" spans="1:16" ht="22.5" customHeight="1" x14ac:dyDescent="0.2">
      <c r="A1676" s="1" t="s">
        <v>5</v>
      </c>
      <c r="B1676" s="1" t="s">
        <v>6</v>
      </c>
      <c r="C1676" s="1" t="s">
        <v>7</v>
      </c>
      <c r="D1676" s="1" t="s">
        <v>8</v>
      </c>
      <c r="E1676" s="1" t="s">
        <v>9</v>
      </c>
      <c r="F1676" s="1" t="s">
        <v>10</v>
      </c>
      <c r="G1676" s="1" t="s">
        <v>11</v>
      </c>
      <c r="H1676" s="1" t="s">
        <v>12</v>
      </c>
      <c r="I1676" s="1" t="s">
        <v>13</v>
      </c>
      <c r="J1676" s="1" t="s">
        <v>14</v>
      </c>
      <c r="K1676" s="1" t="s">
        <v>15</v>
      </c>
      <c r="L1676" s="1" t="s">
        <v>16</v>
      </c>
      <c r="M1676" s="1" t="s">
        <v>17</v>
      </c>
      <c r="N1676" s="1" t="s">
        <v>18</v>
      </c>
      <c r="O1676" s="109" t="s">
        <v>1716</v>
      </c>
      <c r="P1676" s="1" t="s">
        <v>20</v>
      </c>
    </row>
    <row r="1677" spans="1:16" ht="12.95" customHeight="1" x14ac:dyDescent="0.2">
      <c r="A1677" s="2" t="s">
        <v>21</v>
      </c>
      <c r="B1677" s="2" t="s">
        <v>22</v>
      </c>
      <c r="C1677" s="2"/>
      <c r="D1677" s="2"/>
      <c r="E1677" s="3"/>
      <c r="F1677" s="2"/>
      <c r="G1677" s="2"/>
      <c r="H1677" s="2"/>
      <c r="I1677" s="13"/>
      <c r="J1677" s="2"/>
      <c r="K1677" s="2"/>
      <c r="L1677" s="2"/>
      <c r="M1677" s="2"/>
      <c r="N1677" s="2" t="s">
        <v>1286</v>
      </c>
      <c r="O1677" s="2" t="s">
        <v>25</v>
      </c>
      <c r="P1677" s="2"/>
    </row>
    <row r="1678" spans="1:16" ht="12.95" customHeight="1" x14ac:dyDescent="0.2">
      <c r="A1678" s="2" t="s">
        <v>26</v>
      </c>
      <c r="B1678" s="2" t="s">
        <v>27</v>
      </c>
      <c r="C1678" s="2"/>
      <c r="D1678" s="2"/>
      <c r="E1678" s="3"/>
      <c r="F1678" s="2"/>
      <c r="G1678" s="2"/>
      <c r="H1678" s="2"/>
      <c r="I1678" s="13"/>
      <c r="J1678" s="2"/>
      <c r="K1678" s="2"/>
      <c r="L1678" s="2"/>
      <c r="M1678" s="2"/>
      <c r="N1678" s="2" t="s">
        <v>1286</v>
      </c>
      <c r="O1678" s="2" t="s">
        <v>29</v>
      </c>
      <c r="P1678" s="2"/>
    </row>
    <row r="1679" spans="1:16" ht="12.95" customHeight="1" x14ac:dyDescent="0.2">
      <c r="A1679" s="4" t="s">
        <v>30</v>
      </c>
      <c r="B1679" s="4" t="s">
        <v>31</v>
      </c>
      <c r="C1679" s="4"/>
      <c r="D1679" s="4"/>
      <c r="E1679" s="3"/>
      <c r="F1679" s="4"/>
      <c r="G1679" s="4"/>
      <c r="H1679" s="4"/>
      <c r="I1679" s="35"/>
      <c r="J1679" s="4"/>
      <c r="K1679" s="4"/>
      <c r="L1679" s="4"/>
      <c r="M1679" s="4"/>
      <c r="N1679" s="4" t="s">
        <v>1286</v>
      </c>
      <c r="O1679" s="4"/>
      <c r="P1679" s="4"/>
    </row>
    <row r="1680" spans="1:16" ht="12.95" customHeight="1" x14ac:dyDescent="0.2">
      <c r="A1680" s="4" t="s">
        <v>32</v>
      </c>
      <c r="B1680" s="4" t="s">
        <v>31</v>
      </c>
      <c r="C1680" s="4"/>
      <c r="D1680" s="4"/>
      <c r="E1680" s="3"/>
      <c r="F1680" s="4"/>
      <c r="G1680" s="4"/>
      <c r="H1680" s="4"/>
      <c r="I1680" s="35"/>
      <c r="J1680" s="4"/>
      <c r="K1680" s="4"/>
      <c r="L1680" s="4"/>
      <c r="M1680" s="4"/>
      <c r="N1680" s="4" t="s">
        <v>1286</v>
      </c>
      <c r="O1680" s="4"/>
      <c r="P1680" s="4"/>
    </row>
    <row r="1681" spans="1:16" x14ac:dyDescent="0.2">
      <c r="A1681" s="4" t="s">
        <v>33</v>
      </c>
      <c r="B1681" s="4" t="s">
        <v>34</v>
      </c>
      <c r="C1681" s="4" t="s">
        <v>34</v>
      </c>
      <c r="D1681" s="4" t="s">
        <v>34</v>
      </c>
      <c r="E1681" s="4"/>
      <c r="F1681" s="4"/>
      <c r="G1681" s="4"/>
      <c r="H1681" s="4"/>
      <c r="I1681" s="35"/>
      <c r="J1681" s="4"/>
      <c r="K1681" s="4"/>
      <c r="L1681" s="4"/>
      <c r="M1681" s="4"/>
      <c r="N1681" s="4"/>
      <c r="O1681" s="4"/>
      <c r="P1681" s="4"/>
    </row>
    <row r="1682" spans="1:16" ht="12.95" customHeight="1" x14ac:dyDescent="0.2">
      <c r="A1682" s="2" t="s">
        <v>35</v>
      </c>
      <c r="B1682" s="2" t="s">
        <v>36</v>
      </c>
      <c r="C1682" s="2"/>
      <c r="D1682" s="2"/>
      <c r="E1682" s="3"/>
      <c r="F1682" s="2"/>
      <c r="G1682" s="2"/>
      <c r="H1682" s="2"/>
      <c r="I1682" s="13"/>
      <c r="J1682" s="2"/>
      <c r="K1682" s="2"/>
      <c r="L1682" s="2"/>
      <c r="M1682" s="2"/>
      <c r="N1682" s="2" t="s">
        <v>1286</v>
      </c>
      <c r="O1682" s="2"/>
      <c r="P1682" s="2"/>
    </row>
    <row r="1683" spans="1:16" ht="12.95" customHeight="1" x14ac:dyDescent="0.2">
      <c r="A1683" s="2" t="s">
        <v>38</v>
      </c>
      <c r="B1683" s="2" t="s">
        <v>36</v>
      </c>
      <c r="C1683" s="2"/>
      <c r="D1683" s="2"/>
      <c r="E1683" s="3"/>
      <c r="F1683" s="2"/>
      <c r="G1683" s="2"/>
      <c r="H1683" s="2"/>
      <c r="I1683" s="13"/>
      <c r="J1683" s="2"/>
      <c r="K1683" s="2"/>
      <c r="L1683" s="2"/>
      <c r="M1683" s="2"/>
      <c r="N1683" s="2" t="s">
        <v>1286</v>
      </c>
      <c r="O1683" s="2"/>
      <c r="P1683" s="2"/>
    </row>
    <row r="1684" spans="1:16" ht="12.95" customHeight="1" x14ac:dyDescent="0.2">
      <c r="A1684" s="2" t="s">
        <v>39</v>
      </c>
      <c r="B1684" s="2" t="s">
        <v>22</v>
      </c>
      <c r="C1684" s="2"/>
      <c r="D1684" s="2"/>
      <c r="E1684" s="3"/>
      <c r="F1684" s="2"/>
      <c r="G1684" s="2"/>
      <c r="H1684" s="2"/>
      <c r="I1684" s="13"/>
      <c r="J1684" s="2"/>
      <c r="K1684" s="2"/>
      <c r="L1684" s="2"/>
      <c r="M1684" s="2"/>
      <c r="N1684" s="2" t="s">
        <v>1286</v>
      </c>
      <c r="O1684" s="2" t="s">
        <v>25</v>
      </c>
      <c r="P1684" s="2"/>
    </row>
    <row r="1685" spans="1:16" ht="12.95" customHeight="1" x14ac:dyDescent="0.2">
      <c r="A1685" s="2" t="s">
        <v>40</v>
      </c>
      <c r="B1685" s="2" t="s">
        <v>27</v>
      </c>
      <c r="C1685" s="2"/>
      <c r="D1685" s="2"/>
      <c r="E1685" s="3"/>
      <c r="F1685" s="2"/>
      <c r="G1685" s="2"/>
      <c r="H1685" s="2"/>
      <c r="I1685" s="13"/>
      <c r="J1685" s="2"/>
      <c r="K1685" s="2"/>
      <c r="L1685" s="2"/>
      <c r="M1685" s="2"/>
      <c r="N1685" s="2" t="s">
        <v>1286</v>
      </c>
      <c r="O1685" s="2" t="s">
        <v>25</v>
      </c>
      <c r="P1685" s="2"/>
    </row>
    <row r="1686" spans="1:16" ht="12.95" customHeight="1" x14ac:dyDescent="0.2">
      <c r="A1686" s="2" t="s">
        <v>41</v>
      </c>
      <c r="B1686" s="2" t="s">
        <v>42</v>
      </c>
      <c r="C1686" s="2"/>
      <c r="D1686" s="2"/>
      <c r="E1686" s="3"/>
      <c r="F1686" s="2"/>
      <c r="G1686" s="2"/>
      <c r="H1686" s="2"/>
      <c r="I1686" s="13"/>
      <c r="J1686" s="2"/>
      <c r="K1686" s="2"/>
      <c r="L1686" s="2"/>
      <c r="M1686" s="2"/>
      <c r="N1686" s="2" t="s">
        <v>1286</v>
      </c>
      <c r="O1686" s="2"/>
      <c r="P1686" s="2"/>
    </row>
    <row r="1687" spans="1:16" ht="12.95" customHeight="1" x14ac:dyDescent="0.2">
      <c r="A1687" s="4" t="s">
        <v>51</v>
      </c>
      <c r="B1687" s="4" t="s">
        <v>31</v>
      </c>
      <c r="C1687" s="4"/>
      <c r="D1687" s="4"/>
      <c r="E1687" s="3"/>
      <c r="F1687" s="4"/>
      <c r="G1687" s="4"/>
      <c r="H1687" s="4"/>
      <c r="I1687" s="35"/>
      <c r="J1687" s="4"/>
      <c r="K1687" s="4"/>
      <c r="L1687" s="4"/>
      <c r="M1687" s="4"/>
      <c r="N1687" s="4" t="s">
        <v>1286</v>
      </c>
      <c r="O1687" s="4"/>
      <c r="P1687" s="4"/>
    </row>
    <row r="1688" spans="1:16" ht="12.95" customHeight="1" x14ac:dyDescent="0.2">
      <c r="A1688" s="4" t="s">
        <v>52</v>
      </c>
      <c r="B1688" s="4" t="s">
        <v>31</v>
      </c>
      <c r="C1688" s="4"/>
      <c r="D1688" s="4"/>
      <c r="E1688" s="3"/>
      <c r="F1688" s="4"/>
      <c r="G1688" s="4"/>
      <c r="H1688" s="4"/>
      <c r="I1688" s="35"/>
      <c r="J1688" s="4"/>
      <c r="K1688" s="4"/>
      <c r="L1688" s="4"/>
      <c r="M1688" s="4"/>
      <c r="N1688" s="4" t="s">
        <v>1286</v>
      </c>
      <c r="O1688" s="4"/>
      <c r="P1688" s="4"/>
    </row>
    <row r="1689" spans="1:16" x14ac:dyDescent="0.2">
      <c r="A1689" s="4" t="s">
        <v>33</v>
      </c>
      <c r="B1689" s="4" t="s">
        <v>34</v>
      </c>
      <c r="C1689" s="4" t="s">
        <v>34</v>
      </c>
      <c r="D1689" s="4" t="s">
        <v>34</v>
      </c>
      <c r="E1689" s="4"/>
      <c r="F1689" s="4"/>
      <c r="G1689" s="4"/>
      <c r="H1689" s="4"/>
      <c r="I1689" s="35"/>
      <c r="J1689" s="4"/>
      <c r="K1689" s="4"/>
      <c r="L1689" s="4"/>
      <c r="M1689" s="4"/>
      <c r="N1689" s="4"/>
      <c r="O1689" s="4"/>
      <c r="P1689" s="4"/>
    </row>
    <row r="1690" spans="1:16" ht="12.95" customHeight="1" x14ac:dyDescent="0.2">
      <c r="A1690" s="153" t="s">
        <v>54</v>
      </c>
      <c r="B1690" s="153" t="s">
        <v>42</v>
      </c>
      <c r="C1690" s="153" t="s">
        <v>757</v>
      </c>
      <c r="D1690" s="153" t="s">
        <v>1287</v>
      </c>
      <c r="E1690" s="152" t="s">
        <v>365</v>
      </c>
      <c r="F1690" s="153" t="s">
        <v>46</v>
      </c>
      <c r="G1690" s="153" t="s">
        <v>876</v>
      </c>
      <c r="H1690" s="153"/>
      <c r="I1690" s="153"/>
      <c r="J1690" s="153" t="s">
        <v>48</v>
      </c>
      <c r="K1690" s="153" t="s">
        <v>705</v>
      </c>
      <c r="L1690" s="153"/>
      <c r="M1690" s="153" t="s">
        <v>645</v>
      </c>
      <c r="N1690" s="153" t="s">
        <v>1286</v>
      </c>
      <c r="O1690" s="153"/>
      <c r="P1690" s="2"/>
    </row>
    <row r="1691" spans="1:16" ht="12.95" customHeight="1" x14ac:dyDescent="0.2">
      <c r="A1691" s="153" t="s">
        <v>61</v>
      </c>
      <c r="B1691" s="153" t="s">
        <v>42</v>
      </c>
      <c r="C1691" s="153" t="s">
        <v>723</v>
      </c>
      <c r="D1691" s="153" t="s">
        <v>492</v>
      </c>
      <c r="E1691" s="152" t="s">
        <v>684</v>
      </c>
      <c r="F1691" s="153" t="s">
        <v>46</v>
      </c>
      <c r="G1691" s="153" t="s">
        <v>685</v>
      </c>
      <c r="H1691" s="153"/>
      <c r="I1691" s="153"/>
      <c r="J1691" s="153" t="s">
        <v>48</v>
      </c>
      <c r="K1691" s="153" t="s">
        <v>677</v>
      </c>
      <c r="L1691" s="153"/>
      <c r="M1691" s="153"/>
      <c r="N1691" s="153" t="s">
        <v>1286</v>
      </c>
      <c r="O1691" s="153"/>
      <c r="P1691" s="2"/>
    </row>
    <row r="1692" spans="1:16" ht="12.95" customHeight="1" x14ac:dyDescent="0.2">
      <c r="A1692" s="153" t="s">
        <v>68</v>
      </c>
      <c r="B1692" s="153" t="s">
        <v>42</v>
      </c>
      <c r="C1692" s="153" t="s">
        <v>876</v>
      </c>
      <c r="D1692" s="153" t="s">
        <v>681</v>
      </c>
      <c r="E1692" s="152" t="s">
        <v>303</v>
      </c>
      <c r="F1692" s="153" t="s">
        <v>46</v>
      </c>
      <c r="G1692" s="153" t="s">
        <v>201</v>
      </c>
      <c r="H1692" s="153"/>
      <c r="I1692" s="153"/>
      <c r="J1692" s="153" t="s">
        <v>48</v>
      </c>
      <c r="K1692" s="153" t="s">
        <v>273</v>
      </c>
      <c r="L1692" s="153"/>
      <c r="M1692" s="153" t="s">
        <v>1075</v>
      </c>
      <c r="N1692" s="153" t="s">
        <v>1286</v>
      </c>
      <c r="O1692" s="153"/>
      <c r="P1692" s="2"/>
    </row>
    <row r="1693" spans="1:16" ht="12.95" customHeight="1" x14ac:dyDescent="0.2">
      <c r="A1693" s="2" t="s">
        <v>75</v>
      </c>
      <c r="B1693" s="2" t="s">
        <v>42</v>
      </c>
      <c r="C1693" s="2"/>
      <c r="D1693" s="2"/>
      <c r="E1693" s="3"/>
      <c r="F1693" s="2"/>
      <c r="G1693" s="2"/>
      <c r="H1693" s="2"/>
      <c r="I1693" s="13"/>
      <c r="J1693" s="2"/>
      <c r="K1693" s="2"/>
      <c r="L1693" s="2"/>
      <c r="M1693" s="2"/>
      <c r="N1693" s="2" t="s">
        <v>1286</v>
      </c>
      <c r="O1693" s="2"/>
      <c r="P1693" s="2"/>
    </row>
    <row r="1694" spans="1:16" ht="12.95" customHeight="1" x14ac:dyDescent="0.2">
      <c r="A1694" s="2" t="s">
        <v>81</v>
      </c>
      <c r="B1694" s="2" t="s">
        <v>42</v>
      </c>
      <c r="C1694" s="2"/>
      <c r="D1694" s="2"/>
      <c r="E1694" s="3"/>
      <c r="F1694" s="2"/>
      <c r="G1694" s="2"/>
      <c r="H1694" s="2"/>
      <c r="I1694" s="13"/>
      <c r="J1694" s="2"/>
      <c r="K1694" s="2"/>
      <c r="L1694" s="2"/>
      <c r="M1694" s="2"/>
      <c r="N1694" s="2" t="s">
        <v>1286</v>
      </c>
      <c r="O1694" s="2"/>
      <c r="P1694" s="2"/>
    </row>
    <row r="1695" spans="1:16" ht="12.95" customHeight="1" x14ac:dyDescent="0.2">
      <c r="A1695" s="4" t="s">
        <v>87</v>
      </c>
      <c r="B1695" s="4" t="s">
        <v>31</v>
      </c>
      <c r="C1695" s="4"/>
      <c r="D1695" s="4"/>
      <c r="E1695" s="3"/>
      <c r="F1695" s="4"/>
      <c r="G1695" s="4"/>
      <c r="H1695" s="4"/>
      <c r="I1695" s="35"/>
      <c r="J1695" s="4"/>
      <c r="K1695" s="4"/>
      <c r="L1695" s="4"/>
      <c r="M1695" s="4"/>
      <c r="N1695" s="4" t="s">
        <v>1286</v>
      </c>
      <c r="O1695" s="4"/>
      <c r="P1695" s="4"/>
    </row>
    <row r="1696" spans="1:16" ht="12.95" customHeight="1" x14ac:dyDescent="0.2">
      <c r="A1696" s="4" t="s">
        <v>88</v>
      </c>
      <c r="B1696" s="4" t="s">
        <v>31</v>
      </c>
      <c r="C1696" s="4"/>
      <c r="D1696" s="4"/>
      <c r="E1696" s="3"/>
      <c r="F1696" s="4"/>
      <c r="G1696" s="4"/>
      <c r="H1696" s="4"/>
      <c r="I1696" s="35"/>
      <c r="J1696" s="4"/>
      <c r="K1696" s="4"/>
      <c r="L1696" s="4"/>
      <c r="M1696" s="4"/>
      <c r="N1696" s="4" t="s">
        <v>1286</v>
      </c>
      <c r="O1696" s="4"/>
      <c r="P1696" s="4"/>
    </row>
    <row r="1697" spans="1:16" x14ac:dyDescent="0.2">
      <c r="A1697" s="4" t="s">
        <v>33</v>
      </c>
      <c r="B1697" s="4" t="s">
        <v>34</v>
      </c>
      <c r="C1697" s="4" t="s">
        <v>34</v>
      </c>
      <c r="D1697" s="4" t="s">
        <v>34</v>
      </c>
      <c r="E1697" s="4" t="s">
        <v>1288</v>
      </c>
      <c r="F1697" s="4" t="s">
        <v>125</v>
      </c>
      <c r="G1697" s="4" t="s">
        <v>1289</v>
      </c>
      <c r="H1697" s="4"/>
      <c r="I1697" s="35"/>
      <c r="J1697" s="4" t="s">
        <v>352</v>
      </c>
      <c r="K1697" s="4" t="s">
        <v>676</v>
      </c>
      <c r="L1697" s="4"/>
      <c r="M1697" s="4" t="s">
        <v>1290</v>
      </c>
      <c r="N1697" s="4"/>
      <c r="O1697" s="4"/>
      <c r="P1697" s="4"/>
    </row>
    <row r="1698" spans="1:16" ht="12.95" customHeight="1" x14ac:dyDescent="0.2">
      <c r="A1698" s="153" t="s">
        <v>97</v>
      </c>
      <c r="B1698" s="153" t="s">
        <v>42</v>
      </c>
      <c r="C1698" s="153" t="s">
        <v>757</v>
      </c>
      <c r="D1698" s="153" t="s">
        <v>1104</v>
      </c>
      <c r="E1698" s="152" t="s">
        <v>543</v>
      </c>
      <c r="F1698" s="153" t="s">
        <v>46</v>
      </c>
      <c r="G1698" s="153" t="s">
        <v>544</v>
      </c>
      <c r="H1698" s="153"/>
      <c r="I1698" s="153"/>
      <c r="J1698" s="153" t="s">
        <v>48</v>
      </c>
      <c r="K1698" s="153" t="s">
        <v>397</v>
      </c>
      <c r="L1698" s="153"/>
      <c r="M1698" s="153" t="s">
        <v>645</v>
      </c>
      <c r="N1698" s="153" t="s">
        <v>1286</v>
      </c>
      <c r="O1698" s="153"/>
      <c r="P1698" s="2"/>
    </row>
    <row r="1699" spans="1:16" ht="12.95" customHeight="1" x14ac:dyDescent="0.2">
      <c r="A1699" s="153" t="s">
        <v>104</v>
      </c>
      <c r="B1699" s="153" t="s">
        <v>42</v>
      </c>
      <c r="C1699" s="153" t="s">
        <v>418</v>
      </c>
      <c r="D1699" s="153" t="s">
        <v>419</v>
      </c>
      <c r="E1699" s="152" t="s">
        <v>420</v>
      </c>
      <c r="F1699" s="153" t="s">
        <v>46</v>
      </c>
      <c r="G1699" s="153" t="s">
        <v>421</v>
      </c>
      <c r="H1699" s="153"/>
      <c r="I1699" s="153"/>
      <c r="J1699" s="153" t="s">
        <v>48</v>
      </c>
      <c r="K1699" s="153" t="s">
        <v>347</v>
      </c>
      <c r="L1699" s="153"/>
      <c r="M1699" s="153" t="s">
        <v>308</v>
      </c>
      <c r="N1699" s="153" t="s">
        <v>1286</v>
      </c>
      <c r="O1699" s="153"/>
      <c r="P1699" s="2"/>
    </row>
    <row r="1700" spans="1:16" ht="12.95" customHeight="1" x14ac:dyDescent="0.2">
      <c r="A1700" s="2" t="s">
        <v>112</v>
      </c>
      <c r="B1700" s="2" t="s">
        <v>22</v>
      </c>
      <c r="C1700" s="2"/>
      <c r="D1700" s="2"/>
      <c r="E1700" s="3"/>
      <c r="F1700" s="2"/>
      <c r="G1700" s="2"/>
      <c r="H1700" s="2"/>
      <c r="I1700" s="13"/>
      <c r="J1700" s="2"/>
      <c r="K1700" s="2"/>
      <c r="L1700" s="2"/>
      <c r="M1700" s="2"/>
      <c r="N1700" s="2" t="s">
        <v>1286</v>
      </c>
      <c r="O1700" s="2" t="s">
        <v>111</v>
      </c>
      <c r="P1700" s="2"/>
    </row>
    <row r="1701" spans="1:16" ht="12.95" customHeight="1" x14ac:dyDescent="0.2">
      <c r="A1701" s="2" t="s">
        <v>114</v>
      </c>
      <c r="B1701" s="2" t="s">
        <v>27</v>
      </c>
      <c r="C1701" s="2"/>
      <c r="D1701" s="2"/>
      <c r="E1701" s="3"/>
      <c r="F1701" s="2"/>
      <c r="G1701" s="2"/>
      <c r="H1701" s="2"/>
      <c r="I1701" s="13"/>
      <c r="J1701" s="2"/>
      <c r="K1701" s="2"/>
      <c r="L1701" s="2"/>
      <c r="M1701" s="2"/>
      <c r="N1701" s="2" t="s">
        <v>1286</v>
      </c>
      <c r="O1701" s="2" t="s">
        <v>111</v>
      </c>
      <c r="P1701" s="2"/>
    </row>
    <row r="1702" spans="1:16" ht="12.95" customHeight="1" x14ac:dyDescent="0.2">
      <c r="A1702" s="153" t="s">
        <v>115</v>
      </c>
      <c r="B1702" s="153" t="s">
        <v>42</v>
      </c>
      <c r="C1702" s="153" t="s">
        <v>652</v>
      </c>
      <c r="D1702" s="153" t="s">
        <v>1291</v>
      </c>
      <c r="E1702" s="152" t="s">
        <v>404</v>
      </c>
      <c r="F1702" s="153" t="s">
        <v>46</v>
      </c>
      <c r="G1702" s="153" t="s">
        <v>827</v>
      </c>
      <c r="H1702" s="153"/>
      <c r="I1702" s="153"/>
      <c r="J1702" s="153" t="s">
        <v>48</v>
      </c>
      <c r="K1702" s="153" t="s">
        <v>490</v>
      </c>
      <c r="L1702" s="153"/>
      <c r="M1702" s="153" t="s">
        <v>397</v>
      </c>
      <c r="N1702" s="153" t="s">
        <v>1286</v>
      </c>
      <c r="O1702" s="153"/>
      <c r="P1702" s="2"/>
    </row>
    <row r="1703" spans="1:16" ht="12.95" customHeight="1" x14ac:dyDescent="0.2">
      <c r="A1703" s="4" t="s">
        <v>122</v>
      </c>
      <c r="B1703" s="4" t="s">
        <v>31</v>
      </c>
      <c r="C1703" s="4"/>
      <c r="D1703" s="4"/>
      <c r="E1703" s="3"/>
      <c r="F1703" s="4"/>
      <c r="G1703" s="4"/>
      <c r="H1703" s="4"/>
      <c r="I1703" s="35"/>
      <c r="J1703" s="4"/>
      <c r="K1703" s="4"/>
      <c r="L1703" s="4"/>
      <c r="M1703" s="4"/>
      <c r="N1703" s="4" t="s">
        <v>1286</v>
      </c>
      <c r="O1703" s="4"/>
      <c r="P1703" s="4"/>
    </row>
    <row r="1704" spans="1:16" ht="12.95" customHeight="1" x14ac:dyDescent="0.2">
      <c r="A1704" s="4" t="s">
        <v>123</v>
      </c>
      <c r="B1704" s="4" t="s">
        <v>31</v>
      </c>
      <c r="C1704" s="4"/>
      <c r="D1704" s="4"/>
      <c r="E1704" s="3"/>
      <c r="F1704" s="4"/>
      <c r="G1704" s="4"/>
      <c r="H1704" s="4"/>
      <c r="I1704" s="35"/>
      <c r="J1704" s="4"/>
      <c r="K1704" s="4"/>
      <c r="L1704" s="4"/>
      <c r="M1704" s="4"/>
      <c r="N1704" s="4" t="s">
        <v>1286</v>
      </c>
      <c r="O1704" s="4"/>
      <c r="P1704" s="4"/>
    </row>
    <row r="1705" spans="1:16" x14ac:dyDescent="0.2">
      <c r="A1705" s="4" t="s">
        <v>33</v>
      </c>
      <c r="B1705" s="4" t="s">
        <v>34</v>
      </c>
      <c r="C1705" s="4" t="s">
        <v>34</v>
      </c>
      <c r="D1705" s="4" t="s">
        <v>34</v>
      </c>
      <c r="E1705" s="4" t="s">
        <v>1292</v>
      </c>
      <c r="F1705" s="4" t="s">
        <v>125</v>
      </c>
      <c r="G1705" s="4" t="s">
        <v>1293</v>
      </c>
      <c r="H1705" s="4"/>
      <c r="I1705" s="35"/>
      <c r="J1705" s="4" t="s">
        <v>352</v>
      </c>
      <c r="K1705" s="4" t="s">
        <v>522</v>
      </c>
      <c r="L1705" s="4"/>
      <c r="M1705" s="4" t="s">
        <v>414</v>
      </c>
      <c r="N1705" s="4"/>
      <c r="O1705" s="4"/>
      <c r="P1705" s="4"/>
    </row>
    <row r="1706" spans="1:16" ht="12.95" customHeight="1" x14ac:dyDescent="0.2">
      <c r="A1706" s="153" t="s">
        <v>131</v>
      </c>
      <c r="B1706" s="153" t="s">
        <v>42</v>
      </c>
      <c r="C1706" s="153" t="s">
        <v>695</v>
      </c>
      <c r="D1706" s="153" t="s">
        <v>1130</v>
      </c>
      <c r="E1706" s="152" t="s">
        <v>307</v>
      </c>
      <c r="F1706" s="153" t="s">
        <v>46</v>
      </c>
      <c r="G1706" s="153" t="s">
        <v>336</v>
      </c>
      <c r="H1706" s="153"/>
      <c r="I1706" s="153"/>
      <c r="J1706" s="153" t="s">
        <v>48</v>
      </c>
      <c r="K1706" s="153" t="s">
        <v>337</v>
      </c>
      <c r="L1706" s="153"/>
      <c r="M1706" s="153" t="s">
        <v>636</v>
      </c>
      <c r="N1706" s="153" t="s">
        <v>1286</v>
      </c>
      <c r="O1706" s="153"/>
      <c r="P1706" s="2"/>
    </row>
    <row r="1707" spans="1:16" ht="12.95" customHeight="1" x14ac:dyDescent="0.2">
      <c r="A1707" s="153" t="s">
        <v>138</v>
      </c>
      <c r="B1707" s="153" t="s">
        <v>42</v>
      </c>
      <c r="C1707" s="153" t="s">
        <v>338</v>
      </c>
      <c r="D1707" s="153" t="s">
        <v>144</v>
      </c>
      <c r="E1707" s="152" t="s">
        <v>306</v>
      </c>
      <c r="F1707" s="153" t="s">
        <v>46</v>
      </c>
      <c r="G1707" s="153" t="s">
        <v>307</v>
      </c>
      <c r="H1707" s="153"/>
      <c r="I1707" s="153"/>
      <c r="J1707" s="153" t="s">
        <v>48</v>
      </c>
      <c r="K1707" s="153" t="s">
        <v>232</v>
      </c>
      <c r="L1707" s="153"/>
      <c r="M1707" s="153" t="s">
        <v>342</v>
      </c>
      <c r="N1707" s="153" t="s">
        <v>1286</v>
      </c>
      <c r="O1707" s="153"/>
      <c r="P1707" s="2"/>
    </row>
    <row r="1708" spans="1:16" ht="12.95" customHeight="1" x14ac:dyDescent="0.2">
      <c r="A1708" s="153" t="s">
        <v>143</v>
      </c>
      <c r="B1708" s="153" t="s">
        <v>42</v>
      </c>
      <c r="C1708" s="153" t="s">
        <v>986</v>
      </c>
      <c r="D1708" s="153" t="s">
        <v>1294</v>
      </c>
      <c r="E1708" s="152" t="s">
        <v>421</v>
      </c>
      <c r="F1708" s="153" t="s">
        <v>46</v>
      </c>
      <c r="G1708" s="153" t="s">
        <v>498</v>
      </c>
      <c r="H1708" s="153"/>
      <c r="I1708" s="153"/>
      <c r="J1708" s="153" t="s">
        <v>48</v>
      </c>
      <c r="K1708" s="153" t="s">
        <v>742</v>
      </c>
      <c r="L1708" s="153"/>
      <c r="M1708" s="153" t="s">
        <v>320</v>
      </c>
      <c r="N1708" s="153" t="s">
        <v>1286</v>
      </c>
      <c r="O1708" s="153"/>
      <c r="P1708" s="2"/>
    </row>
    <row r="1709" spans="1:16" ht="12.95" customHeight="1" x14ac:dyDescent="0.2">
      <c r="A1709" s="153" t="s">
        <v>148</v>
      </c>
      <c r="B1709" s="153" t="s">
        <v>42</v>
      </c>
      <c r="C1709" s="153" t="s">
        <v>132</v>
      </c>
      <c r="D1709" s="153" t="s">
        <v>482</v>
      </c>
      <c r="E1709" s="152" t="s">
        <v>276</v>
      </c>
      <c r="F1709" s="153" t="s">
        <v>46</v>
      </c>
      <c r="G1709" s="153" t="s">
        <v>277</v>
      </c>
      <c r="H1709" s="153"/>
      <c r="I1709" s="153"/>
      <c r="J1709" s="153" t="s">
        <v>48</v>
      </c>
      <c r="K1709" s="153" t="s">
        <v>278</v>
      </c>
      <c r="L1709" s="153"/>
      <c r="M1709" s="153" t="s">
        <v>137</v>
      </c>
      <c r="N1709" s="153" t="s">
        <v>1286</v>
      </c>
      <c r="O1709" s="153"/>
      <c r="P1709" s="2"/>
    </row>
    <row r="1710" spans="1:16" ht="12.95" customHeight="1" x14ac:dyDescent="0.2">
      <c r="A1710" s="153" t="s">
        <v>155</v>
      </c>
      <c r="B1710" s="153" t="s">
        <v>42</v>
      </c>
      <c r="C1710" s="153" t="s">
        <v>299</v>
      </c>
      <c r="D1710" s="153" t="s">
        <v>889</v>
      </c>
      <c r="E1710" s="152" t="s">
        <v>668</v>
      </c>
      <c r="F1710" s="153" t="s">
        <v>46</v>
      </c>
      <c r="G1710" s="153" t="s">
        <v>669</v>
      </c>
      <c r="H1710" s="153"/>
      <c r="I1710" s="153"/>
      <c r="J1710" s="153" t="s">
        <v>48</v>
      </c>
      <c r="K1710" s="153" t="s">
        <v>459</v>
      </c>
      <c r="L1710" s="153"/>
      <c r="M1710" s="153" t="s">
        <v>282</v>
      </c>
      <c r="N1710" s="153" t="s">
        <v>1286</v>
      </c>
      <c r="O1710" s="153"/>
      <c r="P1710" s="2"/>
    </row>
    <row r="1711" spans="1:16" ht="12.95" customHeight="1" x14ac:dyDescent="0.2">
      <c r="A1711" s="8" t="s">
        <v>161</v>
      </c>
      <c r="B1711" s="8"/>
      <c r="C1711" s="8"/>
      <c r="D1711" s="8"/>
      <c r="E1711" s="5" t="s">
        <v>1295</v>
      </c>
      <c r="F1711" s="5" t="s">
        <v>570</v>
      </c>
      <c r="G1711" s="5" t="s">
        <v>1296</v>
      </c>
      <c r="H1711" s="5" t="s">
        <v>296</v>
      </c>
      <c r="I1711" s="36" t="s">
        <v>296</v>
      </c>
      <c r="J1711" s="5" t="s">
        <v>1297</v>
      </c>
      <c r="K1711" s="5" t="s">
        <v>1298</v>
      </c>
      <c r="L1711" s="5" t="s">
        <v>296</v>
      </c>
      <c r="M1711" s="5" t="s">
        <v>1299</v>
      </c>
      <c r="N1711" s="5"/>
      <c r="O1711" s="5"/>
      <c r="P1711" s="5"/>
    </row>
    <row r="1712" spans="1:16" ht="12.95" customHeight="1" x14ac:dyDescent="0.2">
      <c r="A1712" s="8" t="s">
        <v>171</v>
      </c>
      <c r="B1712" s="8"/>
      <c r="C1712" s="8"/>
      <c r="D1712" s="8"/>
      <c r="E1712" s="5" t="s">
        <v>1295</v>
      </c>
      <c r="F1712" s="5" t="s">
        <v>570</v>
      </c>
      <c r="G1712" s="5" t="s">
        <v>1296</v>
      </c>
      <c r="H1712" s="5" t="s">
        <v>296</v>
      </c>
      <c r="I1712" s="36" t="s">
        <v>296</v>
      </c>
      <c r="J1712" s="5" t="s">
        <v>1297</v>
      </c>
      <c r="K1712" s="5" t="s">
        <v>1298</v>
      </c>
      <c r="L1712" s="5" t="s">
        <v>296</v>
      </c>
      <c r="M1712" s="5" t="s">
        <v>1299</v>
      </c>
      <c r="N1712" s="5"/>
      <c r="O1712" s="5"/>
      <c r="P1712" s="5"/>
    </row>
    <row r="1713" spans="1:16" ht="12.95" customHeight="1" x14ac:dyDescent="0.2">
      <c r="A1713" s="8" t="s">
        <v>173</v>
      </c>
      <c r="B1713" s="8"/>
      <c r="C1713" s="8"/>
      <c r="D1713" s="8"/>
      <c r="E1713" s="5">
        <v>102.7</v>
      </c>
      <c r="F1713" s="5">
        <v>5.5</v>
      </c>
      <c r="G1713" s="5">
        <v>97.2</v>
      </c>
      <c r="H1713" s="5">
        <v>0</v>
      </c>
      <c r="I1713" s="36">
        <v>0</v>
      </c>
      <c r="J1713" s="5">
        <v>92.4</v>
      </c>
      <c r="K1713" s="5">
        <v>4.8</v>
      </c>
      <c r="L1713" s="5">
        <v>0</v>
      </c>
      <c r="M1713" s="5">
        <v>8.08</v>
      </c>
      <c r="N1713" s="5"/>
      <c r="O1713" s="5"/>
      <c r="P1713" s="5"/>
    </row>
    <row r="1714" spans="1:16" x14ac:dyDescent="0.2">
      <c r="I1714" s="37"/>
    </row>
    <row r="1715" spans="1:16" ht="12.95" customHeight="1" x14ac:dyDescent="0.2">
      <c r="A1715" s="9" t="s">
        <v>174</v>
      </c>
      <c r="B1715" s="9"/>
      <c r="C1715" s="9"/>
      <c r="E1715" s="9" t="s">
        <v>180</v>
      </c>
      <c r="F1715" s="9"/>
      <c r="G1715" s="9"/>
      <c r="I1715" s="9" t="s">
        <v>181</v>
      </c>
      <c r="J1715" s="9"/>
      <c r="K1715" s="9"/>
    </row>
    <row r="1716" spans="1:16" ht="12.95" customHeight="1" x14ac:dyDescent="0.2">
      <c r="A1716" s="10" t="s">
        <v>175</v>
      </c>
      <c r="B1716" s="10"/>
      <c r="C1716" s="6">
        <v>11</v>
      </c>
      <c r="E1716" s="10" t="s">
        <v>14</v>
      </c>
      <c r="F1716" s="10"/>
      <c r="G1716" s="6">
        <v>92.4</v>
      </c>
      <c r="I1716" s="10" t="s">
        <v>265</v>
      </c>
      <c r="J1716" s="10"/>
      <c r="K1716" s="6">
        <v>30</v>
      </c>
    </row>
    <row r="1717" spans="1:16" ht="12.95" customHeight="1" x14ac:dyDescent="0.2">
      <c r="A1717" s="10" t="s">
        <v>1531</v>
      </c>
      <c r="B1717" s="10"/>
      <c r="C1717" s="6">
        <v>22</v>
      </c>
      <c r="E1717" s="10" t="s">
        <v>15</v>
      </c>
      <c r="F1717" s="10"/>
      <c r="G1717" s="6">
        <v>4.8</v>
      </c>
      <c r="I1717" s="39" t="s">
        <v>1591</v>
      </c>
      <c r="J1717" s="19"/>
      <c r="K1717" s="20">
        <v>0</v>
      </c>
    </row>
    <row r="1718" spans="1:16" ht="12.95" customHeight="1" x14ac:dyDescent="0.2">
      <c r="A1718" s="10" t="s">
        <v>176</v>
      </c>
      <c r="B1718" s="10"/>
      <c r="C1718" s="6">
        <v>102.7</v>
      </c>
      <c r="I1718" s="39" t="s">
        <v>1592</v>
      </c>
      <c r="J1718" s="19"/>
      <c r="K1718" s="20">
        <v>0</v>
      </c>
    </row>
    <row r="1719" spans="1:16" ht="12.95" customHeight="1" x14ac:dyDescent="0.25">
      <c r="A1719" s="10" t="s">
        <v>177</v>
      </c>
      <c r="B1719" s="10"/>
      <c r="C1719" s="6">
        <v>0</v>
      </c>
      <c r="I1719" s="41" t="s">
        <v>1593</v>
      </c>
      <c r="J1719" s="40"/>
      <c r="K1719" s="42">
        <f>K1717+K1718</f>
        <v>0</v>
      </c>
    </row>
    <row r="1720" spans="1:16" ht="12.95" customHeight="1" x14ac:dyDescent="0.2">
      <c r="A1720" s="10" t="s">
        <v>11</v>
      </c>
      <c r="B1720" s="10"/>
      <c r="C1720" s="6">
        <v>97.2</v>
      </c>
    </row>
    <row r="1721" spans="1:16" ht="12.95" customHeight="1" x14ac:dyDescent="0.2">
      <c r="A1721" s="10" t="s">
        <v>178</v>
      </c>
      <c r="B1721" s="10"/>
      <c r="C1721" s="6">
        <v>0</v>
      </c>
    </row>
    <row r="1722" spans="1:16" ht="12.95" customHeight="1" x14ac:dyDescent="0.2">
      <c r="A1722" s="10" t="s">
        <v>17</v>
      </c>
      <c r="B1722" s="10"/>
      <c r="C1722" s="6">
        <v>8.08</v>
      </c>
    </row>
    <row r="1723" spans="1:16" ht="12.95" customHeight="1" x14ac:dyDescent="0.2">
      <c r="A1723" s="10" t="s">
        <v>179</v>
      </c>
      <c r="B1723" s="10"/>
      <c r="C1723" s="6">
        <v>0</v>
      </c>
    </row>
    <row r="1724" spans="1:16" x14ac:dyDescent="0.2">
      <c r="A1724" s="10" t="s">
        <v>10</v>
      </c>
      <c r="B1724" s="10"/>
      <c r="C1724" s="6">
        <v>5.5</v>
      </c>
    </row>
    <row r="1725" spans="1:16" ht="15" x14ac:dyDescent="0.25">
      <c r="A1725" s="154" t="s">
        <v>1615</v>
      </c>
      <c r="B1725" s="154"/>
      <c r="C1725" s="154" cm="1">
        <f t="array" ref="C1725">IFERROR(SUMPRODUCT((ISNUMBER(SEARCH("מילואים",N1677:N1714))+ISNUMBER(SEARCH("מילואים",O1677:O1714))&gt;0)*(C1677:C1714&lt;&gt;"")*(J1677:J1714+0))*24,0)</f>
        <v>92.4</v>
      </c>
    </row>
    <row r="1726" spans="1:16" ht="12.95" customHeight="1" x14ac:dyDescent="0.2">
      <c r="A1726" s="7" t="s">
        <v>1300</v>
      </c>
      <c r="B1726" s="7"/>
      <c r="C1726" s="7"/>
      <c r="D1726" s="7" t="s">
        <v>1</v>
      </c>
      <c r="E1726" s="7"/>
      <c r="F1726" s="7"/>
      <c r="G1726" s="7"/>
      <c r="H1726" s="7" t="s">
        <v>1237</v>
      </c>
      <c r="I1726" s="7"/>
      <c r="J1726" s="7"/>
      <c r="K1726" s="7"/>
      <c r="L1726" s="7"/>
      <c r="M1726" s="7"/>
      <c r="N1726" s="7"/>
      <c r="O1726" s="7"/>
      <c r="P1726" s="7"/>
    </row>
    <row r="1727" spans="1:16" ht="12.95" customHeight="1" x14ac:dyDescent="0.2">
      <c r="A1727" s="7" t="s">
        <v>3</v>
      </c>
      <c r="B1727" s="7"/>
      <c r="C1727" s="7"/>
      <c r="D1727" s="7"/>
      <c r="E1727" s="7"/>
      <c r="F1727" s="7">
        <v>123</v>
      </c>
      <c r="G1727" s="7"/>
      <c r="H1727" s="7" t="s">
        <v>4</v>
      </c>
      <c r="I1727" s="7"/>
      <c r="J1727" s="7"/>
      <c r="K1727" s="7"/>
      <c r="L1727" s="7"/>
      <c r="M1727" s="7"/>
      <c r="N1727" s="7"/>
      <c r="O1727" s="7"/>
      <c r="P1727" s="7"/>
    </row>
    <row r="1728" spans="1:16" ht="22.5" customHeight="1" x14ac:dyDescent="0.2">
      <c r="A1728" s="1" t="s">
        <v>5</v>
      </c>
      <c r="B1728" s="1" t="s">
        <v>6</v>
      </c>
      <c r="C1728" s="1" t="s">
        <v>7</v>
      </c>
      <c r="D1728" s="1" t="s">
        <v>8</v>
      </c>
      <c r="E1728" s="1" t="s">
        <v>9</v>
      </c>
      <c r="F1728" s="1" t="s">
        <v>10</v>
      </c>
      <c r="G1728" s="1" t="s">
        <v>11</v>
      </c>
      <c r="H1728" s="1" t="s">
        <v>12</v>
      </c>
      <c r="I1728" s="1" t="s">
        <v>13</v>
      </c>
      <c r="J1728" s="1" t="s">
        <v>14</v>
      </c>
      <c r="K1728" s="1" t="s">
        <v>15</v>
      </c>
      <c r="L1728" s="1" t="s">
        <v>16</v>
      </c>
      <c r="M1728" s="1" t="s">
        <v>17</v>
      </c>
      <c r="N1728" s="1" t="s">
        <v>18</v>
      </c>
      <c r="O1728" s="108"/>
      <c r="P1728" s="1" t="s">
        <v>20</v>
      </c>
    </row>
    <row r="1729" spans="1:16" ht="12.95" customHeight="1" x14ac:dyDescent="0.2">
      <c r="A1729" s="2" t="s">
        <v>21</v>
      </c>
      <c r="B1729" s="2" t="s">
        <v>22</v>
      </c>
      <c r="C1729" s="2"/>
      <c r="D1729" s="2"/>
      <c r="E1729" s="3"/>
      <c r="F1729" s="2"/>
      <c r="G1729" s="2"/>
      <c r="H1729" s="2" t="s">
        <v>23</v>
      </c>
      <c r="I1729" s="12" t="s">
        <v>23</v>
      </c>
      <c r="J1729" s="2"/>
      <c r="K1729" s="2"/>
      <c r="L1729" s="2"/>
      <c r="M1729" s="2"/>
      <c r="N1729" s="2" t="s">
        <v>24</v>
      </c>
      <c r="O1729" s="2" t="s">
        <v>25</v>
      </c>
      <c r="P1729" s="2"/>
    </row>
    <row r="1730" spans="1:16" ht="12.95" customHeight="1" x14ac:dyDescent="0.2">
      <c r="A1730" s="2" t="s">
        <v>26</v>
      </c>
      <c r="B1730" s="2" t="s">
        <v>27</v>
      </c>
      <c r="C1730" s="2"/>
      <c r="D1730" s="2"/>
      <c r="E1730" s="3"/>
      <c r="F1730" s="2"/>
      <c r="G1730" s="2"/>
      <c r="H1730" s="2"/>
      <c r="I1730" s="13"/>
      <c r="J1730" s="2"/>
      <c r="K1730" s="2"/>
      <c r="L1730" s="2"/>
      <c r="M1730" s="2"/>
      <c r="N1730" s="2" t="s">
        <v>28</v>
      </c>
      <c r="O1730" s="2" t="s">
        <v>29</v>
      </c>
      <c r="P1730" s="2"/>
    </row>
    <row r="1731" spans="1:16" ht="12.95" customHeight="1" x14ac:dyDescent="0.2">
      <c r="A1731" s="4" t="s">
        <v>30</v>
      </c>
      <c r="B1731" s="4" t="s">
        <v>31</v>
      </c>
      <c r="C1731" s="4"/>
      <c r="D1731" s="4"/>
      <c r="E1731" s="3"/>
      <c r="F1731" s="4"/>
      <c r="G1731" s="4"/>
      <c r="H1731" s="4"/>
      <c r="I1731" s="35"/>
      <c r="J1731" s="4"/>
      <c r="K1731" s="4"/>
      <c r="L1731" s="4"/>
      <c r="M1731" s="4"/>
      <c r="N1731" s="4"/>
      <c r="O1731" s="4"/>
      <c r="P1731" s="4"/>
    </row>
    <row r="1732" spans="1:16" ht="12.95" customHeight="1" x14ac:dyDescent="0.2">
      <c r="A1732" s="4" t="s">
        <v>32</v>
      </c>
      <c r="B1732" s="4" t="s">
        <v>31</v>
      </c>
      <c r="C1732" s="4"/>
      <c r="D1732" s="4"/>
      <c r="E1732" s="3"/>
      <c r="F1732" s="4"/>
      <c r="G1732" s="4"/>
      <c r="H1732" s="4"/>
      <c r="I1732" s="35"/>
      <c r="J1732" s="4"/>
      <c r="K1732" s="4"/>
      <c r="L1732" s="4"/>
      <c r="M1732" s="4"/>
      <c r="N1732" s="4"/>
      <c r="O1732" s="4"/>
      <c r="P1732" s="4"/>
    </row>
    <row r="1733" spans="1:16" x14ac:dyDescent="0.2">
      <c r="A1733" s="4" t="s">
        <v>33</v>
      </c>
      <c r="B1733" s="4" t="s">
        <v>34</v>
      </c>
      <c r="C1733" s="4" t="s">
        <v>34</v>
      </c>
      <c r="D1733" s="4" t="s">
        <v>34</v>
      </c>
      <c r="E1733" s="4"/>
      <c r="F1733" s="4"/>
      <c r="G1733" s="4"/>
      <c r="H1733" s="4" t="s">
        <v>23</v>
      </c>
      <c r="I1733" s="35" t="s">
        <v>23</v>
      </c>
      <c r="J1733" s="4"/>
      <c r="K1733" s="4"/>
      <c r="L1733" s="4"/>
      <c r="M1733" s="4"/>
      <c r="N1733" s="4"/>
      <c r="O1733" s="4"/>
      <c r="P1733" s="4"/>
    </row>
    <row r="1734" spans="1:16" ht="12.95" customHeight="1" x14ac:dyDescent="0.2">
      <c r="A1734" s="2" t="s">
        <v>35</v>
      </c>
      <c r="B1734" s="2" t="s">
        <v>36</v>
      </c>
      <c r="C1734" s="2"/>
      <c r="D1734" s="2"/>
      <c r="E1734" s="3"/>
      <c r="F1734" s="2"/>
      <c r="G1734" s="2"/>
      <c r="H1734" s="2"/>
      <c r="I1734" s="13"/>
      <c r="J1734" s="2"/>
      <c r="K1734" s="2"/>
      <c r="L1734" s="2"/>
      <c r="M1734" s="2"/>
      <c r="N1734" s="2" t="s">
        <v>37</v>
      </c>
      <c r="O1734" s="2"/>
      <c r="P1734" s="2"/>
    </row>
    <row r="1735" spans="1:16" ht="12.95" customHeight="1" x14ac:dyDescent="0.2">
      <c r="A1735" s="2" t="s">
        <v>38</v>
      </c>
      <c r="B1735" s="2" t="s">
        <v>36</v>
      </c>
      <c r="C1735" s="2"/>
      <c r="D1735" s="2"/>
      <c r="E1735" s="3"/>
      <c r="F1735" s="2"/>
      <c r="G1735" s="2"/>
      <c r="H1735" s="2"/>
      <c r="I1735" s="13"/>
      <c r="J1735" s="2"/>
      <c r="K1735" s="2"/>
      <c r="L1735" s="2"/>
      <c r="M1735" s="2"/>
      <c r="N1735" s="2" t="s">
        <v>37</v>
      </c>
      <c r="O1735" s="2"/>
      <c r="P1735" s="2"/>
    </row>
    <row r="1736" spans="1:16" ht="12.95" customHeight="1" x14ac:dyDescent="0.2">
      <c r="A1736" s="2" t="s">
        <v>39</v>
      </c>
      <c r="B1736" s="2" t="s">
        <v>22</v>
      </c>
      <c r="C1736" s="2"/>
      <c r="D1736" s="2"/>
      <c r="E1736" s="3"/>
      <c r="F1736" s="2"/>
      <c r="G1736" s="2"/>
      <c r="H1736" s="2" t="s">
        <v>23</v>
      </c>
      <c r="I1736" s="12" t="s">
        <v>23</v>
      </c>
      <c r="J1736" s="2"/>
      <c r="K1736" s="2"/>
      <c r="L1736" s="2"/>
      <c r="M1736" s="2"/>
      <c r="N1736" s="2" t="s">
        <v>24</v>
      </c>
      <c r="O1736" s="2" t="s">
        <v>25</v>
      </c>
      <c r="P1736" s="2"/>
    </row>
    <row r="1737" spans="1:16" ht="12.95" customHeight="1" x14ac:dyDescent="0.2">
      <c r="A1737" s="2" t="s">
        <v>40</v>
      </c>
      <c r="B1737" s="2" t="s">
        <v>27</v>
      </c>
      <c r="C1737" s="2"/>
      <c r="D1737" s="2"/>
      <c r="E1737" s="3"/>
      <c r="F1737" s="2"/>
      <c r="G1737" s="2"/>
      <c r="H1737" s="2"/>
      <c r="I1737" s="13"/>
      <c r="J1737" s="2"/>
      <c r="K1737" s="2"/>
      <c r="L1737" s="2"/>
      <c r="M1737" s="2"/>
      <c r="N1737" s="2" t="s">
        <v>28</v>
      </c>
      <c r="O1737" s="2" t="s">
        <v>25</v>
      </c>
      <c r="P1737" s="2"/>
    </row>
    <row r="1738" spans="1:16" ht="12.95" customHeight="1" x14ac:dyDescent="0.2">
      <c r="A1738" s="2" t="s">
        <v>41</v>
      </c>
      <c r="B1738" s="2" t="s">
        <v>42</v>
      </c>
      <c r="C1738" s="2" t="s">
        <v>402</v>
      </c>
      <c r="D1738" s="2" t="s">
        <v>660</v>
      </c>
      <c r="E1738" s="3" t="s">
        <v>48</v>
      </c>
      <c r="F1738" s="2" t="s">
        <v>46</v>
      </c>
      <c r="G1738" s="2" t="s">
        <v>890</v>
      </c>
      <c r="H1738" s="2" t="s">
        <v>48</v>
      </c>
      <c r="I1738" s="13" t="s">
        <v>46</v>
      </c>
      <c r="J1738" s="2" t="s">
        <v>890</v>
      </c>
      <c r="K1738" s="2"/>
      <c r="L1738" s="2"/>
      <c r="M1738" s="2" t="s">
        <v>281</v>
      </c>
      <c r="N1738" s="2"/>
      <c r="O1738" s="2"/>
      <c r="P1738" s="2"/>
    </row>
    <row r="1739" spans="1:16" ht="12.95" customHeight="1" x14ac:dyDescent="0.2">
      <c r="A1739" s="4" t="s">
        <v>51</v>
      </c>
      <c r="B1739" s="4" t="s">
        <v>31</v>
      </c>
      <c r="C1739" s="4"/>
      <c r="D1739" s="4"/>
      <c r="E1739" s="3"/>
      <c r="F1739" s="4"/>
      <c r="G1739" s="4"/>
      <c r="H1739" s="4"/>
      <c r="I1739" s="35"/>
      <c r="J1739" s="4"/>
      <c r="K1739" s="4"/>
      <c r="L1739" s="4"/>
      <c r="M1739" s="4"/>
      <c r="N1739" s="4"/>
      <c r="O1739" s="4"/>
      <c r="P1739" s="4"/>
    </row>
    <row r="1740" spans="1:16" ht="12.95" customHeight="1" x14ac:dyDescent="0.2">
      <c r="A1740" s="4" t="s">
        <v>52</v>
      </c>
      <c r="B1740" s="4" t="s">
        <v>31</v>
      </c>
      <c r="C1740" s="4"/>
      <c r="D1740" s="4"/>
      <c r="E1740" s="3"/>
      <c r="F1740" s="4"/>
      <c r="G1740" s="4"/>
      <c r="H1740" s="4"/>
      <c r="I1740" s="35"/>
      <c r="J1740" s="4"/>
      <c r="K1740" s="4"/>
      <c r="L1740" s="4"/>
      <c r="M1740" s="4"/>
      <c r="N1740" s="4"/>
      <c r="O1740" s="4"/>
      <c r="P1740" s="4"/>
    </row>
    <row r="1741" spans="1:16" x14ac:dyDescent="0.2">
      <c r="A1741" s="4" t="s">
        <v>33</v>
      </c>
      <c r="B1741" s="4" t="s">
        <v>34</v>
      </c>
      <c r="C1741" s="4" t="s">
        <v>34</v>
      </c>
      <c r="D1741" s="4" t="s">
        <v>34</v>
      </c>
      <c r="E1741" s="4" t="s">
        <v>48</v>
      </c>
      <c r="F1741" s="4" t="s">
        <v>46</v>
      </c>
      <c r="G1741" s="4" t="s">
        <v>890</v>
      </c>
      <c r="H1741" s="4" t="s">
        <v>53</v>
      </c>
      <c r="I1741" s="35" t="s">
        <v>318</v>
      </c>
      <c r="J1741" s="4" t="s">
        <v>890</v>
      </c>
      <c r="K1741" s="4"/>
      <c r="L1741" s="4"/>
      <c r="M1741" s="4" t="s">
        <v>281</v>
      </c>
      <c r="N1741" s="4"/>
      <c r="O1741" s="4"/>
      <c r="P1741" s="4"/>
    </row>
    <row r="1742" spans="1:16" ht="12.95" customHeight="1" x14ac:dyDescent="0.2">
      <c r="A1742" s="2" t="s">
        <v>54</v>
      </c>
      <c r="B1742" s="2" t="s">
        <v>42</v>
      </c>
      <c r="C1742" s="2"/>
      <c r="D1742" s="2"/>
      <c r="E1742" s="3"/>
      <c r="F1742" s="2"/>
      <c r="G1742" s="2"/>
      <c r="H1742" s="2" t="s">
        <v>48</v>
      </c>
      <c r="I1742" s="12" t="s">
        <v>48</v>
      </c>
      <c r="J1742" s="2"/>
      <c r="K1742" s="2"/>
      <c r="L1742" s="2"/>
      <c r="M1742" s="2"/>
      <c r="N1742" s="2"/>
      <c r="O1742" s="2"/>
      <c r="P1742" s="2"/>
    </row>
    <row r="1743" spans="1:16" ht="12.95" customHeight="1" x14ac:dyDescent="0.2">
      <c r="A1743" s="2" t="s">
        <v>61</v>
      </c>
      <c r="B1743" s="2" t="s">
        <v>42</v>
      </c>
      <c r="C1743" s="2" t="s">
        <v>592</v>
      </c>
      <c r="D1743" s="2" t="s">
        <v>105</v>
      </c>
      <c r="E1743" s="3" t="s">
        <v>544</v>
      </c>
      <c r="F1743" s="2" t="s">
        <v>46</v>
      </c>
      <c r="G1743" s="2" t="s">
        <v>639</v>
      </c>
      <c r="H1743" s="2" t="s">
        <v>48</v>
      </c>
      <c r="I1743" s="13" t="s">
        <v>490</v>
      </c>
      <c r="J1743" s="2" t="s">
        <v>639</v>
      </c>
      <c r="K1743" s="2"/>
      <c r="L1743" s="2"/>
      <c r="M1743" s="2" t="s">
        <v>146</v>
      </c>
      <c r="N1743" s="2"/>
      <c r="O1743" s="2"/>
      <c r="P1743" s="2"/>
    </row>
    <row r="1744" spans="1:16" ht="12.95" customHeight="1" x14ac:dyDescent="0.2">
      <c r="A1744" s="2" t="s">
        <v>68</v>
      </c>
      <c r="B1744" s="2" t="s">
        <v>42</v>
      </c>
      <c r="C1744" s="2" t="s">
        <v>135</v>
      </c>
      <c r="D1744" s="2" t="s">
        <v>335</v>
      </c>
      <c r="E1744" s="3" t="s">
        <v>72</v>
      </c>
      <c r="F1744" s="2" t="s">
        <v>46</v>
      </c>
      <c r="G1744" s="2" t="s">
        <v>1299</v>
      </c>
      <c r="H1744" s="2" t="s">
        <v>48</v>
      </c>
      <c r="I1744" s="13" t="s">
        <v>742</v>
      </c>
      <c r="J1744" s="2" t="s">
        <v>1299</v>
      </c>
      <c r="K1744" s="2"/>
      <c r="L1744" s="2"/>
      <c r="M1744" s="2" t="s">
        <v>517</v>
      </c>
      <c r="N1744" s="2"/>
      <c r="O1744" s="2"/>
      <c r="P1744" s="2"/>
    </row>
    <row r="1745" spans="1:16" ht="12.95" customHeight="1" x14ac:dyDescent="0.2">
      <c r="A1745" s="2" t="s">
        <v>75</v>
      </c>
      <c r="B1745" s="2" t="s">
        <v>42</v>
      </c>
      <c r="C1745" s="2" t="s">
        <v>810</v>
      </c>
      <c r="D1745" s="2" t="s">
        <v>667</v>
      </c>
      <c r="E1745" s="3" t="s">
        <v>158</v>
      </c>
      <c r="F1745" s="2" t="s">
        <v>46</v>
      </c>
      <c r="G1745" s="2" t="s">
        <v>1190</v>
      </c>
      <c r="H1745" s="2" t="s">
        <v>48</v>
      </c>
      <c r="I1745" s="13" t="s">
        <v>662</v>
      </c>
      <c r="J1745" s="2" t="s">
        <v>1190</v>
      </c>
      <c r="K1745" s="2"/>
      <c r="L1745" s="2"/>
      <c r="M1745" s="2" t="s">
        <v>95</v>
      </c>
      <c r="N1745" s="2"/>
      <c r="O1745" s="2"/>
      <c r="P1745" s="2"/>
    </row>
    <row r="1746" spans="1:16" ht="12.95" customHeight="1" x14ac:dyDescent="0.2">
      <c r="A1746" s="2" t="s">
        <v>81</v>
      </c>
      <c r="B1746" s="2" t="s">
        <v>42</v>
      </c>
      <c r="C1746" s="2" t="s">
        <v>1037</v>
      </c>
      <c r="D1746" s="2" t="s">
        <v>874</v>
      </c>
      <c r="E1746" s="3" t="s">
        <v>189</v>
      </c>
      <c r="F1746" s="2" t="s">
        <v>46</v>
      </c>
      <c r="G1746" s="2" t="s">
        <v>511</v>
      </c>
      <c r="H1746" s="2" t="s">
        <v>48</v>
      </c>
      <c r="I1746" s="13"/>
      <c r="J1746" s="2" t="s">
        <v>48</v>
      </c>
      <c r="K1746" s="2" t="s">
        <v>512</v>
      </c>
      <c r="L1746" s="2" t="s">
        <v>512</v>
      </c>
      <c r="M1746" s="2" t="s">
        <v>540</v>
      </c>
      <c r="N1746" s="2"/>
      <c r="O1746" s="2"/>
      <c r="P1746" s="2"/>
    </row>
    <row r="1747" spans="1:16" ht="12.95" customHeight="1" x14ac:dyDescent="0.2">
      <c r="A1747" s="4" t="s">
        <v>87</v>
      </c>
      <c r="B1747" s="4" t="s">
        <v>31</v>
      </c>
      <c r="C1747" s="4"/>
      <c r="D1747" s="4"/>
      <c r="E1747" s="3"/>
      <c r="F1747" s="4"/>
      <c r="G1747" s="4"/>
      <c r="H1747" s="4"/>
      <c r="I1747" s="35"/>
      <c r="J1747" s="4"/>
      <c r="K1747" s="4"/>
      <c r="L1747" s="4"/>
      <c r="M1747" s="4"/>
      <c r="N1747" s="4"/>
      <c r="O1747" s="4"/>
      <c r="P1747" s="4"/>
    </row>
    <row r="1748" spans="1:16" ht="12.95" customHeight="1" x14ac:dyDescent="0.2">
      <c r="A1748" s="4" t="s">
        <v>88</v>
      </c>
      <c r="B1748" s="4" t="s">
        <v>31</v>
      </c>
      <c r="C1748" s="4"/>
      <c r="D1748" s="4"/>
      <c r="E1748" s="3"/>
      <c r="F1748" s="4"/>
      <c r="G1748" s="4"/>
      <c r="H1748" s="4"/>
      <c r="I1748" s="35"/>
      <c r="J1748" s="4"/>
      <c r="K1748" s="4"/>
      <c r="L1748" s="4"/>
      <c r="M1748" s="4"/>
      <c r="N1748" s="4"/>
      <c r="O1748" s="4"/>
      <c r="P1748" s="4"/>
    </row>
    <row r="1749" spans="1:16" x14ac:dyDescent="0.2">
      <c r="A1749" s="4" t="s">
        <v>33</v>
      </c>
      <c r="B1749" s="4" t="s">
        <v>34</v>
      </c>
      <c r="C1749" s="4" t="s">
        <v>34</v>
      </c>
      <c r="D1749" s="4" t="s">
        <v>34</v>
      </c>
      <c r="E1749" s="4" t="s">
        <v>1301</v>
      </c>
      <c r="F1749" s="4" t="s">
        <v>272</v>
      </c>
      <c r="G1749" s="4" t="s">
        <v>1302</v>
      </c>
      <c r="H1749" s="4" t="s">
        <v>92</v>
      </c>
      <c r="I1749" s="35" t="s">
        <v>276</v>
      </c>
      <c r="J1749" s="4" t="s">
        <v>1303</v>
      </c>
      <c r="K1749" s="4" t="s">
        <v>512</v>
      </c>
      <c r="L1749" s="4" t="s">
        <v>512</v>
      </c>
      <c r="M1749" s="4" t="s">
        <v>785</v>
      </c>
      <c r="N1749" s="4"/>
      <c r="O1749" s="4"/>
      <c r="P1749" s="4"/>
    </row>
    <row r="1750" spans="1:16" ht="12.95" customHeight="1" x14ac:dyDescent="0.2">
      <c r="A1750" s="2" t="s">
        <v>97</v>
      </c>
      <c r="B1750" s="2" t="s">
        <v>42</v>
      </c>
      <c r="C1750" s="2" t="s">
        <v>299</v>
      </c>
      <c r="D1750" s="2" t="s">
        <v>667</v>
      </c>
      <c r="E1750" s="3" t="s">
        <v>303</v>
      </c>
      <c r="F1750" s="2" t="s">
        <v>46</v>
      </c>
      <c r="G1750" s="2" t="s">
        <v>201</v>
      </c>
      <c r="H1750" s="2" t="s">
        <v>48</v>
      </c>
      <c r="I1750" s="13"/>
      <c r="J1750" s="2" t="s">
        <v>48</v>
      </c>
      <c r="K1750" s="2" t="s">
        <v>273</v>
      </c>
      <c r="L1750" s="2" t="s">
        <v>273</v>
      </c>
      <c r="M1750" s="2" t="s">
        <v>282</v>
      </c>
      <c r="N1750" s="2"/>
      <c r="O1750" s="2" t="s">
        <v>1304</v>
      </c>
      <c r="P1750" s="2"/>
    </row>
    <row r="1751" spans="1:16" ht="12.95" customHeight="1" x14ac:dyDescent="0.2">
      <c r="A1751" s="2" t="s">
        <v>104</v>
      </c>
      <c r="B1751" s="2" t="s">
        <v>42</v>
      </c>
      <c r="C1751" s="2" t="s">
        <v>299</v>
      </c>
      <c r="D1751" s="2" t="s">
        <v>1305</v>
      </c>
      <c r="E1751" s="3" t="s">
        <v>1133</v>
      </c>
      <c r="F1751" s="2" t="s">
        <v>46</v>
      </c>
      <c r="G1751" s="2" t="s">
        <v>1134</v>
      </c>
      <c r="H1751" s="2" t="s">
        <v>108</v>
      </c>
      <c r="I1751" s="13"/>
      <c r="J1751" s="2" t="s">
        <v>48</v>
      </c>
      <c r="K1751" s="2" t="s">
        <v>290</v>
      </c>
      <c r="L1751" s="2" t="s">
        <v>1306</v>
      </c>
      <c r="M1751" s="2" t="s">
        <v>282</v>
      </c>
      <c r="N1751" s="2"/>
      <c r="O1751" s="2"/>
      <c r="P1751" s="2"/>
    </row>
    <row r="1752" spans="1:16" ht="12.95" customHeight="1" x14ac:dyDescent="0.2">
      <c r="A1752" s="2" t="s">
        <v>112</v>
      </c>
      <c r="B1752" s="2" t="s">
        <v>22</v>
      </c>
      <c r="C1752" s="2" t="s">
        <v>299</v>
      </c>
      <c r="D1752" s="2" t="s">
        <v>1307</v>
      </c>
      <c r="E1752" s="3" t="s">
        <v>303</v>
      </c>
      <c r="F1752" s="2" t="s">
        <v>46</v>
      </c>
      <c r="G1752" s="2" t="s">
        <v>201</v>
      </c>
      <c r="H1752" s="2" t="s">
        <v>113</v>
      </c>
      <c r="I1752" s="13"/>
      <c r="J1752" s="2" t="s">
        <v>113</v>
      </c>
      <c r="K1752" s="2" t="s">
        <v>154</v>
      </c>
      <c r="L1752" s="2" t="s">
        <v>154</v>
      </c>
      <c r="M1752" s="2"/>
      <c r="N1752" s="2" t="s">
        <v>24</v>
      </c>
      <c r="O1752" s="2" t="s">
        <v>111</v>
      </c>
      <c r="P1752" s="2"/>
    </row>
    <row r="1753" spans="1:16" ht="12.95" customHeight="1" x14ac:dyDescent="0.2">
      <c r="A1753" s="2" t="s">
        <v>114</v>
      </c>
      <c r="B1753" s="2" t="s">
        <v>27</v>
      </c>
      <c r="C1753" s="2"/>
      <c r="D1753" s="2"/>
      <c r="E1753" s="3"/>
      <c r="F1753" s="2"/>
      <c r="G1753" s="2"/>
      <c r="H1753" s="2"/>
      <c r="I1753" s="13"/>
      <c r="J1753" s="2"/>
      <c r="K1753" s="2"/>
      <c r="L1753" s="2"/>
      <c r="M1753" s="2"/>
      <c r="N1753" s="2" t="s">
        <v>28</v>
      </c>
      <c r="O1753" s="2" t="s">
        <v>111</v>
      </c>
      <c r="P1753" s="2"/>
    </row>
    <row r="1754" spans="1:16" ht="12.95" customHeight="1" x14ac:dyDescent="0.2">
      <c r="A1754" s="2" t="s">
        <v>115</v>
      </c>
      <c r="B1754" s="2" t="s">
        <v>42</v>
      </c>
      <c r="C1754" s="2" t="s">
        <v>205</v>
      </c>
      <c r="D1754" s="2" t="s">
        <v>1149</v>
      </c>
      <c r="E1754" s="3" t="s">
        <v>201</v>
      </c>
      <c r="F1754" s="2" t="s">
        <v>46</v>
      </c>
      <c r="G1754" s="2" t="s">
        <v>810</v>
      </c>
      <c r="H1754" s="2" t="s">
        <v>48</v>
      </c>
      <c r="I1754" s="13" t="s">
        <v>23</v>
      </c>
      <c r="J1754" s="2" t="s">
        <v>810</v>
      </c>
      <c r="K1754" s="2"/>
      <c r="L1754" s="2"/>
      <c r="M1754" s="2" t="s">
        <v>360</v>
      </c>
      <c r="N1754" s="2"/>
      <c r="O1754" s="2"/>
      <c r="P1754" s="2"/>
    </row>
    <row r="1755" spans="1:16" ht="12.95" customHeight="1" x14ac:dyDescent="0.2">
      <c r="A1755" s="4" t="s">
        <v>122</v>
      </c>
      <c r="B1755" s="4" t="s">
        <v>31</v>
      </c>
      <c r="C1755" s="4"/>
      <c r="D1755" s="4"/>
      <c r="E1755" s="3"/>
      <c r="F1755" s="4"/>
      <c r="G1755" s="4"/>
      <c r="H1755" s="4"/>
      <c r="I1755" s="35"/>
      <c r="J1755" s="4"/>
      <c r="K1755" s="4"/>
      <c r="L1755" s="4"/>
      <c r="M1755" s="4"/>
      <c r="N1755" s="4"/>
      <c r="O1755" s="4"/>
      <c r="P1755" s="4"/>
    </row>
    <row r="1756" spans="1:16" ht="12.95" customHeight="1" x14ac:dyDescent="0.2">
      <c r="A1756" s="4" t="s">
        <v>123</v>
      </c>
      <c r="B1756" s="4" t="s">
        <v>31</v>
      </c>
      <c r="C1756" s="4"/>
      <c r="D1756" s="4"/>
      <c r="E1756" s="3"/>
      <c r="F1756" s="4"/>
      <c r="G1756" s="4"/>
      <c r="H1756" s="4"/>
      <c r="I1756" s="35"/>
      <c r="J1756" s="4"/>
      <c r="K1756" s="4"/>
      <c r="L1756" s="4"/>
      <c r="M1756" s="4"/>
      <c r="N1756" s="4"/>
      <c r="O1756" s="4"/>
      <c r="P1756" s="4"/>
    </row>
    <row r="1757" spans="1:16" x14ac:dyDescent="0.2">
      <c r="A1757" s="4" t="s">
        <v>33</v>
      </c>
      <c r="B1757" s="4" t="s">
        <v>34</v>
      </c>
      <c r="C1757" s="4" t="s">
        <v>34</v>
      </c>
      <c r="D1757" s="4" t="s">
        <v>34</v>
      </c>
      <c r="E1757" s="4" t="s">
        <v>1308</v>
      </c>
      <c r="F1757" s="4" t="s">
        <v>272</v>
      </c>
      <c r="G1757" s="4" t="s">
        <v>1309</v>
      </c>
      <c r="H1757" s="4" t="s">
        <v>127</v>
      </c>
      <c r="I1757" s="35" t="s">
        <v>23</v>
      </c>
      <c r="J1757" s="4" t="s">
        <v>1310</v>
      </c>
      <c r="K1757" s="4" t="s">
        <v>522</v>
      </c>
      <c r="L1757" s="4" t="s">
        <v>185</v>
      </c>
      <c r="M1757" s="4" t="s">
        <v>650</v>
      </c>
      <c r="N1757" s="4"/>
      <c r="O1757" s="4"/>
      <c r="P1757" s="4"/>
    </row>
    <row r="1758" spans="1:16" ht="12.95" customHeight="1" x14ac:dyDescent="0.2">
      <c r="A1758" s="2" t="s">
        <v>131</v>
      </c>
      <c r="B1758" s="2" t="s">
        <v>42</v>
      </c>
      <c r="C1758" s="2" t="s">
        <v>299</v>
      </c>
      <c r="D1758" s="2" t="s">
        <v>667</v>
      </c>
      <c r="E1758" s="3" t="s">
        <v>303</v>
      </c>
      <c r="F1758" s="2" t="s">
        <v>46</v>
      </c>
      <c r="G1758" s="2" t="s">
        <v>201</v>
      </c>
      <c r="H1758" s="2" t="s">
        <v>48</v>
      </c>
      <c r="I1758" s="13"/>
      <c r="J1758" s="2" t="s">
        <v>48</v>
      </c>
      <c r="K1758" s="2" t="s">
        <v>273</v>
      </c>
      <c r="L1758" s="2" t="s">
        <v>273</v>
      </c>
      <c r="M1758" s="2" t="s">
        <v>282</v>
      </c>
      <c r="N1758" s="2"/>
      <c r="O1758" s="2" t="s">
        <v>1311</v>
      </c>
      <c r="P1758" s="2"/>
    </row>
    <row r="1759" spans="1:16" ht="12.95" customHeight="1" x14ac:dyDescent="0.2">
      <c r="A1759" s="2" t="s">
        <v>138</v>
      </c>
      <c r="B1759" s="2" t="s">
        <v>42</v>
      </c>
      <c r="C1759" s="2" t="s">
        <v>390</v>
      </c>
      <c r="D1759" s="2" t="s">
        <v>667</v>
      </c>
      <c r="E1759" s="3" t="s">
        <v>1133</v>
      </c>
      <c r="F1759" s="2" t="s">
        <v>46</v>
      </c>
      <c r="G1759" s="2" t="s">
        <v>1134</v>
      </c>
      <c r="H1759" s="2" t="s">
        <v>48</v>
      </c>
      <c r="I1759" s="13"/>
      <c r="J1759" s="2" t="s">
        <v>48</v>
      </c>
      <c r="K1759" s="2" t="s">
        <v>290</v>
      </c>
      <c r="L1759" s="2" t="s">
        <v>290</v>
      </c>
      <c r="M1759" s="2" t="s">
        <v>347</v>
      </c>
      <c r="N1759" s="2"/>
      <c r="O1759" s="2"/>
      <c r="P1759" s="2"/>
    </row>
    <row r="1760" spans="1:16" ht="12.95" customHeight="1" x14ac:dyDescent="0.2">
      <c r="A1760" s="2" t="s">
        <v>143</v>
      </c>
      <c r="B1760" s="2" t="s">
        <v>42</v>
      </c>
      <c r="C1760" s="2" t="s">
        <v>426</v>
      </c>
      <c r="D1760" s="2" t="s">
        <v>1312</v>
      </c>
      <c r="E1760" s="3" t="s">
        <v>303</v>
      </c>
      <c r="F1760" s="2" t="s">
        <v>46</v>
      </c>
      <c r="G1760" s="2" t="s">
        <v>201</v>
      </c>
      <c r="H1760" s="2" t="s">
        <v>48</v>
      </c>
      <c r="I1760" s="13"/>
      <c r="J1760" s="2" t="s">
        <v>48</v>
      </c>
      <c r="K1760" s="2" t="s">
        <v>273</v>
      </c>
      <c r="L1760" s="2" t="s">
        <v>273</v>
      </c>
      <c r="M1760" s="2" t="s">
        <v>428</v>
      </c>
      <c r="N1760" s="2"/>
      <c r="O1760" s="2"/>
      <c r="P1760" s="2"/>
    </row>
    <row r="1761" spans="1:17" ht="12.95" customHeight="1" x14ac:dyDescent="0.2">
      <c r="A1761" s="2" t="s">
        <v>148</v>
      </c>
      <c r="B1761" s="2" t="s">
        <v>42</v>
      </c>
      <c r="C1761" s="2"/>
      <c r="D1761" s="2"/>
      <c r="E1761" s="3"/>
      <c r="F1761" s="2"/>
      <c r="G1761" s="2"/>
      <c r="H1761" s="2" t="s">
        <v>48</v>
      </c>
      <c r="I1761" s="12" t="s">
        <v>48</v>
      </c>
      <c r="J1761" s="2"/>
      <c r="K1761" s="2"/>
      <c r="L1761" s="2"/>
      <c r="M1761" s="2"/>
      <c r="N1761" s="2"/>
      <c r="O1761" s="2"/>
      <c r="P1761" s="2"/>
    </row>
    <row r="1762" spans="1:17" ht="12.95" customHeight="1" x14ac:dyDescent="0.2">
      <c r="A1762" s="2" t="s">
        <v>155</v>
      </c>
      <c r="B1762" s="2" t="s">
        <v>42</v>
      </c>
      <c r="C1762" s="2" t="s">
        <v>398</v>
      </c>
      <c r="D1762" s="2" t="s">
        <v>660</v>
      </c>
      <c r="E1762" s="3" t="s">
        <v>201</v>
      </c>
      <c r="F1762" s="2" t="s">
        <v>46</v>
      </c>
      <c r="G1762" s="2" t="s">
        <v>810</v>
      </c>
      <c r="H1762" s="2" t="s">
        <v>48</v>
      </c>
      <c r="I1762" s="13" t="s">
        <v>23</v>
      </c>
      <c r="J1762" s="2" t="s">
        <v>810</v>
      </c>
      <c r="K1762" s="2"/>
      <c r="L1762" s="2"/>
      <c r="M1762" s="2" t="s">
        <v>282</v>
      </c>
      <c r="N1762" s="2"/>
      <c r="O1762" s="2"/>
      <c r="P1762" s="2"/>
    </row>
    <row r="1763" spans="1:17" ht="12.95" customHeight="1" x14ac:dyDescent="0.2">
      <c r="A1763" s="8" t="s">
        <v>161</v>
      </c>
      <c r="B1763" s="8"/>
      <c r="C1763" s="8"/>
      <c r="D1763" s="8"/>
      <c r="E1763" s="5" t="s">
        <v>1313</v>
      </c>
      <c r="F1763" s="5" t="s">
        <v>355</v>
      </c>
      <c r="G1763" s="5" t="s">
        <v>1314</v>
      </c>
      <c r="H1763" s="5" t="s">
        <v>165</v>
      </c>
      <c r="I1763" s="36" t="s">
        <v>1315</v>
      </c>
      <c r="J1763" s="5" t="s">
        <v>1316</v>
      </c>
      <c r="K1763" s="5" t="s">
        <v>1317</v>
      </c>
      <c r="L1763" s="5" t="s">
        <v>498</v>
      </c>
      <c r="M1763" s="5" t="s">
        <v>197</v>
      </c>
      <c r="N1763" s="5"/>
      <c r="O1763" s="5"/>
      <c r="P1763" s="5"/>
    </row>
    <row r="1764" spans="1:17" ht="12.95" customHeight="1" x14ac:dyDescent="0.2">
      <c r="A1764" s="8" t="s">
        <v>171</v>
      </c>
      <c r="B1764" s="8"/>
      <c r="C1764" s="8"/>
      <c r="D1764" s="8"/>
      <c r="E1764" s="5" t="s">
        <v>1313</v>
      </c>
      <c r="F1764" s="5" t="s">
        <v>355</v>
      </c>
      <c r="G1764" s="5" t="s">
        <v>1314</v>
      </c>
      <c r="H1764" s="5" t="s">
        <v>165</v>
      </c>
      <c r="I1764" s="36" t="s">
        <v>449</v>
      </c>
      <c r="J1764" s="5" t="s">
        <v>1316</v>
      </c>
      <c r="K1764" s="5" t="s">
        <v>1317</v>
      </c>
      <c r="L1764" s="5" t="s">
        <v>498</v>
      </c>
      <c r="M1764" s="5" t="s">
        <v>197</v>
      </c>
      <c r="N1764" s="5"/>
      <c r="O1764" s="5"/>
      <c r="P1764" s="5"/>
    </row>
    <row r="1765" spans="1:17" ht="12.95" customHeight="1" x14ac:dyDescent="0.2">
      <c r="A1765" s="8" t="s">
        <v>173</v>
      </c>
      <c r="B1765" s="8"/>
      <c r="C1765" s="8"/>
      <c r="D1765" s="8"/>
      <c r="E1765" s="5">
        <v>114.46</v>
      </c>
      <c r="F1765" s="5">
        <v>6.5</v>
      </c>
      <c r="G1765" s="5">
        <v>107.96</v>
      </c>
      <c r="H1765" s="5">
        <v>118.8</v>
      </c>
      <c r="I1765" s="36">
        <v>10.83</v>
      </c>
      <c r="J1765" s="5">
        <v>106.25</v>
      </c>
      <c r="K1765" s="5">
        <v>1.71</v>
      </c>
      <c r="L1765" s="5">
        <v>8.7100000000000009</v>
      </c>
      <c r="M1765" s="5">
        <v>10.28</v>
      </c>
      <c r="N1765" s="5"/>
      <c r="O1765" s="5"/>
      <c r="P1765" s="5"/>
    </row>
    <row r="1766" spans="1:17" x14ac:dyDescent="0.2">
      <c r="I1766" s="37"/>
    </row>
    <row r="1767" spans="1:17" ht="12.95" customHeight="1" x14ac:dyDescent="0.2">
      <c r="A1767" s="9" t="s">
        <v>174</v>
      </c>
      <c r="B1767" s="9"/>
      <c r="C1767" s="9"/>
      <c r="E1767" s="9" t="s">
        <v>180</v>
      </c>
      <c r="F1767" s="9"/>
      <c r="G1767" s="9"/>
      <c r="I1767" s="9" t="s">
        <v>181</v>
      </c>
      <c r="J1767" s="9"/>
      <c r="K1767" s="9"/>
    </row>
    <row r="1768" spans="1:17" ht="12.95" customHeight="1" x14ac:dyDescent="0.2">
      <c r="A1768" s="10" t="s">
        <v>175</v>
      </c>
      <c r="B1768" s="10"/>
      <c r="C1768" s="6">
        <v>13</v>
      </c>
      <c r="E1768" s="10" t="s">
        <v>14</v>
      </c>
      <c r="F1768" s="10"/>
      <c r="G1768" s="6">
        <v>106.25</v>
      </c>
      <c r="I1768" s="10" t="s">
        <v>27</v>
      </c>
      <c r="J1768" s="10"/>
      <c r="K1768" s="26">
        <v>3</v>
      </c>
    </row>
    <row r="1769" spans="1:17" ht="12.95" customHeight="1" x14ac:dyDescent="0.2">
      <c r="A1769" s="10" t="s">
        <v>1531</v>
      </c>
      <c r="B1769" s="10"/>
      <c r="C1769" s="131">
        <v>20</v>
      </c>
      <c r="E1769" s="10" t="s">
        <v>15</v>
      </c>
      <c r="F1769" s="10"/>
      <c r="G1769" s="6">
        <v>1.71</v>
      </c>
      <c r="I1769" s="10" t="s">
        <v>22</v>
      </c>
      <c r="J1769" s="10"/>
      <c r="K1769" s="26">
        <v>2</v>
      </c>
    </row>
    <row r="1770" spans="1:17" ht="12.95" customHeight="1" x14ac:dyDescent="0.2">
      <c r="A1770" s="10" t="s">
        <v>176</v>
      </c>
      <c r="B1770" s="10"/>
      <c r="C1770" s="6">
        <v>114.46</v>
      </c>
      <c r="I1770" s="10" t="s">
        <v>36</v>
      </c>
      <c r="J1770" s="10"/>
      <c r="K1770" s="26">
        <v>2</v>
      </c>
    </row>
    <row r="1771" spans="1:17" ht="12.95" customHeight="1" x14ac:dyDescent="0.2">
      <c r="A1771" s="10" t="s">
        <v>177</v>
      </c>
      <c r="B1771" s="10"/>
      <c r="C1771" s="6">
        <v>118.8</v>
      </c>
      <c r="I1771" s="39" t="s">
        <v>1591</v>
      </c>
      <c r="J1771" s="19"/>
      <c r="K1771" s="20">
        <v>1</v>
      </c>
    </row>
    <row r="1772" spans="1:17" ht="12.95" customHeight="1" x14ac:dyDescent="0.2">
      <c r="A1772" s="10" t="s">
        <v>11</v>
      </c>
      <c r="B1772" s="10"/>
      <c r="C1772" s="6">
        <v>107.96</v>
      </c>
      <c r="I1772" s="39" t="s">
        <v>1592</v>
      </c>
      <c r="J1772" s="19"/>
      <c r="K1772" s="38">
        <v>2</v>
      </c>
    </row>
    <row r="1773" spans="1:17" ht="12.95" customHeight="1" x14ac:dyDescent="0.25">
      <c r="A1773" s="10" t="s">
        <v>178</v>
      </c>
      <c r="B1773" s="10"/>
      <c r="C1773" s="30">
        <v>19.55</v>
      </c>
      <c r="I1773" s="41" t="s">
        <v>1593</v>
      </c>
      <c r="J1773" s="40"/>
      <c r="K1773" s="42">
        <f>K1771+K1772</f>
        <v>3</v>
      </c>
    </row>
    <row r="1774" spans="1:17" ht="12.95" customHeight="1" x14ac:dyDescent="0.2">
      <c r="A1774" s="28" t="s">
        <v>1571</v>
      </c>
      <c r="B1774" s="27"/>
      <c r="C1774" s="31">
        <v>-0.8</v>
      </c>
      <c r="L1774" s="142"/>
      <c r="M1774" s="142"/>
      <c r="N1774" s="142"/>
      <c r="O1774" s="142"/>
      <c r="P1774" s="142"/>
      <c r="Q1774" s="142"/>
    </row>
    <row r="1775" spans="1:17" ht="12.95" customHeight="1" x14ac:dyDescent="0.2">
      <c r="A1775" s="29" t="s">
        <v>1572</v>
      </c>
      <c r="B1775" s="29"/>
      <c r="C1775" s="32">
        <f>C1773+C1774</f>
        <v>18.75</v>
      </c>
      <c r="E1775" s="143" t="s">
        <v>1762</v>
      </c>
      <c r="F1775" s="143"/>
      <c r="G1775" s="143"/>
      <c r="H1775" s="143"/>
      <c r="I1775" s="143"/>
      <c r="J1775" s="143"/>
      <c r="K1775" s="143"/>
      <c r="L1775" s="143"/>
      <c r="M1775" s="143"/>
      <c r="N1775" s="143"/>
      <c r="O1775" s="143"/>
      <c r="P1775" s="143"/>
      <c r="Q1775" s="143"/>
    </row>
    <row r="1776" spans="1:17" x14ac:dyDescent="0.2">
      <c r="A1776" s="10" t="s">
        <v>10</v>
      </c>
      <c r="B1776" s="10"/>
      <c r="C1776" s="6">
        <v>6.5</v>
      </c>
    </row>
    <row r="1777" spans="1:16" x14ac:dyDescent="0.2">
      <c r="A1777" t="s">
        <v>1615</v>
      </c>
      <c r="C1777" cm="1">
        <f t="array" ref="C1777">IFERROR(SUMPRODUCT((ISNUMBER(SEARCH("מילואים",N1729:N1766))+ISNUMBER(SEARCH("מילואים",O1729:O1766))&gt;0)*(C1729:C1766&lt;&gt;"")*(J1729:J1766+0))*24,0)</f>
        <v>0</v>
      </c>
    </row>
    <row r="1778" spans="1:16" ht="12.95" customHeight="1" x14ac:dyDescent="0.2">
      <c r="A1778" s="7" t="s">
        <v>1318</v>
      </c>
      <c r="B1778" s="7"/>
      <c r="C1778" s="7"/>
      <c r="D1778" s="7" t="s">
        <v>1</v>
      </c>
      <c r="E1778" s="7"/>
      <c r="F1778" s="7"/>
      <c r="G1778" s="7"/>
      <c r="H1778" s="7" t="s">
        <v>1237</v>
      </c>
      <c r="I1778" s="7"/>
      <c r="J1778" s="7"/>
      <c r="K1778" s="7"/>
      <c r="L1778" s="7"/>
      <c r="M1778" s="7"/>
      <c r="N1778" s="7"/>
      <c r="O1778" s="7"/>
      <c r="P1778" s="7"/>
    </row>
    <row r="1779" spans="1:16" ht="12.95" customHeight="1" x14ac:dyDescent="0.2">
      <c r="A1779" s="7" t="s">
        <v>3</v>
      </c>
      <c r="B1779" s="7"/>
      <c r="C1779" s="7"/>
      <c r="D1779" s="7"/>
      <c r="E1779" s="7"/>
      <c r="F1779" s="7">
        <v>94</v>
      </c>
      <c r="G1779" s="7"/>
      <c r="H1779" s="7" t="s">
        <v>4</v>
      </c>
      <c r="I1779" s="7"/>
      <c r="J1779" s="7"/>
      <c r="K1779" s="7"/>
      <c r="L1779" s="7"/>
      <c r="M1779" s="7"/>
      <c r="N1779" s="7"/>
      <c r="O1779" s="7"/>
      <c r="P1779" s="7"/>
    </row>
    <row r="1780" spans="1:16" ht="22.5" customHeight="1" x14ac:dyDescent="0.2">
      <c r="A1780" s="1" t="s">
        <v>5</v>
      </c>
      <c r="B1780" s="1" t="s">
        <v>6</v>
      </c>
      <c r="C1780" s="1" t="s">
        <v>7</v>
      </c>
      <c r="D1780" s="1" t="s">
        <v>8</v>
      </c>
      <c r="E1780" s="1" t="s">
        <v>9</v>
      </c>
      <c r="F1780" s="1" t="s">
        <v>10</v>
      </c>
      <c r="G1780" s="1" t="s">
        <v>11</v>
      </c>
      <c r="H1780" s="1" t="s">
        <v>12</v>
      </c>
      <c r="I1780" s="1" t="s">
        <v>13</v>
      </c>
      <c r="J1780" s="1" t="s">
        <v>14</v>
      </c>
      <c r="K1780" s="1" t="s">
        <v>15</v>
      </c>
      <c r="L1780" s="1" t="s">
        <v>16</v>
      </c>
      <c r="M1780" s="1" t="s">
        <v>17</v>
      </c>
      <c r="N1780" s="1" t="s">
        <v>18</v>
      </c>
      <c r="O1780" s="1" t="s">
        <v>19</v>
      </c>
      <c r="P1780" s="1" t="s">
        <v>20</v>
      </c>
    </row>
    <row r="1781" spans="1:16" ht="12.95" customHeight="1" x14ac:dyDescent="0.2">
      <c r="A1781" s="2" t="s">
        <v>21</v>
      </c>
      <c r="B1781" s="2" t="s">
        <v>22</v>
      </c>
      <c r="C1781" s="2" t="s">
        <v>98</v>
      </c>
      <c r="D1781" s="2" t="s">
        <v>1319</v>
      </c>
      <c r="E1781" s="3" t="s">
        <v>503</v>
      </c>
      <c r="F1781" s="2" t="s">
        <v>46</v>
      </c>
      <c r="G1781" s="2" t="s">
        <v>570</v>
      </c>
      <c r="H1781" s="2" t="s">
        <v>23</v>
      </c>
      <c r="I1781" s="13"/>
      <c r="J1781" s="2" t="s">
        <v>570</v>
      </c>
      <c r="K1781" s="2"/>
      <c r="L1781" s="2" t="s">
        <v>1320</v>
      </c>
      <c r="M1781" s="2"/>
      <c r="N1781" s="2" t="s">
        <v>24</v>
      </c>
      <c r="O1781" s="2" t="s">
        <v>25</v>
      </c>
      <c r="P1781" s="2"/>
    </row>
    <row r="1782" spans="1:16" ht="12.95" customHeight="1" x14ac:dyDescent="0.2">
      <c r="A1782" s="2" t="s">
        <v>26</v>
      </c>
      <c r="B1782" s="2" t="s">
        <v>27</v>
      </c>
      <c r="C1782" s="2"/>
      <c r="D1782" s="2"/>
      <c r="E1782" s="3"/>
      <c r="F1782" s="2"/>
      <c r="G1782" s="2"/>
      <c r="H1782" s="2"/>
      <c r="I1782" s="13"/>
      <c r="J1782" s="2"/>
      <c r="K1782" s="2"/>
      <c r="L1782" s="2"/>
      <c r="M1782" s="2"/>
      <c r="N1782" s="2" t="s">
        <v>28</v>
      </c>
      <c r="O1782" s="2" t="s">
        <v>29</v>
      </c>
      <c r="P1782" s="2"/>
    </row>
    <row r="1783" spans="1:16" ht="12.95" customHeight="1" x14ac:dyDescent="0.2">
      <c r="A1783" s="4" t="s">
        <v>30</v>
      </c>
      <c r="B1783" s="4" t="s">
        <v>31</v>
      </c>
      <c r="C1783" s="4"/>
      <c r="D1783" s="4"/>
      <c r="E1783" s="3"/>
      <c r="F1783" s="4"/>
      <c r="G1783" s="4"/>
      <c r="H1783" s="4"/>
      <c r="I1783" s="35"/>
      <c r="J1783" s="4"/>
      <c r="K1783" s="4"/>
      <c r="L1783" s="4"/>
      <c r="M1783" s="4"/>
      <c r="N1783" s="4"/>
      <c r="O1783" s="4"/>
      <c r="P1783" s="4"/>
    </row>
    <row r="1784" spans="1:16" ht="12.95" customHeight="1" x14ac:dyDescent="0.2">
      <c r="A1784" s="4" t="s">
        <v>32</v>
      </c>
      <c r="B1784" s="4" t="s">
        <v>31</v>
      </c>
      <c r="C1784" s="4"/>
      <c r="D1784" s="4"/>
      <c r="E1784" s="3"/>
      <c r="F1784" s="4"/>
      <c r="G1784" s="4"/>
      <c r="H1784" s="4"/>
      <c r="I1784" s="35"/>
      <c r="J1784" s="4"/>
      <c r="K1784" s="4"/>
      <c r="L1784" s="4"/>
      <c r="M1784" s="4"/>
      <c r="N1784" s="4"/>
      <c r="O1784" s="4"/>
      <c r="P1784" s="4"/>
    </row>
    <row r="1785" spans="1:16" x14ac:dyDescent="0.2">
      <c r="A1785" s="4" t="s">
        <v>33</v>
      </c>
      <c r="B1785" s="4" t="s">
        <v>34</v>
      </c>
      <c r="C1785" s="4" t="s">
        <v>34</v>
      </c>
      <c r="D1785" s="4" t="s">
        <v>34</v>
      </c>
      <c r="E1785" s="4" t="s">
        <v>503</v>
      </c>
      <c r="F1785" s="4" t="s">
        <v>46</v>
      </c>
      <c r="G1785" s="4" t="s">
        <v>570</v>
      </c>
      <c r="H1785" s="4" t="s">
        <v>23</v>
      </c>
      <c r="I1785" s="35"/>
      <c r="J1785" s="4" t="s">
        <v>570</v>
      </c>
      <c r="K1785" s="4"/>
      <c r="L1785" s="4" t="s">
        <v>1320</v>
      </c>
      <c r="M1785" s="4"/>
      <c r="N1785" s="4"/>
      <c r="O1785" s="4"/>
      <c r="P1785" s="4"/>
    </row>
    <row r="1786" spans="1:16" ht="12.95" customHeight="1" x14ac:dyDescent="0.2">
      <c r="A1786" s="2" t="s">
        <v>35</v>
      </c>
      <c r="B1786" s="2" t="s">
        <v>36</v>
      </c>
      <c r="C1786" s="2" t="s">
        <v>277</v>
      </c>
      <c r="D1786" s="2" t="s">
        <v>549</v>
      </c>
      <c r="E1786" s="3" t="s">
        <v>516</v>
      </c>
      <c r="F1786" s="2"/>
      <c r="G1786" s="2" t="s">
        <v>516</v>
      </c>
      <c r="H1786" s="2"/>
      <c r="I1786" s="13"/>
      <c r="J1786" s="2" t="s">
        <v>48</v>
      </c>
      <c r="K1786" s="2" t="s">
        <v>46</v>
      </c>
      <c r="L1786" s="2"/>
      <c r="M1786" s="2"/>
      <c r="N1786" s="2"/>
      <c r="O1786" s="2"/>
      <c r="P1786" s="2"/>
    </row>
    <row r="1787" spans="1:16" ht="12.95" customHeight="1" x14ac:dyDescent="0.2">
      <c r="A1787" s="2" t="s">
        <v>38</v>
      </c>
      <c r="B1787" s="2" t="s">
        <v>36</v>
      </c>
      <c r="C1787" s="2" t="s">
        <v>82</v>
      </c>
      <c r="D1787" s="2" t="s">
        <v>487</v>
      </c>
      <c r="E1787" s="3" t="s">
        <v>516</v>
      </c>
      <c r="F1787" s="2"/>
      <c r="G1787" s="2" t="s">
        <v>516</v>
      </c>
      <c r="H1787" s="2"/>
      <c r="I1787" s="13"/>
      <c r="J1787" s="2" t="s">
        <v>48</v>
      </c>
      <c r="K1787" s="2" t="s">
        <v>46</v>
      </c>
      <c r="L1787" s="2"/>
      <c r="M1787" s="2"/>
      <c r="N1787" s="2"/>
      <c r="O1787" s="2"/>
      <c r="P1787" s="2"/>
    </row>
    <row r="1788" spans="1:16" ht="12.95" customHeight="1" x14ac:dyDescent="0.2">
      <c r="A1788" s="2" t="s">
        <v>39</v>
      </c>
      <c r="B1788" s="2" t="s">
        <v>22</v>
      </c>
      <c r="C1788" s="2" t="s">
        <v>592</v>
      </c>
      <c r="D1788" s="2" t="s">
        <v>1321</v>
      </c>
      <c r="E1788" s="3" t="s">
        <v>503</v>
      </c>
      <c r="F1788" s="2" t="s">
        <v>46</v>
      </c>
      <c r="G1788" s="2" t="s">
        <v>570</v>
      </c>
      <c r="H1788" s="2" t="s">
        <v>23</v>
      </c>
      <c r="I1788" s="13"/>
      <c r="J1788" s="2" t="s">
        <v>570</v>
      </c>
      <c r="K1788" s="2"/>
      <c r="L1788" s="2" t="s">
        <v>1320</v>
      </c>
      <c r="M1788" s="2"/>
      <c r="N1788" s="2" t="s">
        <v>24</v>
      </c>
      <c r="O1788" s="2" t="s">
        <v>25</v>
      </c>
      <c r="P1788" s="2"/>
    </row>
    <row r="1789" spans="1:16" ht="12.95" customHeight="1" x14ac:dyDescent="0.2">
      <c r="A1789" s="2" t="s">
        <v>40</v>
      </c>
      <c r="B1789" s="2" t="s">
        <v>27</v>
      </c>
      <c r="C1789" s="2"/>
      <c r="D1789" s="2"/>
      <c r="E1789" s="3"/>
      <c r="F1789" s="2"/>
      <c r="G1789" s="2"/>
      <c r="H1789" s="2"/>
      <c r="I1789" s="13"/>
      <c r="J1789" s="2"/>
      <c r="K1789" s="2"/>
      <c r="L1789" s="2"/>
      <c r="M1789" s="2"/>
      <c r="N1789" s="2" t="s">
        <v>28</v>
      </c>
      <c r="O1789" s="2" t="s">
        <v>25</v>
      </c>
      <c r="P1789" s="2"/>
    </row>
    <row r="1790" spans="1:16" ht="12.95" customHeight="1" x14ac:dyDescent="0.2">
      <c r="A1790" s="2" t="s">
        <v>41</v>
      </c>
      <c r="B1790" s="2" t="s">
        <v>42</v>
      </c>
      <c r="C1790" s="2" t="s">
        <v>878</v>
      </c>
      <c r="D1790" s="2" t="s">
        <v>1199</v>
      </c>
      <c r="E1790" s="3" t="s">
        <v>516</v>
      </c>
      <c r="F1790" s="2" t="s">
        <v>46</v>
      </c>
      <c r="G1790" s="2" t="s">
        <v>48</v>
      </c>
      <c r="H1790" s="2" t="s">
        <v>48</v>
      </c>
      <c r="I1790" s="13"/>
      <c r="J1790" s="2" t="s">
        <v>48</v>
      </c>
      <c r="K1790" s="2"/>
      <c r="L1790" s="2"/>
      <c r="M1790" s="2" t="s">
        <v>484</v>
      </c>
      <c r="N1790" s="2"/>
      <c r="O1790" s="2"/>
      <c r="P1790" s="2"/>
    </row>
    <row r="1791" spans="1:16" ht="12.95" customHeight="1" x14ac:dyDescent="0.2">
      <c r="A1791" s="4" t="s">
        <v>51</v>
      </c>
      <c r="B1791" s="4" t="s">
        <v>31</v>
      </c>
      <c r="C1791" s="4"/>
      <c r="D1791" s="4"/>
      <c r="E1791" s="3"/>
      <c r="F1791" s="4"/>
      <c r="G1791" s="4"/>
      <c r="H1791" s="4"/>
      <c r="I1791" s="35"/>
      <c r="J1791" s="4"/>
      <c r="K1791" s="4"/>
      <c r="L1791" s="4"/>
      <c r="M1791" s="4"/>
      <c r="N1791" s="4"/>
      <c r="O1791" s="4"/>
      <c r="P1791" s="4"/>
    </row>
    <row r="1792" spans="1:16" ht="12.95" customHeight="1" x14ac:dyDescent="0.2">
      <c r="A1792" s="4" t="s">
        <v>52</v>
      </c>
      <c r="B1792" s="4" t="s">
        <v>31</v>
      </c>
      <c r="C1792" s="4"/>
      <c r="D1792" s="4"/>
      <c r="E1792" s="3"/>
      <c r="F1792" s="4"/>
      <c r="G1792" s="4"/>
      <c r="H1792" s="4"/>
      <c r="I1792" s="35"/>
      <c r="J1792" s="4"/>
      <c r="K1792" s="4"/>
      <c r="L1792" s="4"/>
      <c r="M1792" s="4"/>
      <c r="N1792" s="4"/>
      <c r="O1792" s="4"/>
      <c r="P1792" s="4"/>
    </row>
    <row r="1793" spans="1:16" x14ac:dyDescent="0.2">
      <c r="A1793" s="4" t="s">
        <v>33</v>
      </c>
      <c r="B1793" s="4" t="s">
        <v>34</v>
      </c>
      <c r="C1793" s="4" t="s">
        <v>34</v>
      </c>
      <c r="D1793" s="4" t="s">
        <v>34</v>
      </c>
      <c r="E1793" s="4" t="s">
        <v>1322</v>
      </c>
      <c r="F1793" s="4" t="s">
        <v>95</v>
      </c>
      <c r="G1793" s="4" t="s">
        <v>1323</v>
      </c>
      <c r="H1793" s="4" t="s">
        <v>53</v>
      </c>
      <c r="I1793" s="35"/>
      <c r="J1793" s="4" t="s">
        <v>1324</v>
      </c>
      <c r="K1793" s="4" t="s">
        <v>95</v>
      </c>
      <c r="L1793" s="4" t="s">
        <v>1320</v>
      </c>
      <c r="M1793" s="4" t="s">
        <v>484</v>
      </c>
      <c r="N1793" s="4"/>
      <c r="O1793" s="4"/>
      <c r="P1793" s="4"/>
    </row>
    <row r="1794" spans="1:16" ht="12.95" customHeight="1" x14ac:dyDescent="0.2">
      <c r="A1794" s="2" t="s">
        <v>54</v>
      </c>
      <c r="B1794" s="2" t="s">
        <v>42</v>
      </c>
      <c r="C1794" s="2" t="s">
        <v>639</v>
      </c>
      <c r="D1794" s="2" t="s">
        <v>1243</v>
      </c>
      <c r="E1794" s="3" t="s">
        <v>45</v>
      </c>
      <c r="F1794" s="2" t="s">
        <v>46</v>
      </c>
      <c r="G1794" s="2" t="s">
        <v>47</v>
      </c>
      <c r="H1794" s="2" t="s">
        <v>48</v>
      </c>
      <c r="I1794" s="13"/>
      <c r="J1794" s="2" t="s">
        <v>48</v>
      </c>
      <c r="K1794" s="2" t="s">
        <v>49</v>
      </c>
      <c r="L1794" s="2" t="s">
        <v>49</v>
      </c>
      <c r="M1794" s="2" t="s">
        <v>642</v>
      </c>
      <c r="N1794" s="2"/>
      <c r="O1794" s="2"/>
      <c r="P1794" s="2"/>
    </row>
    <row r="1795" spans="1:16" ht="12.95" customHeight="1" x14ac:dyDescent="0.2">
      <c r="A1795" s="2" t="s">
        <v>61</v>
      </c>
      <c r="B1795" s="2" t="s">
        <v>42</v>
      </c>
      <c r="C1795" s="2" t="s">
        <v>394</v>
      </c>
      <c r="D1795" s="2" t="s">
        <v>1325</v>
      </c>
      <c r="E1795" s="3" t="s">
        <v>516</v>
      </c>
      <c r="F1795" s="2" t="s">
        <v>46</v>
      </c>
      <c r="G1795" s="2" t="s">
        <v>48</v>
      </c>
      <c r="H1795" s="2" t="s">
        <v>48</v>
      </c>
      <c r="I1795" s="13"/>
      <c r="J1795" s="2" t="s">
        <v>48</v>
      </c>
      <c r="K1795" s="2"/>
      <c r="L1795" s="2"/>
      <c r="M1795" s="2" t="s">
        <v>1326</v>
      </c>
      <c r="N1795" s="2"/>
      <c r="O1795" s="2"/>
      <c r="P1795" s="2"/>
    </row>
    <row r="1796" spans="1:16" ht="12.95" customHeight="1" x14ac:dyDescent="0.2">
      <c r="A1796" s="2" t="s">
        <v>68</v>
      </c>
      <c r="B1796" s="2" t="s">
        <v>42</v>
      </c>
      <c r="C1796" s="2" t="s">
        <v>878</v>
      </c>
      <c r="D1796" s="2" t="s">
        <v>1199</v>
      </c>
      <c r="E1796" s="3" t="s">
        <v>516</v>
      </c>
      <c r="F1796" s="2" t="s">
        <v>46</v>
      </c>
      <c r="G1796" s="2" t="s">
        <v>48</v>
      </c>
      <c r="H1796" s="2" t="s">
        <v>48</v>
      </c>
      <c r="I1796" s="13"/>
      <c r="J1796" s="2" t="s">
        <v>48</v>
      </c>
      <c r="K1796" s="2"/>
      <c r="L1796" s="2"/>
      <c r="M1796" s="2" t="s">
        <v>484</v>
      </c>
      <c r="N1796" s="2"/>
      <c r="O1796" s="2"/>
      <c r="P1796" s="2"/>
    </row>
    <row r="1797" spans="1:16" ht="12.95" customHeight="1" x14ac:dyDescent="0.2">
      <c r="A1797" s="2" t="s">
        <v>75</v>
      </c>
      <c r="B1797" s="2" t="s">
        <v>42</v>
      </c>
      <c r="C1797" s="2" t="s">
        <v>277</v>
      </c>
      <c r="D1797" s="2" t="s">
        <v>549</v>
      </c>
      <c r="E1797" s="3" t="s">
        <v>516</v>
      </c>
      <c r="F1797" s="2" t="s">
        <v>46</v>
      </c>
      <c r="G1797" s="2" t="s">
        <v>48</v>
      </c>
      <c r="H1797" s="2" t="s">
        <v>48</v>
      </c>
      <c r="I1797" s="13"/>
      <c r="J1797" s="2" t="s">
        <v>48</v>
      </c>
      <c r="K1797" s="2"/>
      <c r="L1797" s="2"/>
      <c r="M1797" s="2" t="s">
        <v>172</v>
      </c>
      <c r="N1797" s="2"/>
      <c r="O1797" s="2"/>
      <c r="P1797" s="2"/>
    </row>
    <row r="1798" spans="1:16" ht="12.95" customHeight="1" x14ac:dyDescent="0.2">
      <c r="A1798" s="2" t="s">
        <v>81</v>
      </c>
      <c r="B1798" s="2" t="s">
        <v>42</v>
      </c>
      <c r="C1798" s="2" t="s">
        <v>135</v>
      </c>
      <c r="D1798" s="2" t="s">
        <v>1327</v>
      </c>
      <c r="E1798" s="3" t="s">
        <v>134</v>
      </c>
      <c r="F1798" s="2" t="s">
        <v>46</v>
      </c>
      <c r="G1798" s="2" t="s">
        <v>135</v>
      </c>
      <c r="H1798" s="2" t="s">
        <v>48</v>
      </c>
      <c r="I1798" s="13"/>
      <c r="J1798" s="2" t="s">
        <v>48</v>
      </c>
      <c r="K1798" s="2" t="s">
        <v>136</v>
      </c>
      <c r="L1798" s="2" t="s">
        <v>136</v>
      </c>
      <c r="M1798" s="2" t="s">
        <v>517</v>
      </c>
      <c r="N1798" s="2"/>
      <c r="O1798" s="2"/>
      <c r="P1798" s="2"/>
    </row>
    <row r="1799" spans="1:16" ht="12.95" customHeight="1" x14ac:dyDescent="0.2">
      <c r="A1799" s="4" t="s">
        <v>87</v>
      </c>
      <c r="B1799" s="4" t="s">
        <v>31</v>
      </c>
      <c r="C1799" s="4"/>
      <c r="D1799" s="4"/>
      <c r="E1799" s="3"/>
      <c r="F1799" s="4"/>
      <c r="G1799" s="4"/>
      <c r="H1799" s="4"/>
      <c r="I1799" s="35"/>
      <c r="J1799" s="4"/>
      <c r="K1799" s="4"/>
      <c r="L1799" s="4"/>
      <c r="M1799" s="4"/>
      <c r="N1799" s="4"/>
      <c r="O1799" s="4"/>
      <c r="P1799" s="4"/>
    </row>
    <row r="1800" spans="1:16" ht="12.95" customHeight="1" x14ac:dyDescent="0.2">
      <c r="A1800" s="4" t="s">
        <v>88</v>
      </c>
      <c r="B1800" s="4" t="s">
        <v>31</v>
      </c>
      <c r="C1800" s="4"/>
      <c r="D1800" s="4"/>
      <c r="E1800" s="3"/>
      <c r="F1800" s="4"/>
      <c r="G1800" s="4"/>
      <c r="H1800" s="4"/>
      <c r="I1800" s="35"/>
      <c r="J1800" s="4"/>
      <c r="K1800" s="4"/>
      <c r="L1800" s="4"/>
      <c r="M1800" s="4"/>
      <c r="N1800" s="4"/>
      <c r="O1800" s="4"/>
      <c r="P1800" s="4"/>
    </row>
    <row r="1801" spans="1:16" x14ac:dyDescent="0.2">
      <c r="A1801" s="4" t="s">
        <v>33</v>
      </c>
      <c r="B1801" s="4" t="s">
        <v>34</v>
      </c>
      <c r="C1801" s="4" t="s">
        <v>34</v>
      </c>
      <c r="D1801" s="4" t="s">
        <v>34</v>
      </c>
      <c r="E1801" s="4" t="s">
        <v>1328</v>
      </c>
      <c r="F1801" s="4" t="s">
        <v>90</v>
      </c>
      <c r="G1801" s="4" t="s">
        <v>1329</v>
      </c>
      <c r="H1801" s="4" t="s">
        <v>92</v>
      </c>
      <c r="I1801" s="35"/>
      <c r="J1801" s="4" t="s">
        <v>92</v>
      </c>
      <c r="K1801" s="4" t="s">
        <v>120</v>
      </c>
      <c r="L1801" s="4" t="s">
        <v>120</v>
      </c>
      <c r="M1801" s="4" t="s">
        <v>134</v>
      </c>
      <c r="N1801" s="4"/>
      <c r="O1801" s="4"/>
      <c r="P1801" s="4"/>
    </row>
    <row r="1802" spans="1:16" ht="12.95" customHeight="1" x14ac:dyDescent="0.2">
      <c r="A1802" s="2" t="s">
        <v>97</v>
      </c>
      <c r="B1802" s="2" t="s">
        <v>42</v>
      </c>
      <c r="C1802" s="2" t="s">
        <v>500</v>
      </c>
      <c r="D1802" s="2" t="s">
        <v>1108</v>
      </c>
      <c r="E1802" s="3" t="s">
        <v>516</v>
      </c>
      <c r="F1802" s="2" t="s">
        <v>46</v>
      </c>
      <c r="G1802" s="2" t="s">
        <v>48</v>
      </c>
      <c r="H1802" s="2" t="s">
        <v>48</v>
      </c>
      <c r="I1802" s="13"/>
      <c r="J1802" s="2" t="s">
        <v>48</v>
      </c>
      <c r="K1802" s="2"/>
      <c r="L1802" s="2"/>
      <c r="M1802" s="2" t="s">
        <v>445</v>
      </c>
      <c r="N1802" s="2"/>
      <c r="O1802" s="2"/>
      <c r="P1802" s="2"/>
    </row>
    <row r="1803" spans="1:16" ht="12.95" customHeight="1" x14ac:dyDescent="0.2">
      <c r="A1803" s="2" t="s">
        <v>104</v>
      </c>
      <c r="B1803" s="2" t="s">
        <v>42</v>
      </c>
      <c r="C1803" s="2" t="s">
        <v>140</v>
      </c>
      <c r="D1803" s="2" t="s">
        <v>708</v>
      </c>
      <c r="E1803" s="3" t="s">
        <v>516</v>
      </c>
      <c r="F1803" s="2" t="s">
        <v>46</v>
      </c>
      <c r="G1803" s="2" t="s">
        <v>48</v>
      </c>
      <c r="H1803" s="2" t="s">
        <v>108</v>
      </c>
      <c r="I1803" s="13"/>
      <c r="J1803" s="2" t="s">
        <v>48</v>
      </c>
      <c r="K1803" s="2"/>
      <c r="L1803" s="2" t="s">
        <v>163</v>
      </c>
      <c r="M1803" s="2" t="s">
        <v>425</v>
      </c>
      <c r="N1803" s="2"/>
      <c r="O1803" s="2"/>
      <c r="P1803" s="2"/>
    </row>
    <row r="1804" spans="1:16" ht="12.95" customHeight="1" x14ac:dyDescent="0.2">
      <c r="A1804" s="2" t="s">
        <v>112</v>
      </c>
      <c r="B1804" s="2" t="s">
        <v>22</v>
      </c>
      <c r="C1804" s="2" t="s">
        <v>163</v>
      </c>
      <c r="D1804" s="2" t="s">
        <v>1330</v>
      </c>
      <c r="E1804" s="3" t="s">
        <v>503</v>
      </c>
      <c r="F1804" s="2" t="s">
        <v>46</v>
      </c>
      <c r="G1804" s="2" t="s">
        <v>570</v>
      </c>
      <c r="H1804" s="2" t="s">
        <v>113</v>
      </c>
      <c r="I1804" s="111" t="s">
        <v>1277</v>
      </c>
      <c r="J1804" s="2" t="s">
        <v>570</v>
      </c>
      <c r="K1804" s="2"/>
      <c r="L1804" s="2"/>
      <c r="M1804" s="2"/>
      <c r="N1804" s="2" t="s">
        <v>24</v>
      </c>
      <c r="O1804" s="2" t="s">
        <v>111</v>
      </c>
      <c r="P1804" s="2"/>
    </row>
    <row r="1805" spans="1:16" ht="12.95" customHeight="1" x14ac:dyDescent="0.2">
      <c r="A1805" s="2" t="s">
        <v>114</v>
      </c>
      <c r="B1805" s="2" t="s">
        <v>27</v>
      </c>
      <c r="C1805" s="2"/>
      <c r="D1805" s="2"/>
      <c r="E1805" s="3"/>
      <c r="F1805" s="2"/>
      <c r="G1805" s="2"/>
      <c r="H1805" s="2"/>
      <c r="I1805" s="13"/>
      <c r="J1805" s="2"/>
      <c r="K1805" s="2"/>
      <c r="L1805" s="2"/>
      <c r="M1805" s="2"/>
      <c r="N1805" s="2" t="s">
        <v>28</v>
      </c>
      <c r="O1805" s="2" t="s">
        <v>111</v>
      </c>
      <c r="P1805" s="2"/>
    </row>
    <row r="1806" spans="1:16" ht="12.95" customHeight="1" x14ac:dyDescent="0.2">
      <c r="A1806" s="2" t="s">
        <v>115</v>
      </c>
      <c r="B1806" s="2" t="s">
        <v>42</v>
      </c>
      <c r="C1806" s="2" t="s">
        <v>1299</v>
      </c>
      <c r="D1806" s="2" t="s">
        <v>335</v>
      </c>
      <c r="E1806" s="3" t="s">
        <v>134</v>
      </c>
      <c r="F1806" s="2" t="s">
        <v>46</v>
      </c>
      <c r="G1806" s="2" t="s">
        <v>135</v>
      </c>
      <c r="H1806" s="2" t="s">
        <v>48</v>
      </c>
      <c r="I1806" s="13"/>
      <c r="J1806" s="2" t="s">
        <v>48</v>
      </c>
      <c r="K1806" s="2" t="s">
        <v>136</v>
      </c>
      <c r="L1806" s="2" t="s">
        <v>136</v>
      </c>
      <c r="M1806" s="2" t="s">
        <v>658</v>
      </c>
      <c r="N1806" s="2"/>
      <c r="O1806" s="2"/>
      <c r="P1806" s="2"/>
    </row>
    <row r="1807" spans="1:16" ht="12.95" customHeight="1" x14ac:dyDescent="0.2">
      <c r="A1807" s="4" t="s">
        <v>122</v>
      </c>
      <c r="B1807" s="4" t="s">
        <v>31</v>
      </c>
      <c r="C1807" s="4"/>
      <c r="D1807" s="4"/>
      <c r="E1807" s="3"/>
      <c r="F1807" s="4"/>
      <c r="G1807" s="4"/>
      <c r="H1807" s="4"/>
      <c r="I1807" s="35"/>
      <c r="J1807" s="4"/>
      <c r="K1807" s="4"/>
      <c r="L1807" s="4"/>
      <c r="M1807" s="4"/>
      <c r="N1807" s="4"/>
      <c r="O1807" s="4"/>
      <c r="P1807" s="4"/>
    </row>
    <row r="1808" spans="1:16" ht="12.95" customHeight="1" x14ac:dyDescent="0.2">
      <c r="A1808" s="4" t="s">
        <v>123</v>
      </c>
      <c r="B1808" s="4" t="s">
        <v>31</v>
      </c>
      <c r="C1808" s="4"/>
      <c r="D1808" s="4"/>
      <c r="E1808" s="3"/>
      <c r="F1808" s="4"/>
      <c r="G1808" s="4"/>
      <c r="H1808" s="4"/>
      <c r="I1808" s="35"/>
      <c r="J1808" s="4"/>
      <c r="K1808" s="4"/>
      <c r="L1808" s="4"/>
      <c r="M1808" s="4"/>
      <c r="N1808" s="4"/>
      <c r="O1808" s="4"/>
      <c r="P1808" s="4"/>
    </row>
    <row r="1809" spans="1:16" x14ac:dyDescent="0.2">
      <c r="A1809" s="4" t="s">
        <v>33</v>
      </c>
      <c r="B1809" s="4" t="s">
        <v>34</v>
      </c>
      <c r="C1809" s="4" t="s">
        <v>34</v>
      </c>
      <c r="D1809" s="4" t="s">
        <v>34</v>
      </c>
      <c r="E1809" s="4" t="s">
        <v>1331</v>
      </c>
      <c r="F1809" s="4" t="s">
        <v>272</v>
      </c>
      <c r="G1809" s="4" t="s">
        <v>1332</v>
      </c>
      <c r="H1809" s="4" t="s">
        <v>127</v>
      </c>
      <c r="I1809" s="35" t="s">
        <v>1277</v>
      </c>
      <c r="J1809" s="4" t="s">
        <v>1324</v>
      </c>
      <c r="K1809" s="4" t="s">
        <v>136</v>
      </c>
      <c r="L1809" s="4" t="s">
        <v>593</v>
      </c>
      <c r="M1809" s="4" t="s">
        <v>893</v>
      </c>
      <c r="N1809" s="4"/>
      <c r="O1809" s="4"/>
      <c r="P1809" s="4"/>
    </row>
    <row r="1810" spans="1:16" ht="12.95" customHeight="1" x14ac:dyDescent="0.2">
      <c r="A1810" s="2" t="s">
        <v>131</v>
      </c>
      <c r="B1810" s="2" t="s">
        <v>42</v>
      </c>
      <c r="C1810" s="2" t="s">
        <v>426</v>
      </c>
      <c r="D1810" s="2" t="s">
        <v>415</v>
      </c>
      <c r="E1810" s="3" t="s">
        <v>516</v>
      </c>
      <c r="F1810" s="2" t="s">
        <v>46</v>
      </c>
      <c r="G1810" s="2" t="s">
        <v>48</v>
      </c>
      <c r="H1810" s="2" t="s">
        <v>48</v>
      </c>
      <c r="I1810" s="13"/>
      <c r="J1810" s="2" t="s">
        <v>48</v>
      </c>
      <c r="K1810" s="2"/>
      <c r="L1810" s="2"/>
      <c r="M1810" s="2" t="s">
        <v>428</v>
      </c>
      <c r="N1810" s="2"/>
      <c r="O1810" s="2"/>
      <c r="P1810" s="2"/>
    </row>
    <row r="1811" spans="1:16" ht="12.95" customHeight="1" x14ac:dyDescent="0.2">
      <c r="A1811" s="2" t="s">
        <v>138</v>
      </c>
      <c r="B1811" s="2" t="s">
        <v>42</v>
      </c>
      <c r="C1811" s="2" t="s">
        <v>55</v>
      </c>
      <c r="D1811" s="2" t="s">
        <v>743</v>
      </c>
      <c r="E1811" s="3" t="s">
        <v>516</v>
      </c>
      <c r="F1811" s="2" t="s">
        <v>46</v>
      </c>
      <c r="G1811" s="2" t="s">
        <v>48</v>
      </c>
      <c r="H1811" s="2" t="s">
        <v>48</v>
      </c>
      <c r="I1811" s="13"/>
      <c r="J1811" s="2" t="s">
        <v>48</v>
      </c>
      <c r="K1811" s="2"/>
      <c r="L1811" s="2"/>
      <c r="M1811" s="2" t="s">
        <v>60</v>
      </c>
      <c r="N1811" s="2"/>
      <c r="O1811" s="2"/>
      <c r="P1811" s="2"/>
    </row>
    <row r="1812" spans="1:16" ht="12.95" customHeight="1" x14ac:dyDescent="0.2">
      <c r="A1812" s="2" t="s">
        <v>143</v>
      </c>
      <c r="B1812" s="2" t="s">
        <v>42</v>
      </c>
      <c r="C1812" s="2" t="s">
        <v>58</v>
      </c>
      <c r="D1812" s="2" t="s">
        <v>1333</v>
      </c>
      <c r="E1812" s="3" t="s">
        <v>516</v>
      </c>
      <c r="F1812" s="2" t="s">
        <v>46</v>
      </c>
      <c r="G1812" s="2" t="s">
        <v>48</v>
      </c>
      <c r="H1812" s="2" t="s">
        <v>48</v>
      </c>
      <c r="I1812" s="13"/>
      <c r="J1812" s="2" t="s">
        <v>48</v>
      </c>
      <c r="K1812" s="2"/>
      <c r="L1812" s="2"/>
      <c r="M1812" s="2" t="s">
        <v>323</v>
      </c>
      <c r="N1812" s="2"/>
      <c r="O1812" s="2"/>
      <c r="P1812" s="2"/>
    </row>
    <row r="1813" spans="1:16" ht="12.95" customHeight="1" x14ac:dyDescent="0.2">
      <c r="A1813" s="2" t="s">
        <v>148</v>
      </c>
      <c r="B1813" s="2" t="s">
        <v>42</v>
      </c>
      <c r="C1813" s="2" t="s">
        <v>621</v>
      </c>
      <c r="D1813" s="2" t="s">
        <v>56</v>
      </c>
      <c r="E1813" s="3" t="s">
        <v>516</v>
      </c>
      <c r="F1813" s="2" t="s">
        <v>46</v>
      </c>
      <c r="G1813" s="2" t="s">
        <v>48</v>
      </c>
      <c r="H1813" s="2" t="s">
        <v>48</v>
      </c>
      <c r="I1813" s="13"/>
      <c r="J1813" s="2" t="s">
        <v>48</v>
      </c>
      <c r="K1813" s="2"/>
      <c r="L1813" s="2"/>
      <c r="M1813" s="2" t="s">
        <v>625</v>
      </c>
      <c r="N1813" s="2"/>
      <c r="O1813" s="2"/>
      <c r="P1813" s="2"/>
    </row>
    <row r="1814" spans="1:16" ht="12.95" customHeight="1" x14ac:dyDescent="0.2">
      <c r="A1814" s="2" t="s">
        <v>155</v>
      </c>
      <c r="B1814" s="2" t="s">
        <v>42</v>
      </c>
      <c r="C1814" s="2" t="s">
        <v>1334</v>
      </c>
      <c r="D1814" s="2" t="s">
        <v>741</v>
      </c>
      <c r="E1814" s="3" t="s">
        <v>516</v>
      </c>
      <c r="F1814" s="2" t="s">
        <v>46</v>
      </c>
      <c r="G1814" s="2" t="s">
        <v>48</v>
      </c>
      <c r="H1814" s="2" t="s">
        <v>48</v>
      </c>
      <c r="I1814" s="13"/>
      <c r="J1814" s="2" t="s">
        <v>48</v>
      </c>
      <c r="K1814" s="2"/>
      <c r="L1814" s="2"/>
      <c r="M1814" s="2" t="s">
        <v>539</v>
      </c>
      <c r="N1814" s="2"/>
      <c r="O1814" s="2"/>
      <c r="P1814" s="2"/>
    </row>
    <row r="1815" spans="1:16" ht="12.95" customHeight="1" x14ac:dyDescent="0.2">
      <c r="A1815" s="8" t="s">
        <v>161</v>
      </c>
      <c r="B1815" s="8"/>
      <c r="C1815" s="8"/>
      <c r="D1815" s="8"/>
      <c r="E1815" s="5" t="s">
        <v>1335</v>
      </c>
      <c r="F1815" s="5" t="s">
        <v>201</v>
      </c>
      <c r="G1815" s="5" t="s">
        <v>1336</v>
      </c>
      <c r="H1815" s="5" t="s">
        <v>165</v>
      </c>
      <c r="I1815" s="36" t="s">
        <v>1277</v>
      </c>
      <c r="J1815" s="5" t="s">
        <v>1337</v>
      </c>
      <c r="K1815" s="5" t="s">
        <v>67</v>
      </c>
      <c r="L1815" s="5" t="s">
        <v>653</v>
      </c>
      <c r="M1815" s="5" t="s">
        <v>1338</v>
      </c>
      <c r="N1815" s="5"/>
      <c r="O1815" s="5"/>
      <c r="P1815" s="5"/>
    </row>
    <row r="1816" spans="1:16" ht="12.95" customHeight="1" x14ac:dyDescent="0.2">
      <c r="A1816" s="8" t="s">
        <v>171</v>
      </c>
      <c r="B1816" s="8"/>
      <c r="C1816" s="8"/>
      <c r="D1816" s="8"/>
      <c r="E1816" s="5" t="s">
        <v>1335</v>
      </c>
      <c r="F1816" s="5" t="s">
        <v>201</v>
      </c>
      <c r="G1816" s="5" t="s">
        <v>1336</v>
      </c>
      <c r="H1816" s="5" t="s">
        <v>165</v>
      </c>
      <c r="I1816" s="36" t="s">
        <v>296</v>
      </c>
      <c r="J1816" s="5" t="s">
        <v>1337</v>
      </c>
      <c r="K1816" s="5" t="s">
        <v>67</v>
      </c>
      <c r="L1816" s="5" t="s">
        <v>653</v>
      </c>
      <c r="M1816" s="5" t="s">
        <v>1338</v>
      </c>
      <c r="N1816" s="5"/>
      <c r="O1816" s="5"/>
      <c r="P1816" s="5"/>
    </row>
    <row r="1817" spans="1:16" ht="12.95" customHeight="1" x14ac:dyDescent="0.2">
      <c r="A1817" s="8" t="s">
        <v>173</v>
      </c>
      <c r="B1817" s="8"/>
      <c r="C1817" s="8"/>
      <c r="D1817" s="8"/>
      <c r="E1817" s="5">
        <v>160.46</v>
      </c>
      <c r="F1817" s="5">
        <v>8.5</v>
      </c>
      <c r="G1817" s="5">
        <v>151.96</v>
      </c>
      <c r="H1817" s="5">
        <v>118.8</v>
      </c>
      <c r="I1817" s="36">
        <v>0</v>
      </c>
      <c r="J1817" s="5">
        <v>150.9</v>
      </c>
      <c r="K1817" s="5">
        <v>1.06</v>
      </c>
      <c r="L1817" s="5">
        <v>17.260000000000002</v>
      </c>
      <c r="M1817" s="5">
        <v>20.260000000000002</v>
      </c>
      <c r="N1817" s="5"/>
      <c r="O1817" s="5"/>
      <c r="P1817" s="5"/>
    </row>
    <row r="1818" spans="1:16" x14ac:dyDescent="0.2">
      <c r="I1818" s="37"/>
    </row>
    <row r="1819" spans="1:16" ht="12.95" customHeight="1" x14ac:dyDescent="0.2">
      <c r="A1819" s="9" t="s">
        <v>174</v>
      </c>
      <c r="B1819" s="9"/>
      <c r="C1819" s="9"/>
      <c r="E1819" s="9" t="s">
        <v>180</v>
      </c>
      <c r="F1819" s="9"/>
      <c r="G1819" s="9"/>
      <c r="I1819" s="9" t="s">
        <v>181</v>
      </c>
      <c r="J1819" s="9"/>
      <c r="K1819" s="9"/>
    </row>
    <row r="1820" spans="1:16" ht="12.95" customHeight="1" x14ac:dyDescent="0.2">
      <c r="A1820" s="10" t="s">
        <v>175</v>
      </c>
      <c r="B1820" s="10"/>
      <c r="C1820" s="6">
        <v>19</v>
      </c>
      <c r="E1820" s="10" t="s">
        <v>14</v>
      </c>
      <c r="F1820" s="10"/>
      <c r="G1820" s="6">
        <v>150.9</v>
      </c>
      <c r="I1820" s="10" t="s">
        <v>27</v>
      </c>
      <c r="J1820" s="10"/>
      <c r="K1820" s="26">
        <v>3</v>
      </c>
    </row>
    <row r="1821" spans="1:16" ht="12.95" customHeight="1" x14ac:dyDescent="0.2">
      <c r="A1821" s="10" t="s">
        <v>1531</v>
      </c>
      <c r="B1821" s="10"/>
      <c r="C1821" s="6">
        <v>22</v>
      </c>
      <c r="E1821" s="10" t="s">
        <v>15</v>
      </c>
      <c r="F1821" s="10"/>
      <c r="G1821" s="6">
        <v>1.06</v>
      </c>
      <c r="I1821" s="10" t="s">
        <v>22</v>
      </c>
      <c r="J1821" s="10"/>
      <c r="K1821" s="26">
        <v>0</v>
      </c>
    </row>
    <row r="1822" spans="1:16" ht="12.95" customHeight="1" x14ac:dyDescent="0.2">
      <c r="A1822" s="10" t="s">
        <v>176</v>
      </c>
      <c r="B1822" s="10"/>
      <c r="C1822" s="6">
        <v>160.46</v>
      </c>
      <c r="I1822" s="10" t="s">
        <v>36</v>
      </c>
      <c r="J1822" s="10"/>
      <c r="K1822" s="26">
        <v>2</v>
      </c>
    </row>
    <row r="1823" spans="1:16" ht="12.95" customHeight="1" x14ac:dyDescent="0.2">
      <c r="A1823" s="10" t="s">
        <v>177</v>
      </c>
      <c r="B1823" s="10"/>
      <c r="C1823" s="6">
        <v>118.8</v>
      </c>
      <c r="I1823" s="39" t="s">
        <v>1591</v>
      </c>
      <c r="J1823" s="19"/>
      <c r="K1823" s="20">
        <v>0</v>
      </c>
    </row>
    <row r="1824" spans="1:16" ht="12.95" customHeight="1" x14ac:dyDescent="0.2">
      <c r="A1824" s="10" t="s">
        <v>11</v>
      </c>
      <c r="B1824" s="10"/>
      <c r="C1824" s="6">
        <v>151.96</v>
      </c>
      <c r="I1824" s="39" t="s">
        <v>1592</v>
      </c>
      <c r="J1824" s="19"/>
      <c r="K1824" s="38">
        <v>0</v>
      </c>
    </row>
    <row r="1825" spans="1:16" ht="12.95" customHeight="1" x14ac:dyDescent="0.25">
      <c r="A1825" s="10" t="s">
        <v>178</v>
      </c>
      <c r="B1825" s="10"/>
      <c r="C1825" s="6">
        <v>1.9</v>
      </c>
      <c r="I1825" s="41" t="s">
        <v>1593</v>
      </c>
      <c r="J1825" s="40"/>
      <c r="K1825" s="42">
        <f>K1823+K1824</f>
        <v>0</v>
      </c>
    </row>
    <row r="1826" spans="1:16" ht="12.95" customHeight="1" x14ac:dyDescent="0.2">
      <c r="A1826" s="10" t="s">
        <v>17</v>
      </c>
      <c r="B1826" s="10"/>
      <c r="C1826" s="113">
        <v>18.36</v>
      </c>
    </row>
    <row r="1827" spans="1:16" ht="12.95" customHeight="1" x14ac:dyDescent="0.2">
      <c r="A1827" s="10" t="s">
        <v>179</v>
      </c>
      <c r="B1827" s="10"/>
      <c r="C1827" s="6">
        <v>0</v>
      </c>
    </row>
    <row r="1828" spans="1:16" x14ac:dyDescent="0.2">
      <c r="A1828" s="10" t="s">
        <v>10</v>
      </c>
      <c r="B1828" s="10"/>
      <c r="C1828" s="6">
        <v>8.5</v>
      </c>
    </row>
    <row r="1829" spans="1:16" x14ac:dyDescent="0.2">
      <c r="A1829" t="s">
        <v>1615</v>
      </c>
      <c r="C1829" cm="1">
        <f t="array" ref="C1829">IFERROR(SUMPRODUCT((ISNUMBER(SEARCH("מילואים",N1781:N1818))+ISNUMBER(SEARCH("מילואים",O1781:O1818))&gt;0)*(C1781:C1818&lt;&gt;"")*(J1781:J1818+0))*24,0)</f>
        <v>0</v>
      </c>
    </row>
    <row r="1830" spans="1:16" ht="12.95" customHeight="1" x14ac:dyDescent="0.2">
      <c r="A1830" s="7" t="s">
        <v>1339</v>
      </c>
      <c r="B1830" s="7"/>
      <c r="C1830" s="7"/>
      <c r="D1830" s="7" t="s">
        <v>1</v>
      </c>
      <c r="E1830" s="7"/>
      <c r="F1830" s="7"/>
      <c r="G1830" s="7"/>
      <c r="H1830" s="7" t="s">
        <v>1237</v>
      </c>
      <c r="I1830" s="7"/>
      <c r="J1830" s="7"/>
      <c r="K1830" s="7"/>
      <c r="L1830" s="7"/>
      <c r="M1830" s="7"/>
      <c r="N1830" s="7"/>
      <c r="O1830" s="7"/>
      <c r="P1830" s="7"/>
    </row>
    <row r="1831" spans="1:16" ht="12.95" customHeight="1" x14ac:dyDescent="0.2">
      <c r="A1831" s="7" t="s">
        <v>3</v>
      </c>
      <c r="B1831" s="7"/>
      <c r="C1831" s="7"/>
      <c r="D1831" s="7"/>
      <c r="E1831" s="7"/>
      <c r="F1831" s="7">
        <v>115</v>
      </c>
      <c r="G1831" s="7"/>
      <c r="H1831" s="7" t="s">
        <v>4</v>
      </c>
      <c r="I1831" s="7"/>
      <c r="J1831" s="7"/>
      <c r="K1831" s="7"/>
      <c r="L1831" s="7"/>
      <c r="M1831" s="7"/>
      <c r="N1831" s="7"/>
      <c r="O1831" s="7"/>
      <c r="P1831" s="7"/>
    </row>
    <row r="1832" spans="1:16" ht="22.5" customHeight="1" x14ac:dyDescent="0.2">
      <c r="A1832" s="1" t="s">
        <v>5</v>
      </c>
      <c r="B1832" s="1" t="s">
        <v>6</v>
      </c>
      <c r="C1832" s="1" t="s">
        <v>7</v>
      </c>
      <c r="D1832" s="1" t="s">
        <v>8</v>
      </c>
      <c r="E1832" s="1" t="s">
        <v>9</v>
      </c>
      <c r="F1832" s="1" t="s">
        <v>10</v>
      </c>
      <c r="G1832" s="1" t="s">
        <v>11</v>
      </c>
      <c r="H1832" s="1" t="s">
        <v>12</v>
      </c>
      <c r="I1832" s="1" t="s">
        <v>13</v>
      </c>
      <c r="J1832" s="1" t="s">
        <v>14</v>
      </c>
      <c r="K1832" s="1" t="s">
        <v>15</v>
      </c>
      <c r="L1832" s="1" t="s">
        <v>16</v>
      </c>
      <c r="M1832" s="1" t="s">
        <v>17</v>
      </c>
      <c r="N1832" s="1" t="s">
        <v>18</v>
      </c>
      <c r="O1832" s="1" t="s">
        <v>19</v>
      </c>
      <c r="P1832" s="1" t="s">
        <v>20</v>
      </c>
    </row>
    <row r="1833" spans="1:16" ht="12.95" customHeight="1" x14ac:dyDescent="0.2">
      <c r="A1833" s="2" t="s">
        <v>21</v>
      </c>
      <c r="B1833" s="2" t="s">
        <v>22</v>
      </c>
      <c r="C1833" s="2"/>
      <c r="D1833" s="2"/>
      <c r="E1833" s="3"/>
      <c r="F1833" s="2"/>
      <c r="G1833" s="2"/>
      <c r="H1833" s="2" t="s">
        <v>23</v>
      </c>
      <c r="I1833" s="12" t="s">
        <v>23</v>
      </c>
      <c r="J1833" s="2"/>
      <c r="K1833" s="2"/>
      <c r="L1833" s="2"/>
      <c r="M1833" s="2"/>
      <c r="N1833" s="2" t="s">
        <v>24</v>
      </c>
      <c r="O1833" s="2" t="s">
        <v>25</v>
      </c>
      <c r="P1833" s="2"/>
    </row>
    <row r="1834" spans="1:16" ht="12.95" customHeight="1" x14ac:dyDescent="0.2">
      <c r="A1834" s="2" t="s">
        <v>26</v>
      </c>
      <c r="B1834" s="2" t="s">
        <v>27</v>
      </c>
      <c r="C1834" s="2"/>
      <c r="D1834" s="2"/>
      <c r="E1834" s="3"/>
      <c r="F1834" s="2"/>
      <c r="G1834" s="2"/>
      <c r="H1834" s="2"/>
      <c r="I1834" s="13"/>
      <c r="J1834" s="2"/>
      <c r="K1834" s="2"/>
      <c r="L1834" s="2"/>
      <c r="M1834" s="2"/>
      <c r="N1834" s="2" t="s">
        <v>28</v>
      </c>
      <c r="O1834" s="2" t="s">
        <v>29</v>
      </c>
      <c r="P1834" s="2"/>
    </row>
    <row r="1835" spans="1:16" ht="12.95" customHeight="1" x14ac:dyDescent="0.2">
      <c r="A1835" s="4" t="s">
        <v>30</v>
      </c>
      <c r="B1835" s="4" t="s">
        <v>31</v>
      </c>
      <c r="C1835" s="4"/>
      <c r="D1835" s="4"/>
      <c r="E1835" s="3"/>
      <c r="F1835" s="4"/>
      <c r="G1835" s="4"/>
      <c r="H1835" s="4"/>
      <c r="I1835" s="35"/>
      <c r="J1835" s="4"/>
      <c r="K1835" s="4"/>
      <c r="L1835" s="4"/>
      <c r="M1835" s="4"/>
      <c r="N1835" s="4"/>
      <c r="O1835" s="4"/>
      <c r="P1835" s="4"/>
    </row>
    <row r="1836" spans="1:16" ht="12.95" customHeight="1" x14ac:dyDescent="0.2">
      <c r="A1836" s="4" t="s">
        <v>32</v>
      </c>
      <c r="B1836" s="4" t="s">
        <v>31</v>
      </c>
      <c r="C1836" s="4"/>
      <c r="D1836" s="4"/>
      <c r="E1836" s="3"/>
      <c r="F1836" s="4"/>
      <c r="G1836" s="4"/>
      <c r="H1836" s="4"/>
      <c r="I1836" s="35"/>
      <c r="J1836" s="4"/>
      <c r="K1836" s="4"/>
      <c r="L1836" s="4"/>
      <c r="M1836" s="4"/>
      <c r="N1836" s="4"/>
      <c r="O1836" s="4"/>
      <c r="P1836" s="4"/>
    </row>
    <row r="1837" spans="1:16" x14ac:dyDescent="0.2">
      <c r="A1837" s="4" t="s">
        <v>33</v>
      </c>
      <c r="B1837" s="4" t="s">
        <v>34</v>
      </c>
      <c r="C1837" s="4" t="s">
        <v>34</v>
      </c>
      <c r="D1837" s="4" t="s">
        <v>34</v>
      </c>
      <c r="E1837" s="4"/>
      <c r="F1837" s="4"/>
      <c r="G1837" s="4"/>
      <c r="H1837" s="4" t="s">
        <v>23</v>
      </c>
      <c r="I1837" s="35" t="s">
        <v>23</v>
      </c>
      <c r="J1837" s="4"/>
      <c r="K1837" s="4"/>
      <c r="L1837" s="4"/>
      <c r="M1837" s="4"/>
      <c r="N1837" s="4"/>
      <c r="O1837" s="4"/>
      <c r="P1837" s="4"/>
    </row>
    <row r="1838" spans="1:16" ht="12.95" customHeight="1" x14ac:dyDescent="0.2">
      <c r="A1838" s="2" t="s">
        <v>35</v>
      </c>
      <c r="B1838" s="2" t="s">
        <v>36</v>
      </c>
      <c r="C1838" s="2" t="s">
        <v>1190</v>
      </c>
      <c r="D1838" s="2" t="s">
        <v>1151</v>
      </c>
      <c r="E1838" s="3" t="s">
        <v>391</v>
      </c>
      <c r="F1838" s="2"/>
      <c r="G1838" s="2" t="s">
        <v>391</v>
      </c>
      <c r="H1838" s="2" t="s">
        <v>113</v>
      </c>
      <c r="I1838" s="13" t="s">
        <v>512</v>
      </c>
      <c r="J1838" s="2" t="s">
        <v>391</v>
      </c>
      <c r="K1838" s="2"/>
      <c r="L1838" s="2"/>
      <c r="M1838" s="2"/>
      <c r="N1838" s="2"/>
      <c r="O1838" s="2"/>
      <c r="P1838" s="2"/>
    </row>
    <row r="1839" spans="1:16" ht="12.95" customHeight="1" x14ac:dyDescent="0.2">
      <c r="A1839" s="2" t="s">
        <v>38</v>
      </c>
      <c r="B1839" s="2" t="s">
        <v>36</v>
      </c>
      <c r="C1839" s="2" t="s">
        <v>238</v>
      </c>
      <c r="D1839" s="2" t="s">
        <v>1130</v>
      </c>
      <c r="E1839" s="3" t="s">
        <v>670</v>
      </c>
      <c r="F1839" s="2"/>
      <c r="G1839" s="2" t="s">
        <v>670</v>
      </c>
      <c r="H1839" s="2" t="s">
        <v>113</v>
      </c>
      <c r="I1839" s="13"/>
      <c r="J1839" s="2" t="s">
        <v>670</v>
      </c>
      <c r="K1839" s="2"/>
      <c r="L1839" s="2" t="s">
        <v>59</v>
      </c>
      <c r="M1839" s="2"/>
      <c r="N1839" s="2"/>
      <c r="O1839" s="2"/>
      <c r="P1839" s="2"/>
    </row>
    <row r="1840" spans="1:16" ht="12.95" customHeight="1" x14ac:dyDescent="0.2">
      <c r="A1840" s="2" t="s">
        <v>39</v>
      </c>
      <c r="B1840" s="2" t="s">
        <v>22</v>
      </c>
      <c r="C1840" s="2"/>
      <c r="D1840" s="2"/>
      <c r="E1840" s="3"/>
      <c r="F1840" s="2"/>
      <c r="G1840" s="2"/>
      <c r="H1840" s="2" t="s">
        <v>23</v>
      </c>
      <c r="I1840" s="12" t="s">
        <v>23</v>
      </c>
      <c r="J1840" s="2"/>
      <c r="K1840" s="2"/>
      <c r="L1840" s="2"/>
      <c r="M1840" s="2"/>
      <c r="N1840" s="2" t="s">
        <v>24</v>
      </c>
      <c r="O1840" s="2" t="s">
        <v>25</v>
      </c>
      <c r="P1840" s="2"/>
    </row>
    <row r="1841" spans="1:16" ht="12.95" customHeight="1" x14ac:dyDescent="0.2">
      <c r="A1841" s="2" t="s">
        <v>40</v>
      </c>
      <c r="B1841" s="2" t="s">
        <v>27</v>
      </c>
      <c r="C1841" s="2"/>
      <c r="D1841" s="2"/>
      <c r="E1841" s="3"/>
      <c r="F1841" s="2"/>
      <c r="G1841" s="2"/>
      <c r="H1841" s="2"/>
      <c r="I1841" s="13"/>
      <c r="J1841" s="2"/>
      <c r="K1841" s="2"/>
      <c r="L1841" s="2"/>
      <c r="M1841" s="2"/>
      <c r="N1841" s="2" t="s">
        <v>28</v>
      </c>
      <c r="O1841" s="2" t="s">
        <v>25</v>
      </c>
      <c r="P1841" s="2"/>
    </row>
    <row r="1842" spans="1:16" ht="12.95" customHeight="1" x14ac:dyDescent="0.2">
      <c r="A1842" s="2" t="s">
        <v>41</v>
      </c>
      <c r="B1842" s="2" t="s">
        <v>42</v>
      </c>
      <c r="C1842" s="2" t="s">
        <v>810</v>
      </c>
      <c r="D1842" s="2" t="s">
        <v>170</v>
      </c>
      <c r="E1842" s="3" t="s">
        <v>365</v>
      </c>
      <c r="F1842" s="2" t="s">
        <v>46</v>
      </c>
      <c r="G1842" s="2" t="s">
        <v>876</v>
      </c>
      <c r="H1842" s="2" t="s">
        <v>48</v>
      </c>
      <c r="I1842" s="13"/>
      <c r="J1842" s="2" t="s">
        <v>48</v>
      </c>
      <c r="K1842" s="2" t="s">
        <v>705</v>
      </c>
      <c r="L1842" s="2" t="s">
        <v>705</v>
      </c>
      <c r="M1842" s="2" t="s">
        <v>95</v>
      </c>
      <c r="N1842" s="2"/>
      <c r="O1842" s="2"/>
      <c r="P1842" s="2"/>
    </row>
    <row r="1843" spans="1:16" ht="12.95" customHeight="1" x14ac:dyDescent="0.2">
      <c r="A1843" s="4" t="s">
        <v>51</v>
      </c>
      <c r="B1843" s="4" t="s">
        <v>31</v>
      </c>
      <c r="C1843" s="4"/>
      <c r="D1843" s="4"/>
      <c r="E1843" s="3"/>
      <c r="F1843" s="4"/>
      <c r="G1843" s="4"/>
      <c r="H1843" s="4"/>
      <c r="I1843" s="35"/>
      <c r="J1843" s="4"/>
      <c r="K1843" s="4"/>
      <c r="L1843" s="4"/>
      <c r="M1843" s="4"/>
      <c r="N1843" s="4"/>
      <c r="O1843" s="4"/>
      <c r="P1843" s="4"/>
    </row>
    <row r="1844" spans="1:16" ht="12.95" customHeight="1" x14ac:dyDescent="0.2">
      <c r="A1844" s="4" t="s">
        <v>52</v>
      </c>
      <c r="B1844" s="4" t="s">
        <v>31</v>
      </c>
      <c r="C1844" s="4"/>
      <c r="D1844" s="4"/>
      <c r="E1844" s="3"/>
      <c r="F1844" s="4"/>
      <c r="G1844" s="4"/>
      <c r="H1844" s="4"/>
      <c r="I1844" s="35"/>
      <c r="J1844" s="4"/>
      <c r="K1844" s="4"/>
      <c r="L1844" s="4"/>
      <c r="M1844" s="4"/>
      <c r="N1844" s="4"/>
      <c r="O1844" s="4"/>
      <c r="P1844" s="4"/>
    </row>
    <row r="1845" spans="1:16" x14ac:dyDescent="0.2">
      <c r="A1845" s="4" t="s">
        <v>33</v>
      </c>
      <c r="B1845" s="4" t="s">
        <v>34</v>
      </c>
      <c r="C1845" s="4" t="s">
        <v>34</v>
      </c>
      <c r="D1845" s="4" t="s">
        <v>34</v>
      </c>
      <c r="E1845" s="4" t="s">
        <v>1340</v>
      </c>
      <c r="F1845" s="4" t="s">
        <v>46</v>
      </c>
      <c r="G1845" s="4" t="s">
        <v>1341</v>
      </c>
      <c r="H1845" s="4" t="s">
        <v>1342</v>
      </c>
      <c r="I1845" s="35" t="s">
        <v>59</v>
      </c>
      <c r="J1845" s="4" t="s">
        <v>1342</v>
      </c>
      <c r="K1845" s="4" t="s">
        <v>705</v>
      </c>
      <c r="L1845" s="4" t="s">
        <v>314</v>
      </c>
      <c r="M1845" s="4" t="s">
        <v>95</v>
      </c>
      <c r="N1845" s="4"/>
      <c r="O1845" s="4"/>
      <c r="P1845" s="4"/>
    </row>
    <row r="1846" spans="1:16" ht="12.95" customHeight="1" x14ac:dyDescent="0.2">
      <c r="A1846" s="2" t="s">
        <v>54</v>
      </c>
      <c r="B1846" s="2" t="s">
        <v>42</v>
      </c>
      <c r="C1846" s="2" t="s">
        <v>135</v>
      </c>
      <c r="D1846" s="2" t="s">
        <v>1199</v>
      </c>
      <c r="E1846" s="3" t="s">
        <v>84</v>
      </c>
      <c r="F1846" s="2" t="s">
        <v>46</v>
      </c>
      <c r="G1846" s="2" t="s">
        <v>64</v>
      </c>
      <c r="H1846" s="2" t="s">
        <v>48</v>
      </c>
      <c r="I1846" s="13"/>
      <c r="J1846" s="2" t="s">
        <v>48</v>
      </c>
      <c r="K1846" s="2" t="s">
        <v>85</v>
      </c>
      <c r="L1846" s="2" t="s">
        <v>85</v>
      </c>
      <c r="M1846" s="2" t="s">
        <v>517</v>
      </c>
      <c r="N1846" s="2"/>
      <c r="O1846" s="2"/>
      <c r="P1846" s="2"/>
    </row>
    <row r="1847" spans="1:16" ht="12.95" customHeight="1" x14ac:dyDescent="0.2">
      <c r="A1847" s="2" t="s">
        <v>61</v>
      </c>
      <c r="B1847" s="2" t="s">
        <v>42</v>
      </c>
      <c r="C1847" s="2" t="s">
        <v>227</v>
      </c>
      <c r="D1847" s="2" t="s">
        <v>1023</v>
      </c>
      <c r="E1847" s="3" t="s">
        <v>72</v>
      </c>
      <c r="F1847" s="2" t="s">
        <v>46</v>
      </c>
      <c r="G1847" s="2" t="s">
        <v>1299</v>
      </c>
      <c r="H1847" s="2" t="s">
        <v>48</v>
      </c>
      <c r="I1847" s="13" t="s">
        <v>742</v>
      </c>
      <c r="J1847" s="2" t="s">
        <v>1299</v>
      </c>
      <c r="K1847" s="2"/>
      <c r="L1847" s="2"/>
      <c r="M1847" s="2" t="s">
        <v>46</v>
      </c>
      <c r="N1847" s="2"/>
      <c r="O1847" s="2"/>
      <c r="P1847" s="2"/>
    </row>
    <row r="1848" spans="1:16" ht="12.95" customHeight="1" x14ac:dyDescent="0.2">
      <c r="A1848" s="2" t="s">
        <v>68</v>
      </c>
      <c r="B1848" s="2" t="s">
        <v>42</v>
      </c>
      <c r="C1848" s="2" t="s">
        <v>437</v>
      </c>
      <c r="D1848" s="2" t="s">
        <v>877</v>
      </c>
      <c r="E1848" s="3" t="s">
        <v>488</v>
      </c>
      <c r="F1848" s="2" t="s">
        <v>46</v>
      </c>
      <c r="G1848" s="2" t="s">
        <v>817</v>
      </c>
      <c r="H1848" s="2" t="s">
        <v>48</v>
      </c>
      <c r="I1848" s="13"/>
      <c r="J1848" s="2" t="s">
        <v>48</v>
      </c>
      <c r="K1848" s="2" t="s">
        <v>240</v>
      </c>
      <c r="L1848" s="2" t="s">
        <v>240</v>
      </c>
      <c r="M1848" s="2" t="s">
        <v>340</v>
      </c>
      <c r="N1848" s="2"/>
      <c r="O1848" s="2"/>
      <c r="P1848" s="2"/>
    </row>
    <row r="1849" spans="1:16" ht="12.95" customHeight="1" x14ac:dyDescent="0.2">
      <c r="A1849" s="2" t="s">
        <v>75</v>
      </c>
      <c r="B1849" s="2" t="s">
        <v>42</v>
      </c>
      <c r="C1849" s="2" t="s">
        <v>107</v>
      </c>
      <c r="D1849" s="2" t="s">
        <v>117</v>
      </c>
      <c r="E1849" s="3" t="s">
        <v>635</v>
      </c>
      <c r="F1849" s="2" t="s">
        <v>46</v>
      </c>
      <c r="G1849" s="2" t="s">
        <v>169</v>
      </c>
      <c r="H1849" s="2" t="s">
        <v>48</v>
      </c>
      <c r="I1849" s="13"/>
      <c r="J1849" s="2" t="s">
        <v>48</v>
      </c>
      <c r="K1849" s="2" t="s">
        <v>636</v>
      </c>
      <c r="L1849" s="2" t="s">
        <v>636</v>
      </c>
      <c r="M1849" s="2" t="s">
        <v>232</v>
      </c>
      <c r="N1849" s="2"/>
      <c r="O1849" s="2"/>
      <c r="P1849" s="2"/>
    </row>
    <row r="1850" spans="1:16" ht="12.95" customHeight="1" x14ac:dyDescent="0.2">
      <c r="A1850" s="2" t="s">
        <v>81</v>
      </c>
      <c r="B1850" s="2" t="s">
        <v>42</v>
      </c>
      <c r="C1850" s="2" t="s">
        <v>205</v>
      </c>
      <c r="D1850" s="2" t="s">
        <v>144</v>
      </c>
      <c r="E1850" s="3" t="s">
        <v>991</v>
      </c>
      <c r="F1850" s="2" t="s">
        <v>46</v>
      </c>
      <c r="G1850" s="2" t="s">
        <v>661</v>
      </c>
      <c r="H1850" s="2" t="s">
        <v>48</v>
      </c>
      <c r="I1850" s="13"/>
      <c r="J1850" s="2" t="s">
        <v>48</v>
      </c>
      <c r="K1850" s="2" t="s">
        <v>428</v>
      </c>
      <c r="L1850" s="2" t="s">
        <v>428</v>
      </c>
      <c r="M1850" s="2" t="s">
        <v>360</v>
      </c>
      <c r="N1850" s="2"/>
      <c r="O1850" s="2"/>
      <c r="P1850" s="2"/>
    </row>
    <row r="1851" spans="1:16" ht="12.95" customHeight="1" x14ac:dyDescent="0.2">
      <c r="A1851" s="4" t="s">
        <v>87</v>
      </c>
      <c r="B1851" s="4" t="s">
        <v>31</v>
      </c>
      <c r="C1851" s="4"/>
      <c r="D1851" s="4"/>
      <c r="E1851" s="3"/>
      <c r="F1851" s="4"/>
      <c r="G1851" s="4"/>
      <c r="H1851" s="4"/>
      <c r="I1851" s="35"/>
      <c r="J1851" s="4"/>
      <c r="K1851" s="4"/>
      <c r="L1851" s="4"/>
      <c r="M1851" s="4"/>
      <c r="N1851" s="4"/>
      <c r="O1851" s="4"/>
      <c r="P1851" s="4"/>
    </row>
    <row r="1852" spans="1:16" ht="12.95" customHeight="1" x14ac:dyDescent="0.2">
      <c r="A1852" s="4" t="s">
        <v>88</v>
      </c>
      <c r="B1852" s="4" t="s">
        <v>31</v>
      </c>
      <c r="C1852" s="4"/>
      <c r="D1852" s="4"/>
      <c r="E1852" s="3"/>
      <c r="F1852" s="4"/>
      <c r="G1852" s="4"/>
      <c r="H1852" s="4"/>
      <c r="I1852" s="35"/>
      <c r="J1852" s="4"/>
      <c r="K1852" s="4"/>
      <c r="L1852" s="4"/>
      <c r="M1852" s="4"/>
      <c r="N1852" s="4"/>
      <c r="O1852" s="4"/>
      <c r="P1852" s="4"/>
    </row>
    <row r="1853" spans="1:16" x14ac:dyDescent="0.2">
      <c r="A1853" s="4" t="s">
        <v>33</v>
      </c>
      <c r="B1853" s="4" t="s">
        <v>34</v>
      </c>
      <c r="C1853" s="4" t="s">
        <v>34</v>
      </c>
      <c r="D1853" s="4" t="s">
        <v>34</v>
      </c>
      <c r="E1853" s="4" t="s">
        <v>1343</v>
      </c>
      <c r="F1853" s="4" t="s">
        <v>90</v>
      </c>
      <c r="G1853" s="4" t="s">
        <v>1344</v>
      </c>
      <c r="H1853" s="4" t="s">
        <v>92</v>
      </c>
      <c r="I1853" s="35" t="s">
        <v>742</v>
      </c>
      <c r="J1853" s="4" t="s">
        <v>1345</v>
      </c>
      <c r="K1853" s="4" t="s">
        <v>1028</v>
      </c>
      <c r="L1853" s="4" t="s">
        <v>1028</v>
      </c>
      <c r="M1853" s="4" t="s">
        <v>1346</v>
      </c>
      <c r="N1853" s="4"/>
      <c r="O1853" s="4"/>
      <c r="P1853" s="4"/>
    </row>
    <row r="1854" spans="1:16" ht="12.95" customHeight="1" x14ac:dyDescent="0.2">
      <c r="A1854" s="2" t="s">
        <v>97</v>
      </c>
      <c r="B1854" s="2" t="s">
        <v>42</v>
      </c>
      <c r="C1854" s="2" t="s">
        <v>402</v>
      </c>
      <c r="D1854" s="2" t="s">
        <v>1347</v>
      </c>
      <c r="E1854" s="3" t="s">
        <v>365</v>
      </c>
      <c r="F1854" s="2" t="s">
        <v>46</v>
      </c>
      <c r="G1854" s="2" t="s">
        <v>876</v>
      </c>
      <c r="H1854" s="2" t="s">
        <v>48</v>
      </c>
      <c r="I1854" s="13"/>
      <c r="J1854" s="2" t="s">
        <v>48</v>
      </c>
      <c r="K1854" s="2" t="s">
        <v>705</v>
      </c>
      <c r="L1854" s="2" t="s">
        <v>705</v>
      </c>
      <c r="M1854" s="2" t="s">
        <v>281</v>
      </c>
      <c r="N1854" s="2"/>
      <c r="O1854" s="2"/>
      <c r="P1854" s="2"/>
    </row>
    <row r="1855" spans="1:16" ht="12.95" customHeight="1" x14ac:dyDescent="0.2">
      <c r="A1855" s="2" t="s">
        <v>104</v>
      </c>
      <c r="B1855" s="2" t="s">
        <v>42</v>
      </c>
      <c r="C1855" s="2" t="s">
        <v>1134</v>
      </c>
      <c r="D1855" s="2" t="s">
        <v>170</v>
      </c>
      <c r="E1855" s="3" t="s">
        <v>220</v>
      </c>
      <c r="F1855" s="2" t="s">
        <v>46</v>
      </c>
      <c r="G1855" s="2" t="s">
        <v>521</v>
      </c>
      <c r="H1855" s="2" t="s">
        <v>108</v>
      </c>
      <c r="I1855" s="13"/>
      <c r="J1855" s="2" t="s">
        <v>521</v>
      </c>
      <c r="K1855" s="2"/>
      <c r="L1855" s="2" t="s">
        <v>900</v>
      </c>
      <c r="M1855" s="2" t="s">
        <v>554</v>
      </c>
      <c r="N1855" s="2"/>
      <c r="O1855" s="2"/>
      <c r="P1855" s="2"/>
    </row>
    <row r="1856" spans="1:16" ht="12.95" customHeight="1" x14ac:dyDescent="0.2">
      <c r="A1856" s="2" t="s">
        <v>112</v>
      </c>
      <c r="B1856" s="2" t="s">
        <v>22</v>
      </c>
      <c r="C1856" s="2" t="s">
        <v>398</v>
      </c>
      <c r="D1856" s="2" t="s">
        <v>1348</v>
      </c>
      <c r="E1856" s="3" t="s">
        <v>536</v>
      </c>
      <c r="F1856" s="2" t="s">
        <v>46</v>
      </c>
      <c r="G1856" s="2" t="s">
        <v>1349</v>
      </c>
      <c r="H1856" s="2" t="s">
        <v>113</v>
      </c>
      <c r="I1856" s="111" t="s">
        <v>323</v>
      </c>
      <c r="J1856" s="2" t="s">
        <v>1349</v>
      </c>
      <c r="K1856" s="2"/>
      <c r="L1856" s="2"/>
      <c r="M1856" s="2"/>
      <c r="N1856" s="2" t="s">
        <v>24</v>
      </c>
      <c r="O1856" s="2" t="s">
        <v>111</v>
      </c>
      <c r="P1856" s="2"/>
    </row>
    <row r="1857" spans="1:16" ht="12.95" customHeight="1" x14ac:dyDescent="0.2">
      <c r="A1857" s="2" t="s">
        <v>114</v>
      </c>
      <c r="B1857" s="2" t="s">
        <v>27</v>
      </c>
      <c r="C1857" s="2"/>
      <c r="D1857" s="2"/>
      <c r="E1857" s="3"/>
      <c r="F1857" s="2"/>
      <c r="G1857" s="2"/>
      <c r="H1857" s="2"/>
      <c r="I1857" s="13"/>
      <c r="J1857" s="2"/>
      <c r="K1857" s="2"/>
      <c r="L1857" s="2"/>
      <c r="M1857" s="2"/>
      <c r="N1857" s="2" t="s">
        <v>28</v>
      </c>
      <c r="O1857" s="2" t="s">
        <v>111</v>
      </c>
      <c r="P1857" s="2"/>
    </row>
    <row r="1858" spans="1:16" ht="12.95" customHeight="1" x14ac:dyDescent="0.2">
      <c r="A1858" s="2" t="s">
        <v>115</v>
      </c>
      <c r="B1858" s="2" t="s">
        <v>42</v>
      </c>
      <c r="C1858" s="2"/>
      <c r="D1858" s="2"/>
      <c r="E1858" s="3"/>
      <c r="F1858" s="2"/>
      <c r="G1858" s="2"/>
      <c r="H1858" s="2"/>
      <c r="I1858" s="13"/>
      <c r="J1858" s="2"/>
      <c r="K1858" s="2"/>
      <c r="L1858" s="2"/>
      <c r="M1858" s="2"/>
      <c r="N1858" s="2" t="s">
        <v>1011</v>
      </c>
      <c r="O1858" s="2"/>
      <c r="P1858" s="2"/>
    </row>
    <row r="1859" spans="1:16" ht="12.95" customHeight="1" x14ac:dyDescent="0.2">
      <c r="A1859" s="4" t="s">
        <v>122</v>
      </c>
      <c r="B1859" s="4" t="s">
        <v>31</v>
      </c>
      <c r="C1859" s="4"/>
      <c r="D1859" s="4"/>
      <c r="E1859" s="3"/>
      <c r="F1859" s="4"/>
      <c r="G1859" s="4"/>
      <c r="H1859" s="4"/>
      <c r="I1859" s="35"/>
      <c r="J1859" s="4"/>
      <c r="K1859" s="4"/>
      <c r="L1859" s="4"/>
      <c r="M1859" s="4"/>
      <c r="N1859" s="4"/>
      <c r="O1859" s="4"/>
      <c r="P1859" s="4"/>
    </row>
    <row r="1860" spans="1:16" ht="12.95" customHeight="1" x14ac:dyDescent="0.2">
      <c r="A1860" s="4" t="s">
        <v>123</v>
      </c>
      <c r="B1860" s="4" t="s">
        <v>31</v>
      </c>
      <c r="C1860" s="4"/>
      <c r="D1860" s="4"/>
      <c r="E1860" s="3"/>
      <c r="F1860" s="4"/>
      <c r="G1860" s="4"/>
      <c r="H1860" s="4"/>
      <c r="I1860" s="35"/>
      <c r="J1860" s="4"/>
      <c r="K1860" s="4"/>
      <c r="L1860" s="4"/>
      <c r="M1860" s="4"/>
      <c r="N1860" s="4"/>
      <c r="O1860" s="4"/>
      <c r="P1860" s="4"/>
    </row>
    <row r="1861" spans="1:16" x14ac:dyDescent="0.2">
      <c r="A1861" s="4" t="s">
        <v>33</v>
      </c>
      <c r="B1861" s="4" t="s">
        <v>34</v>
      </c>
      <c r="C1861" s="4" t="s">
        <v>34</v>
      </c>
      <c r="D1861" s="4" t="s">
        <v>34</v>
      </c>
      <c r="E1861" s="4" t="s">
        <v>1341</v>
      </c>
      <c r="F1861" s="4" t="s">
        <v>125</v>
      </c>
      <c r="G1861" s="4" t="s">
        <v>1350</v>
      </c>
      <c r="H1861" s="4" t="s">
        <v>170</v>
      </c>
      <c r="I1861" s="35" t="s">
        <v>323</v>
      </c>
      <c r="J1861" s="4" t="s">
        <v>1351</v>
      </c>
      <c r="K1861" s="4" t="s">
        <v>705</v>
      </c>
      <c r="L1861" s="4" t="s">
        <v>226</v>
      </c>
      <c r="M1861" s="4" t="s">
        <v>551</v>
      </c>
      <c r="N1861" s="4"/>
      <c r="O1861" s="4"/>
      <c r="P1861" s="4"/>
    </row>
    <row r="1862" spans="1:16" ht="12.95" customHeight="1" x14ac:dyDescent="0.2">
      <c r="A1862" s="2" t="s">
        <v>131</v>
      </c>
      <c r="B1862" s="2" t="s">
        <v>42</v>
      </c>
      <c r="C1862" s="2" t="s">
        <v>65</v>
      </c>
      <c r="D1862" s="2" t="s">
        <v>1074</v>
      </c>
      <c r="E1862" s="3" t="s">
        <v>666</v>
      </c>
      <c r="F1862" s="2" t="s">
        <v>46</v>
      </c>
      <c r="G1862" s="2" t="s">
        <v>433</v>
      </c>
      <c r="H1862" s="2" t="s">
        <v>48</v>
      </c>
      <c r="I1862" s="13" t="s">
        <v>159</v>
      </c>
      <c r="J1862" s="2" t="s">
        <v>433</v>
      </c>
      <c r="K1862" s="2"/>
      <c r="L1862" s="2"/>
      <c r="M1862" s="2" t="s">
        <v>160</v>
      </c>
      <c r="N1862" s="2"/>
      <c r="O1862" s="2"/>
      <c r="P1862" s="2"/>
    </row>
    <row r="1863" spans="1:16" ht="12.95" customHeight="1" x14ac:dyDescent="0.2">
      <c r="A1863" s="2" t="s">
        <v>138</v>
      </c>
      <c r="B1863" s="2" t="s">
        <v>42</v>
      </c>
      <c r="C1863" s="2" t="s">
        <v>1037</v>
      </c>
      <c r="D1863" s="2" t="s">
        <v>63</v>
      </c>
      <c r="E1863" s="3" t="s">
        <v>359</v>
      </c>
      <c r="F1863" s="2" t="s">
        <v>46</v>
      </c>
      <c r="G1863" s="2" t="s">
        <v>878</v>
      </c>
      <c r="H1863" s="2" t="s">
        <v>48</v>
      </c>
      <c r="I1863" s="13"/>
      <c r="J1863" s="2" t="s">
        <v>48</v>
      </c>
      <c r="K1863" s="2" t="s">
        <v>249</v>
      </c>
      <c r="L1863" s="2" t="s">
        <v>249</v>
      </c>
      <c r="M1863" s="2" t="s">
        <v>540</v>
      </c>
      <c r="N1863" s="2"/>
      <c r="O1863" s="2"/>
      <c r="P1863" s="2"/>
    </row>
    <row r="1864" spans="1:16" ht="12.95" customHeight="1" x14ac:dyDescent="0.2">
      <c r="A1864" s="2" t="s">
        <v>143</v>
      </c>
      <c r="B1864" s="2" t="s">
        <v>42</v>
      </c>
      <c r="C1864" s="2" t="s">
        <v>1037</v>
      </c>
      <c r="D1864" s="2" t="s">
        <v>1126</v>
      </c>
      <c r="E1864" s="3" t="s">
        <v>135</v>
      </c>
      <c r="F1864" s="2" t="s">
        <v>46</v>
      </c>
      <c r="G1864" s="2" t="s">
        <v>98</v>
      </c>
      <c r="H1864" s="2" t="s">
        <v>48</v>
      </c>
      <c r="I1864" s="13" t="s">
        <v>59</v>
      </c>
      <c r="J1864" s="2" t="s">
        <v>98</v>
      </c>
      <c r="K1864" s="2"/>
      <c r="L1864" s="2"/>
      <c r="M1864" s="2" t="s">
        <v>540</v>
      </c>
      <c r="N1864" s="2"/>
      <c r="O1864" s="2"/>
      <c r="P1864" s="2"/>
    </row>
    <row r="1865" spans="1:16" ht="12.95" customHeight="1" x14ac:dyDescent="0.2">
      <c r="A1865" s="2" t="s">
        <v>148</v>
      </c>
      <c r="B1865" s="2" t="s">
        <v>42</v>
      </c>
      <c r="C1865" s="2" t="s">
        <v>151</v>
      </c>
      <c r="D1865" s="2" t="s">
        <v>673</v>
      </c>
      <c r="E1865" s="3" t="s">
        <v>583</v>
      </c>
      <c r="F1865" s="2" t="s">
        <v>46</v>
      </c>
      <c r="G1865" s="2" t="s">
        <v>472</v>
      </c>
      <c r="H1865" s="2" t="s">
        <v>48</v>
      </c>
      <c r="I1865" s="13" t="s">
        <v>484</v>
      </c>
      <c r="J1865" s="2" t="s">
        <v>472</v>
      </c>
      <c r="K1865" s="2"/>
      <c r="L1865" s="2"/>
      <c r="M1865" s="2" t="s">
        <v>851</v>
      </c>
      <c r="N1865" s="2"/>
      <c r="O1865" s="2"/>
      <c r="P1865" s="2"/>
    </row>
    <row r="1866" spans="1:16" ht="12.95" customHeight="1" x14ac:dyDescent="0.2">
      <c r="A1866" s="2" t="s">
        <v>155</v>
      </c>
      <c r="B1866" s="2" t="s">
        <v>42</v>
      </c>
      <c r="C1866" s="2" t="s">
        <v>1003</v>
      </c>
      <c r="D1866" s="2" t="s">
        <v>877</v>
      </c>
      <c r="E1866" s="3" t="s">
        <v>1352</v>
      </c>
      <c r="F1866" s="2" t="s">
        <v>46</v>
      </c>
      <c r="G1866" s="2" t="s">
        <v>1353</v>
      </c>
      <c r="H1866" s="2" t="s">
        <v>48</v>
      </c>
      <c r="I1866" s="13" t="s">
        <v>1227</v>
      </c>
      <c r="J1866" s="2" t="s">
        <v>1353</v>
      </c>
      <c r="K1866" s="2"/>
      <c r="L1866" s="2"/>
      <c r="M1866" s="2" t="s">
        <v>1354</v>
      </c>
      <c r="N1866" s="2"/>
      <c r="O1866" s="2"/>
      <c r="P1866" s="2"/>
    </row>
    <row r="1867" spans="1:16" ht="12.95" customHeight="1" x14ac:dyDescent="0.2">
      <c r="A1867" s="8" t="s">
        <v>161</v>
      </c>
      <c r="B1867" s="8"/>
      <c r="C1867" s="8"/>
      <c r="D1867" s="8"/>
      <c r="E1867" s="5" t="s">
        <v>1355</v>
      </c>
      <c r="F1867" s="5" t="s">
        <v>163</v>
      </c>
      <c r="G1867" s="5" t="s">
        <v>1356</v>
      </c>
      <c r="H1867" s="5" t="s">
        <v>1357</v>
      </c>
      <c r="I1867" s="36" t="s">
        <v>47</v>
      </c>
      <c r="J1867" s="5" t="s">
        <v>1358</v>
      </c>
      <c r="K1867" s="5" t="s">
        <v>235</v>
      </c>
      <c r="L1867" s="5" t="s">
        <v>776</v>
      </c>
      <c r="M1867" s="5" t="s">
        <v>1359</v>
      </c>
      <c r="N1867" s="5"/>
      <c r="O1867" s="5"/>
      <c r="P1867" s="5"/>
    </row>
    <row r="1868" spans="1:16" ht="12.95" customHeight="1" x14ac:dyDescent="0.2">
      <c r="A1868" s="8" t="s">
        <v>171</v>
      </c>
      <c r="B1868" s="8"/>
      <c r="C1868" s="8"/>
      <c r="D1868" s="8"/>
      <c r="E1868" s="5" t="s">
        <v>1355</v>
      </c>
      <c r="F1868" s="5" t="s">
        <v>163</v>
      </c>
      <c r="G1868" s="5" t="s">
        <v>1356</v>
      </c>
      <c r="H1868" s="5" t="s">
        <v>1357</v>
      </c>
      <c r="I1868" s="36" t="s">
        <v>296</v>
      </c>
      <c r="J1868" s="5" t="s">
        <v>1358</v>
      </c>
      <c r="K1868" s="5" t="s">
        <v>235</v>
      </c>
      <c r="L1868" s="5" t="s">
        <v>776</v>
      </c>
      <c r="M1868" s="5" t="s">
        <v>1359</v>
      </c>
      <c r="N1868" s="5"/>
      <c r="O1868" s="5"/>
      <c r="P1868" s="5"/>
    </row>
    <row r="1869" spans="1:16" ht="12.95" customHeight="1" x14ac:dyDescent="0.2">
      <c r="A1869" s="8" t="s">
        <v>173</v>
      </c>
      <c r="B1869" s="8"/>
      <c r="C1869" s="8"/>
      <c r="D1869" s="8"/>
      <c r="E1869" s="5">
        <v>134.19999999999999</v>
      </c>
      <c r="F1869" s="5">
        <v>7</v>
      </c>
      <c r="G1869" s="5">
        <v>127.2</v>
      </c>
      <c r="H1869" s="5">
        <v>125.2</v>
      </c>
      <c r="I1869" s="36">
        <v>0</v>
      </c>
      <c r="J1869" s="5">
        <v>124.03</v>
      </c>
      <c r="K1869" s="5">
        <v>3.16</v>
      </c>
      <c r="L1869" s="5">
        <v>10.43</v>
      </c>
      <c r="M1869" s="5">
        <v>15.8</v>
      </c>
      <c r="N1869" s="5"/>
      <c r="O1869" s="5"/>
      <c r="P1869" s="5"/>
    </row>
    <row r="1870" spans="1:16" x14ac:dyDescent="0.2">
      <c r="I1870" s="37"/>
    </row>
    <row r="1871" spans="1:16" ht="12.95" customHeight="1" x14ac:dyDescent="0.2">
      <c r="A1871" s="9" t="s">
        <v>174</v>
      </c>
      <c r="B1871" s="9"/>
      <c r="C1871" s="9"/>
      <c r="E1871" s="9" t="s">
        <v>180</v>
      </c>
      <c r="F1871" s="9"/>
      <c r="G1871" s="9"/>
      <c r="I1871" s="9" t="s">
        <v>181</v>
      </c>
      <c r="J1871" s="9"/>
      <c r="K1871" s="9"/>
    </row>
    <row r="1872" spans="1:16" ht="12.95" customHeight="1" x14ac:dyDescent="0.2">
      <c r="A1872" s="10" t="s">
        <v>175</v>
      </c>
      <c r="B1872" s="10"/>
      <c r="C1872" s="6">
        <v>16</v>
      </c>
      <c r="E1872" s="10" t="s">
        <v>14</v>
      </c>
      <c r="F1872" s="10"/>
      <c r="G1872" s="6">
        <v>124.03</v>
      </c>
      <c r="I1872" s="10" t="s">
        <v>1019</v>
      </c>
      <c r="J1872" s="10"/>
      <c r="K1872" s="6">
        <v>1</v>
      </c>
    </row>
    <row r="1873" spans="1:16" ht="12.95" customHeight="1" x14ac:dyDescent="0.2">
      <c r="A1873" s="10" t="s">
        <v>1531</v>
      </c>
      <c r="B1873" s="10"/>
      <c r="C1873" s="6">
        <v>21</v>
      </c>
      <c r="E1873" s="10" t="s">
        <v>15</v>
      </c>
      <c r="F1873" s="10"/>
      <c r="G1873" s="6">
        <v>3.16</v>
      </c>
      <c r="I1873" s="10" t="s">
        <v>1768</v>
      </c>
      <c r="J1873" s="10"/>
      <c r="K1873" s="6">
        <v>1</v>
      </c>
    </row>
    <row r="1874" spans="1:16" ht="12.95" customHeight="1" x14ac:dyDescent="0.2">
      <c r="A1874" s="10" t="s">
        <v>176</v>
      </c>
      <c r="B1874" s="10"/>
      <c r="C1874" s="6">
        <v>134.19999999999999</v>
      </c>
      <c r="I1874" s="10" t="s">
        <v>27</v>
      </c>
      <c r="J1874" s="10"/>
      <c r="K1874" s="26">
        <v>3</v>
      </c>
    </row>
    <row r="1875" spans="1:16" ht="12.95" customHeight="1" x14ac:dyDescent="0.2">
      <c r="A1875" s="10" t="s">
        <v>177</v>
      </c>
      <c r="B1875" s="10"/>
      <c r="C1875" s="6">
        <v>125.2</v>
      </c>
      <c r="I1875" s="10" t="s">
        <v>22</v>
      </c>
      <c r="J1875" s="10"/>
      <c r="K1875" s="26">
        <v>2</v>
      </c>
    </row>
    <row r="1876" spans="1:16" ht="12.95" customHeight="1" x14ac:dyDescent="0.2">
      <c r="A1876" s="10" t="s">
        <v>11</v>
      </c>
      <c r="B1876" s="10"/>
      <c r="C1876" s="6">
        <v>127.2</v>
      </c>
      <c r="I1876" s="39" t="s">
        <v>1591</v>
      </c>
      <c r="J1876" s="19"/>
      <c r="K1876" s="20">
        <v>1</v>
      </c>
    </row>
    <row r="1877" spans="1:16" ht="12.95" customHeight="1" x14ac:dyDescent="0.2">
      <c r="A1877" s="10" t="s">
        <v>178</v>
      </c>
      <c r="B1877" s="10"/>
      <c r="C1877" s="30">
        <v>8.43</v>
      </c>
      <c r="I1877" s="39" t="s">
        <v>1592</v>
      </c>
      <c r="J1877" s="19"/>
      <c r="K1877" s="20">
        <v>0</v>
      </c>
    </row>
    <row r="1878" spans="1:16" ht="12.95" customHeight="1" x14ac:dyDescent="0.25">
      <c r="A1878" s="28" t="s">
        <v>1571</v>
      </c>
      <c r="B1878" s="27"/>
      <c r="C1878" s="112">
        <v>-2.68</v>
      </c>
      <c r="I1878" s="41" t="s">
        <v>1593</v>
      </c>
      <c r="J1878" s="40"/>
      <c r="K1878" s="42">
        <f>K1876+K1877</f>
        <v>1</v>
      </c>
    </row>
    <row r="1879" spans="1:16" ht="12.95" customHeight="1" x14ac:dyDescent="0.2">
      <c r="A1879" s="29" t="s">
        <v>1572</v>
      </c>
      <c r="B1879" s="29"/>
      <c r="C1879" s="32">
        <f>C1877+C1878</f>
        <v>5.75</v>
      </c>
    </row>
    <row r="1880" spans="1:16" x14ac:dyDescent="0.2">
      <c r="A1880" s="10" t="s">
        <v>10</v>
      </c>
      <c r="B1880" s="10"/>
      <c r="C1880" s="6">
        <v>7</v>
      </c>
    </row>
    <row r="1881" spans="1:16" x14ac:dyDescent="0.2">
      <c r="A1881" t="s">
        <v>1615</v>
      </c>
      <c r="C1881" cm="1">
        <f t="array" ref="C1881">IFERROR(SUMPRODUCT((ISNUMBER(SEARCH("מילואים",N1833:N1870))+ISNUMBER(SEARCH("מילואים",O1833:O1870))&gt;0)*(C1833:C1870&lt;&gt;"")*(J1833:J1870+0))*24,0)</f>
        <v>0</v>
      </c>
    </row>
    <row r="1882" spans="1:16" ht="12.95" customHeight="1" x14ac:dyDescent="0.2">
      <c r="A1882" s="7" t="s">
        <v>1360</v>
      </c>
      <c r="B1882" s="7"/>
      <c r="C1882" s="7"/>
      <c r="D1882" s="7" t="s">
        <v>1</v>
      </c>
      <c r="E1882" s="7"/>
      <c r="F1882" s="7"/>
      <c r="G1882" s="7"/>
      <c r="H1882" s="7" t="s">
        <v>1237</v>
      </c>
      <c r="I1882" s="7"/>
      <c r="J1882" s="7"/>
      <c r="K1882" s="7"/>
      <c r="L1882" s="7"/>
      <c r="M1882" s="7"/>
      <c r="N1882" s="7"/>
      <c r="O1882" s="7"/>
      <c r="P1882" s="7"/>
    </row>
    <row r="1883" spans="1:16" ht="12.95" customHeight="1" x14ac:dyDescent="0.2">
      <c r="A1883" s="7" t="s">
        <v>3</v>
      </c>
      <c r="B1883" s="7"/>
      <c r="C1883" s="7"/>
      <c r="D1883" s="7"/>
      <c r="E1883" s="7"/>
      <c r="F1883" s="7">
        <v>62</v>
      </c>
      <c r="G1883" s="7"/>
      <c r="H1883" s="7" t="s">
        <v>4</v>
      </c>
      <c r="I1883" s="7"/>
      <c r="J1883" s="7"/>
      <c r="K1883" s="7"/>
      <c r="L1883" s="7"/>
      <c r="M1883" s="7"/>
      <c r="N1883" s="7"/>
      <c r="O1883" s="7"/>
      <c r="P1883" s="7"/>
    </row>
    <row r="1884" spans="1:16" ht="22.5" customHeight="1" x14ac:dyDescent="0.2">
      <c r="A1884" s="1" t="s">
        <v>5</v>
      </c>
      <c r="B1884" s="1" t="s">
        <v>6</v>
      </c>
      <c r="C1884" s="1" t="s">
        <v>7</v>
      </c>
      <c r="D1884" s="1" t="s">
        <v>8</v>
      </c>
      <c r="E1884" s="1" t="s">
        <v>9</v>
      </c>
      <c r="F1884" s="1" t="s">
        <v>10</v>
      </c>
      <c r="G1884" s="1" t="s">
        <v>11</v>
      </c>
      <c r="H1884" s="1" t="s">
        <v>12</v>
      </c>
      <c r="I1884" s="1" t="s">
        <v>13</v>
      </c>
      <c r="J1884" s="1" t="s">
        <v>14</v>
      </c>
      <c r="K1884" s="1" t="s">
        <v>15</v>
      </c>
      <c r="L1884" s="1" t="s">
        <v>16</v>
      </c>
      <c r="M1884" s="1" t="s">
        <v>17</v>
      </c>
      <c r="N1884" s="1" t="s">
        <v>18</v>
      </c>
      <c r="O1884" s="1" t="s">
        <v>19</v>
      </c>
      <c r="P1884" s="1" t="s">
        <v>20</v>
      </c>
    </row>
    <row r="1885" spans="1:16" ht="12.95" customHeight="1" x14ac:dyDescent="0.2">
      <c r="A1885" s="2" t="s">
        <v>21</v>
      </c>
      <c r="B1885" s="2" t="s">
        <v>22</v>
      </c>
      <c r="C1885" s="2"/>
      <c r="D1885" s="2"/>
      <c r="E1885" s="3"/>
      <c r="F1885" s="2"/>
      <c r="G1885" s="2"/>
      <c r="H1885" s="2" t="s">
        <v>23</v>
      </c>
      <c r="I1885" s="12" t="s">
        <v>23</v>
      </c>
      <c r="J1885" s="2"/>
      <c r="K1885" s="2"/>
      <c r="L1885" s="2"/>
      <c r="M1885" s="2"/>
      <c r="N1885" s="2" t="s">
        <v>24</v>
      </c>
      <c r="O1885" s="2" t="s">
        <v>25</v>
      </c>
      <c r="P1885" s="2"/>
    </row>
    <row r="1886" spans="1:16" ht="12.95" customHeight="1" x14ac:dyDescent="0.2">
      <c r="A1886" s="2" t="s">
        <v>26</v>
      </c>
      <c r="B1886" s="2" t="s">
        <v>27</v>
      </c>
      <c r="C1886" s="2"/>
      <c r="D1886" s="2"/>
      <c r="E1886" s="3"/>
      <c r="F1886" s="2"/>
      <c r="G1886" s="2"/>
      <c r="H1886" s="2"/>
      <c r="I1886" s="13"/>
      <c r="J1886" s="2"/>
      <c r="K1886" s="2"/>
      <c r="L1886" s="2"/>
      <c r="M1886" s="2"/>
      <c r="N1886" s="2" t="s">
        <v>28</v>
      </c>
      <c r="O1886" s="2" t="s">
        <v>29</v>
      </c>
      <c r="P1886" s="2"/>
    </row>
    <row r="1887" spans="1:16" ht="12.95" customHeight="1" x14ac:dyDescent="0.2">
      <c r="A1887" s="4" t="s">
        <v>30</v>
      </c>
      <c r="B1887" s="4" t="s">
        <v>31</v>
      </c>
      <c r="C1887" s="4"/>
      <c r="D1887" s="4"/>
      <c r="E1887" s="3"/>
      <c r="F1887" s="4"/>
      <c r="G1887" s="4"/>
      <c r="H1887" s="4"/>
      <c r="I1887" s="35"/>
      <c r="J1887" s="4"/>
      <c r="K1887" s="4"/>
      <c r="L1887" s="4"/>
      <c r="M1887" s="4"/>
      <c r="N1887" s="4"/>
      <c r="O1887" s="4"/>
      <c r="P1887" s="4"/>
    </row>
    <row r="1888" spans="1:16" ht="12.95" customHeight="1" x14ac:dyDescent="0.2">
      <c r="A1888" s="4" t="s">
        <v>32</v>
      </c>
      <c r="B1888" s="4" t="s">
        <v>31</v>
      </c>
      <c r="C1888" s="4"/>
      <c r="D1888" s="4"/>
      <c r="E1888" s="3"/>
      <c r="F1888" s="4"/>
      <c r="G1888" s="4"/>
      <c r="H1888" s="4"/>
      <c r="I1888" s="35"/>
      <c r="J1888" s="4"/>
      <c r="K1888" s="4"/>
      <c r="L1888" s="4"/>
      <c r="M1888" s="4"/>
      <c r="N1888" s="4"/>
      <c r="O1888" s="4"/>
      <c r="P1888" s="4"/>
    </row>
    <row r="1889" spans="1:16" x14ac:dyDescent="0.2">
      <c r="A1889" s="4" t="s">
        <v>33</v>
      </c>
      <c r="B1889" s="4" t="s">
        <v>34</v>
      </c>
      <c r="C1889" s="4" t="s">
        <v>34</v>
      </c>
      <c r="D1889" s="4" t="s">
        <v>34</v>
      </c>
      <c r="E1889" s="4"/>
      <c r="F1889" s="4"/>
      <c r="G1889" s="4"/>
      <c r="H1889" s="4" t="s">
        <v>23</v>
      </c>
      <c r="I1889" s="35" t="s">
        <v>23</v>
      </c>
      <c r="J1889" s="4"/>
      <c r="K1889" s="4"/>
      <c r="L1889" s="4"/>
      <c r="M1889" s="4"/>
      <c r="N1889" s="4"/>
      <c r="O1889" s="4"/>
      <c r="P1889" s="4"/>
    </row>
    <row r="1890" spans="1:16" ht="12.95" customHeight="1" x14ac:dyDescent="0.2">
      <c r="A1890" s="2" t="s">
        <v>35</v>
      </c>
      <c r="B1890" s="2" t="s">
        <v>36</v>
      </c>
      <c r="C1890" s="2"/>
      <c r="D1890" s="2"/>
      <c r="E1890" s="3"/>
      <c r="F1890" s="2"/>
      <c r="G1890" s="2"/>
      <c r="H1890" s="2"/>
      <c r="I1890" s="13"/>
      <c r="J1890" s="2"/>
      <c r="K1890" s="2"/>
      <c r="L1890" s="2"/>
      <c r="M1890" s="2"/>
      <c r="N1890" s="2" t="s">
        <v>37</v>
      </c>
      <c r="O1890" s="2"/>
      <c r="P1890" s="2"/>
    </row>
    <row r="1891" spans="1:16" ht="12.95" customHeight="1" x14ac:dyDescent="0.2">
      <c r="A1891" s="2" t="s">
        <v>38</v>
      </c>
      <c r="B1891" s="2" t="s">
        <v>36</v>
      </c>
      <c r="C1891" s="2"/>
      <c r="D1891" s="2"/>
      <c r="E1891" s="3"/>
      <c r="F1891" s="2"/>
      <c r="G1891" s="2"/>
      <c r="H1891" s="2"/>
      <c r="I1891" s="13"/>
      <c r="J1891" s="2"/>
      <c r="K1891" s="2"/>
      <c r="L1891" s="2"/>
      <c r="M1891" s="2"/>
      <c r="N1891" s="2" t="s">
        <v>37</v>
      </c>
      <c r="O1891" s="2"/>
      <c r="P1891" s="2"/>
    </row>
    <row r="1892" spans="1:16" ht="12.95" customHeight="1" x14ac:dyDescent="0.2">
      <c r="A1892" s="2" t="s">
        <v>39</v>
      </c>
      <c r="B1892" s="2" t="s">
        <v>22</v>
      </c>
      <c r="C1892" s="2"/>
      <c r="D1892" s="2"/>
      <c r="E1892" s="3"/>
      <c r="F1892" s="2"/>
      <c r="G1892" s="2"/>
      <c r="H1892" s="2" t="s">
        <v>23</v>
      </c>
      <c r="I1892" s="12" t="s">
        <v>23</v>
      </c>
      <c r="J1892" s="2"/>
      <c r="K1892" s="2"/>
      <c r="L1892" s="2"/>
      <c r="M1892" s="2"/>
      <c r="N1892" s="2" t="s">
        <v>24</v>
      </c>
      <c r="O1892" s="2" t="s">
        <v>25</v>
      </c>
      <c r="P1892" s="2"/>
    </row>
    <row r="1893" spans="1:16" ht="12.95" customHeight="1" x14ac:dyDescent="0.2">
      <c r="A1893" s="2" t="s">
        <v>40</v>
      </c>
      <c r="B1893" s="2" t="s">
        <v>27</v>
      </c>
      <c r="C1893" s="2"/>
      <c r="D1893" s="2"/>
      <c r="E1893" s="3"/>
      <c r="F1893" s="2"/>
      <c r="G1893" s="2"/>
      <c r="H1893" s="2"/>
      <c r="I1893" s="13"/>
      <c r="J1893" s="2"/>
      <c r="K1893" s="2"/>
      <c r="L1893" s="2"/>
      <c r="M1893" s="2"/>
      <c r="N1893" s="2" t="s">
        <v>28</v>
      </c>
      <c r="O1893" s="2" t="s">
        <v>25</v>
      </c>
      <c r="P1893" s="2"/>
    </row>
    <row r="1894" spans="1:16" ht="12.95" customHeight="1" x14ac:dyDescent="0.2">
      <c r="A1894" s="2" t="s">
        <v>41</v>
      </c>
      <c r="B1894" s="2" t="s">
        <v>42</v>
      </c>
      <c r="C1894" s="2" t="s">
        <v>905</v>
      </c>
      <c r="D1894" s="2" t="s">
        <v>1361</v>
      </c>
      <c r="E1894" s="3" t="s">
        <v>303</v>
      </c>
      <c r="F1894" s="2" t="s">
        <v>46</v>
      </c>
      <c r="G1894" s="2" t="s">
        <v>201</v>
      </c>
      <c r="H1894" s="2" t="s">
        <v>48</v>
      </c>
      <c r="I1894" s="13"/>
      <c r="J1894" s="2" t="s">
        <v>48</v>
      </c>
      <c r="K1894" s="2" t="s">
        <v>273</v>
      </c>
      <c r="L1894" s="2" t="s">
        <v>273</v>
      </c>
      <c r="M1894" s="2" t="s">
        <v>160</v>
      </c>
      <c r="N1894" s="2"/>
      <c r="O1894" s="2"/>
      <c r="P1894" s="2"/>
    </row>
    <row r="1895" spans="1:16" ht="12.95" customHeight="1" x14ac:dyDescent="0.2">
      <c r="A1895" s="4" t="s">
        <v>51</v>
      </c>
      <c r="B1895" s="4" t="s">
        <v>31</v>
      </c>
      <c r="C1895" s="4"/>
      <c r="D1895" s="4"/>
      <c r="E1895" s="3"/>
      <c r="F1895" s="4"/>
      <c r="G1895" s="4"/>
      <c r="H1895" s="4"/>
      <c r="I1895" s="35"/>
      <c r="J1895" s="4"/>
      <c r="K1895" s="4"/>
      <c r="L1895" s="4"/>
      <c r="M1895" s="4"/>
      <c r="N1895" s="4"/>
      <c r="O1895" s="4"/>
      <c r="P1895" s="4"/>
    </row>
    <row r="1896" spans="1:16" ht="12.95" customHeight="1" x14ac:dyDescent="0.2">
      <c r="A1896" s="4" t="s">
        <v>52</v>
      </c>
      <c r="B1896" s="4" t="s">
        <v>31</v>
      </c>
      <c r="C1896" s="4"/>
      <c r="D1896" s="4"/>
      <c r="E1896" s="3"/>
      <c r="F1896" s="4"/>
      <c r="G1896" s="4"/>
      <c r="H1896" s="4"/>
      <c r="I1896" s="35"/>
      <c r="J1896" s="4"/>
      <c r="K1896" s="4"/>
      <c r="L1896" s="4"/>
      <c r="M1896" s="4"/>
      <c r="N1896" s="4"/>
      <c r="O1896" s="4"/>
      <c r="P1896" s="4"/>
    </row>
    <row r="1897" spans="1:16" x14ac:dyDescent="0.2">
      <c r="A1897" s="4" t="s">
        <v>33</v>
      </c>
      <c r="B1897" s="4" t="s">
        <v>34</v>
      </c>
      <c r="C1897" s="4" t="s">
        <v>34</v>
      </c>
      <c r="D1897" s="4" t="s">
        <v>34</v>
      </c>
      <c r="E1897" s="4" t="s">
        <v>303</v>
      </c>
      <c r="F1897" s="4" t="s">
        <v>46</v>
      </c>
      <c r="G1897" s="4" t="s">
        <v>201</v>
      </c>
      <c r="H1897" s="4" t="s">
        <v>53</v>
      </c>
      <c r="I1897" s="35" t="s">
        <v>23</v>
      </c>
      <c r="J1897" s="4" t="s">
        <v>48</v>
      </c>
      <c r="K1897" s="4" t="s">
        <v>273</v>
      </c>
      <c r="L1897" s="4" t="s">
        <v>273</v>
      </c>
      <c r="M1897" s="4" t="s">
        <v>160</v>
      </c>
      <c r="N1897" s="4"/>
      <c r="O1897" s="4"/>
      <c r="P1897" s="4"/>
    </row>
    <row r="1898" spans="1:16" ht="12.95" customHeight="1" x14ac:dyDescent="0.2">
      <c r="A1898" s="2" t="s">
        <v>54</v>
      </c>
      <c r="B1898" s="2" t="s">
        <v>42</v>
      </c>
      <c r="C1898" s="2"/>
      <c r="D1898" s="2"/>
      <c r="E1898" s="3"/>
      <c r="F1898" s="2"/>
      <c r="G1898" s="2"/>
      <c r="H1898" s="2"/>
      <c r="I1898" s="13"/>
      <c r="J1898" s="2"/>
      <c r="K1898" s="2"/>
      <c r="L1898" s="2"/>
      <c r="M1898" s="2"/>
      <c r="N1898" s="2" t="s">
        <v>214</v>
      </c>
      <c r="O1898" s="2"/>
      <c r="P1898" s="2"/>
    </row>
    <row r="1899" spans="1:16" ht="12.95" customHeight="1" x14ac:dyDescent="0.2">
      <c r="A1899" s="2" t="s">
        <v>61</v>
      </c>
      <c r="B1899" s="2" t="s">
        <v>42</v>
      </c>
      <c r="C1899" s="2"/>
      <c r="D1899" s="2"/>
      <c r="E1899" s="3"/>
      <c r="F1899" s="2"/>
      <c r="G1899" s="2"/>
      <c r="H1899" s="2"/>
      <c r="I1899" s="13"/>
      <c r="J1899" s="2"/>
      <c r="K1899" s="2"/>
      <c r="L1899" s="2"/>
      <c r="M1899" s="2"/>
      <c r="N1899" s="2" t="s">
        <v>214</v>
      </c>
      <c r="O1899" s="2"/>
      <c r="P1899" s="2"/>
    </row>
    <row r="1900" spans="1:16" ht="12.95" customHeight="1" x14ac:dyDescent="0.2">
      <c r="A1900" s="2" t="s">
        <v>68</v>
      </c>
      <c r="B1900" s="2" t="s">
        <v>42</v>
      </c>
      <c r="C1900" s="2"/>
      <c r="D1900" s="2"/>
      <c r="E1900" s="3"/>
      <c r="F1900" s="2"/>
      <c r="G1900" s="2"/>
      <c r="H1900" s="2"/>
      <c r="I1900" s="13"/>
      <c r="J1900" s="2"/>
      <c r="K1900" s="2"/>
      <c r="L1900" s="2"/>
      <c r="M1900" s="2"/>
      <c r="N1900" s="2" t="s">
        <v>214</v>
      </c>
      <c r="O1900" s="2"/>
      <c r="P1900" s="2"/>
    </row>
    <row r="1901" spans="1:16" ht="12.95" customHeight="1" x14ac:dyDescent="0.2">
      <c r="A1901" s="2" t="s">
        <v>75</v>
      </c>
      <c r="B1901" s="2" t="s">
        <v>42</v>
      </c>
      <c r="C1901" s="2"/>
      <c r="D1901" s="2"/>
      <c r="E1901" s="3"/>
      <c r="F1901" s="2"/>
      <c r="G1901" s="2"/>
      <c r="H1901" s="2"/>
      <c r="I1901" s="13"/>
      <c r="J1901" s="2"/>
      <c r="K1901" s="2"/>
      <c r="L1901" s="2"/>
      <c r="M1901" s="2"/>
      <c r="N1901" s="2" t="s">
        <v>214</v>
      </c>
      <c r="O1901" s="2"/>
      <c r="P1901" s="2"/>
    </row>
    <row r="1902" spans="1:16" ht="12.95" customHeight="1" x14ac:dyDescent="0.2">
      <c r="A1902" s="2" t="s">
        <v>81</v>
      </c>
      <c r="B1902" s="2" t="s">
        <v>42</v>
      </c>
      <c r="C1902" s="2"/>
      <c r="D1902" s="2"/>
      <c r="E1902" s="3"/>
      <c r="F1902" s="2"/>
      <c r="G1902" s="2"/>
      <c r="H1902" s="2"/>
      <c r="I1902" s="13"/>
      <c r="J1902" s="2"/>
      <c r="K1902" s="2"/>
      <c r="L1902" s="2"/>
      <c r="M1902" s="2"/>
      <c r="N1902" s="2" t="s">
        <v>214</v>
      </c>
      <c r="O1902" s="2"/>
      <c r="P1902" s="2"/>
    </row>
    <row r="1903" spans="1:16" ht="12.95" customHeight="1" x14ac:dyDescent="0.2">
      <c r="A1903" s="4" t="s">
        <v>87</v>
      </c>
      <c r="B1903" s="4" t="s">
        <v>31</v>
      </c>
      <c r="C1903" s="4"/>
      <c r="D1903" s="4"/>
      <c r="E1903" s="3"/>
      <c r="F1903" s="4"/>
      <c r="G1903" s="4"/>
      <c r="H1903" s="4"/>
      <c r="I1903" s="35"/>
      <c r="J1903" s="4"/>
      <c r="K1903" s="4"/>
      <c r="L1903" s="4"/>
      <c r="M1903" s="4"/>
      <c r="N1903" s="4" t="s">
        <v>214</v>
      </c>
      <c r="O1903" s="4"/>
      <c r="P1903" s="4"/>
    </row>
    <row r="1904" spans="1:16" ht="12.95" customHeight="1" x14ac:dyDescent="0.2">
      <c r="A1904" s="4" t="s">
        <v>88</v>
      </c>
      <c r="B1904" s="4" t="s">
        <v>31</v>
      </c>
      <c r="C1904" s="4"/>
      <c r="D1904" s="4"/>
      <c r="E1904" s="3"/>
      <c r="F1904" s="4"/>
      <c r="G1904" s="4"/>
      <c r="H1904" s="4"/>
      <c r="I1904" s="35"/>
      <c r="J1904" s="4"/>
      <c r="K1904" s="4"/>
      <c r="L1904" s="4"/>
      <c r="M1904" s="4"/>
      <c r="N1904" s="4" t="s">
        <v>214</v>
      </c>
      <c r="O1904" s="4"/>
      <c r="P1904" s="4"/>
    </row>
    <row r="1905" spans="1:16" x14ac:dyDescent="0.2">
      <c r="A1905" s="4" t="s">
        <v>33</v>
      </c>
      <c r="B1905" s="4" t="s">
        <v>34</v>
      </c>
      <c r="C1905" s="4" t="s">
        <v>34</v>
      </c>
      <c r="D1905" s="4" t="s">
        <v>34</v>
      </c>
      <c r="E1905" s="4"/>
      <c r="F1905" s="4"/>
      <c r="G1905" s="4"/>
      <c r="H1905" s="4"/>
      <c r="I1905" s="35"/>
      <c r="J1905" s="4"/>
      <c r="K1905" s="4"/>
      <c r="L1905" s="4"/>
      <c r="M1905" s="4"/>
      <c r="N1905" s="4"/>
      <c r="O1905" s="4"/>
      <c r="P1905" s="4"/>
    </row>
    <row r="1906" spans="1:16" ht="12.95" customHeight="1" x14ac:dyDescent="0.2">
      <c r="A1906" s="2" t="s">
        <v>97</v>
      </c>
      <c r="B1906" s="2" t="s">
        <v>42</v>
      </c>
      <c r="C1906" s="2"/>
      <c r="D1906" s="2"/>
      <c r="E1906" s="3"/>
      <c r="F1906" s="2"/>
      <c r="G1906" s="2"/>
      <c r="H1906" s="2"/>
      <c r="I1906" s="13"/>
      <c r="J1906" s="2"/>
      <c r="K1906" s="2"/>
      <c r="L1906" s="2"/>
      <c r="M1906" s="2"/>
      <c r="N1906" s="2" t="s">
        <v>214</v>
      </c>
      <c r="O1906" s="2"/>
      <c r="P1906" s="2"/>
    </row>
    <row r="1907" spans="1:16" ht="12.95" customHeight="1" x14ac:dyDescent="0.2">
      <c r="A1907" s="2" t="s">
        <v>104</v>
      </c>
      <c r="B1907" s="2" t="s">
        <v>42</v>
      </c>
      <c r="C1907" s="2"/>
      <c r="D1907" s="2"/>
      <c r="E1907" s="3"/>
      <c r="F1907" s="2"/>
      <c r="G1907" s="2"/>
      <c r="H1907" s="2"/>
      <c r="I1907" s="13"/>
      <c r="J1907" s="2"/>
      <c r="K1907" s="2"/>
      <c r="L1907" s="2"/>
      <c r="M1907" s="2"/>
      <c r="N1907" s="2" t="s">
        <v>214</v>
      </c>
      <c r="O1907" s="2"/>
      <c r="P1907" s="2"/>
    </row>
    <row r="1908" spans="1:16" ht="12.95" customHeight="1" x14ac:dyDescent="0.2">
      <c r="A1908" s="2" t="s">
        <v>112</v>
      </c>
      <c r="B1908" s="2" t="s">
        <v>22</v>
      </c>
      <c r="C1908" s="2" t="s">
        <v>621</v>
      </c>
      <c r="D1908" s="2" t="s">
        <v>1262</v>
      </c>
      <c r="E1908" s="3" t="s">
        <v>276</v>
      </c>
      <c r="F1908" s="2" t="s">
        <v>46</v>
      </c>
      <c r="G1908" s="2" t="s">
        <v>277</v>
      </c>
      <c r="H1908" s="2" t="s">
        <v>113</v>
      </c>
      <c r="I1908" s="13"/>
      <c r="J1908" s="2" t="s">
        <v>113</v>
      </c>
      <c r="K1908" s="2" t="s">
        <v>86</v>
      </c>
      <c r="L1908" s="2" t="s">
        <v>86</v>
      </c>
      <c r="M1908" s="2"/>
      <c r="N1908" s="2" t="s">
        <v>24</v>
      </c>
      <c r="O1908" s="2" t="s">
        <v>111</v>
      </c>
      <c r="P1908" s="2"/>
    </row>
    <row r="1909" spans="1:16" ht="12.95" customHeight="1" x14ac:dyDescent="0.2">
      <c r="A1909" s="2" t="s">
        <v>114</v>
      </c>
      <c r="B1909" s="2" t="s">
        <v>27</v>
      </c>
      <c r="C1909" s="2"/>
      <c r="D1909" s="2"/>
      <c r="E1909" s="3"/>
      <c r="F1909" s="2"/>
      <c r="G1909" s="2"/>
      <c r="H1909" s="2"/>
      <c r="I1909" s="13"/>
      <c r="J1909" s="2"/>
      <c r="K1909" s="2"/>
      <c r="L1909" s="2"/>
      <c r="M1909" s="2"/>
      <c r="N1909" s="2" t="s">
        <v>28</v>
      </c>
      <c r="O1909" s="2" t="s">
        <v>111</v>
      </c>
      <c r="P1909" s="2"/>
    </row>
    <row r="1910" spans="1:16" ht="12.95" customHeight="1" x14ac:dyDescent="0.2">
      <c r="A1910" s="153" t="s">
        <v>115</v>
      </c>
      <c r="B1910" s="153" t="s">
        <v>42</v>
      </c>
      <c r="C1910" s="153" t="s">
        <v>621</v>
      </c>
      <c r="D1910" s="153" t="s">
        <v>1362</v>
      </c>
      <c r="E1910" s="152" t="s">
        <v>365</v>
      </c>
      <c r="F1910" s="153" t="s">
        <v>46</v>
      </c>
      <c r="G1910" s="153" t="s">
        <v>876</v>
      </c>
      <c r="H1910" s="153"/>
      <c r="I1910" s="153"/>
      <c r="J1910" s="153" t="s">
        <v>48</v>
      </c>
      <c r="K1910" s="153" t="s">
        <v>705</v>
      </c>
      <c r="L1910" s="153"/>
      <c r="M1910" s="153" t="s">
        <v>625</v>
      </c>
      <c r="N1910" s="153" t="s">
        <v>214</v>
      </c>
      <c r="O1910" s="153"/>
      <c r="P1910" s="2"/>
    </row>
    <row r="1911" spans="1:16" ht="12.95" customHeight="1" x14ac:dyDescent="0.2">
      <c r="A1911" s="4" t="s">
        <v>122</v>
      </c>
      <c r="B1911" s="4" t="s">
        <v>31</v>
      </c>
      <c r="C1911" s="4"/>
      <c r="D1911" s="4"/>
      <c r="E1911" s="3"/>
      <c r="F1911" s="4"/>
      <c r="G1911" s="4"/>
      <c r="H1911" s="4"/>
      <c r="I1911" s="35"/>
      <c r="J1911" s="4"/>
      <c r="K1911" s="4"/>
      <c r="L1911" s="4"/>
      <c r="M1911" s="4"/>
      <c r="N1911" s="4" t="s">
        <v>214</v>
      </c>
      <c r="O1911" s="4"/>
      <c r="P1911" s="4"/>
    </row>
    <row r="1912" spans="1:16" ht="12.95" customHeight="1" x14ac:dyDescent="0.2">
      <c r="A1912" s="4" t="s">
        <v>123</v>
      </c>
      <c r="B1912" s="4" t="s">
        <v>31</v>
      </c>
      <c r="C1912" s="4"/>
      <c r="D1912" s="4"/>
      <c r="E1912" s="3"/>
      <c r="F1912" s="4"/>
      <c r="G1912" s="4"/>
      <c r="H1912" s="4"/>
      <c r="I1912" s="35"/>
      <c r="J1912" s="4"/>
      <c r="K1912" s="4"/>
      <c r="L1912" s="4"/>
      <c r="M1912" s="4"/>
      <c r="N1912" s="4" t="s">
        <v>214</v>
      </c>
      <c r="O1912" s="4"/>
      <c r="P1912" s="4"/>
    </row>
    <row r="1913" spans="1:16" x14ac:dyDescent="0.2">
      <c r="A1913" s="4" t="s">
        <v>33</v>
      </c>
      <c r="B1913" s="4" t="s">
        <v>34</v>
      </c>
      <c r="C1913" s="4" t="s">
        <v>34</v>
      </c>
      <c r="D1913" s="4" t="s">
        <v>34</v>
      </c>
      <c r="E1913" s="4" t="s">
        <v>1363</v>
      </c>
      <c r="F1913" s="4" t="s">
        <v>95</v>
      </c>
      <c r="G1913" s="4" t="s">
        <v>438</v>
      </c>
      <c r="H1913" s="4" t="s">
        <v>113</v>
      </c>
      <c r="I1913" s="35"/>
      <c r="J1913" s="4" t="s">
        <v>1359</v>
      </c>
      <c r="K1913" s="4" t="s">
        <v>414</v>
      </c>
      <c r="L1913" s="4" t="s">
        <v>86</v>
      </c>
      <c r="M1913" s="4" t="s">
        <v>625</v>
      </c>
      <c r="N1913" s="4"/>
      <c r="O1913" s="4"/>
      <c r="P1913" s="4"/>
    </row>
    <row r="1914" spans="1:16" ht="12.95" customHeight="1" x14ac:dyDescent="0.2">
      <c r="A1914" s="2" t="s">
        <v>131</v>
      </c>
      <c r="B1914" s="2" t="s">
        <v>42</v>
      </c>
      <c r="C1914" s="2"/>
      <c r="D1914" s="2"/>
      <c r="E1914" s="3"/>
      <c r="F1914" s="2"/>
      <c r="G1914" s="2"/>
      <c r="H1914" s="2"/>
      <c r="I1914" s="13"/>
      <c r="J1914" s="2"/>
      <c r="K1914" s="2"/>
      <c r="L1914" s="2"/>
      <c r="M1914" s="2"/>
      <c r="N1914" s="2" t="s">
        <v>214</v>
      </c>
      <c r="O1914" s="2"/>
      <c r="P1914" s="2"/>
    </row>
    <row r="1915" spans="1:16" ht="12.95" customHeight="1" x14ac:dyDescent="0.2">
      <c r="A1915" s="2" t="s">
        <v>138</v>
      </c>
      <c r="B1915" s="2" t="s">
        <v>42</v>
      </c>
      <c r="C1915" s="2"/>
      <c r="D1915" s="2"/>
      <c r="E1915" s="3"/>
      <c r="F1915" s="2"/>
      <c r="G1915" s="2"/>
      <c r="H1915" s="2"/>
      <c r="I1915" s="13"/>
      <c r="J1915" s="2"/>
      <c r="K1915" s="2"/>
      <c r="L1915" s="2"/>
      <c r="M1915" s="2"/>
      <c r="N1915" s="2" t="s">
        <v>214</v>
      </c>
      <c r="O1915" s="2"/>
      <c r="P1915" s="2"/>
    </row>
    <row r="1916" spans="1:16" ht="12.95" customHeight="1" x14ac:dyDescent="0.2">
      <c r="A1916" s="2" t="s">
        <v>143</v>
      </c>
      <c r="B1916" s="2" t="s">
        <v>42</v>
      </c>
      <c r="C1916" s="2"/>
      <c r="D1916" s="2"/>
      <c r="E1916" s="3"/>
      <c r="F1916" s="2"/>
      <c r="G1916" s="2"/>
      <c r="H1916" s="2"/>
      <c r="I1916" s="13"/>
      <c r="J1916" s="2"/>
      <c r="K1916" s="2"/>
      <c r="L1916" s="2"/>
      <c r="M1916" s="2"/>
      <c r="N1916" s="2" t="s">
        <v>214</v>
      </c>
      <c r="O1916" s="2"/>
      <c r="P1916" s="2"/>
    </row>
    <row r="1917" spans="1:16" ht="12.95" customHeight="1" x14ac:dyDescent="0.2">
      <c r="A1917" s="2" t="s">
        <v>148</v>
      </c>
      <c r="B1917" s="2" t="s">
        <v>42</v>
      </c>
      <c r="C1917" s="2"/>
      <c r="D1917" s="2"/>
      <c r="E1917" s="3"/>
      <c r="F1917" s="2"/>
      <c r="G1917" s="2"/>
      <c r="H1917" s="2"/>
      <c r="I1917" s="13"/>
      <c r="J1917" s="2"/>
      <c r="K1917" s="2"/>
      <c r="L1917" s="2"/>
      <c r="M1917" s="2"/>
      <c r="N1917" s="2" t="s">
        <v>194</v>
      </c>
      <c r="O1917" s="2"/>
      <c r="P1917" s="2"/>
    </row>
    <row r="1918" spans="1:16" ht="12.95" customHeight="1" x14ac:dyDescent="0.2">
      <c r="A1918" s="2" t="s">
        <v>155</v>
      </c>
      <c r="B1918" s="2" t="s">
        <v>42</v>
      </c>
      <c r="C1918" s="2"/>
      <c r="D1918" s="2"/>
      <c r="E1918" s="3"/>
      <c r="F1918" s="2"/>
      <c r="G1918" s="2"/>
      <c r="H1918" s="2"/>
      <c r="I1918" s="13"/>
      <c r="J1918" s="2"/>
      <c r="K1918" s="2"/>
      <c r="L1918" s="2"/>
      <c r="M1918" s="2"/>
      <c r="N1918" s="2" t="s">
        <v>194</v>
      </c>
      <c r="O1918" s="2"/>
      <c r="P1918" s="2"/>
    </row>
    <row r="1919" spans="1:16" ht="12.95" customHeight="1" x14ac:dyDescent="0.2">
      <c r="A1919" s="8" t="s">
        <v>161</v>
      </c>
      <c r="B1919" s="8"/>
      <c r="C1919" s="8"/>
      <c r="D1919" s="8"/>
      <c r="E1919" s="5" t="s">
        <v>1364</v>
      </c>
      <c r="F1919" s="5" t="s">
        <v>125</v>
      </c>
      <c r="G1919" s="5" t="s">
        <v>1365</v>
      </c>
      <c r="H1919" s="5" t="s">
        <v>873</v>
      </c>
      <c r="I1919" s="36" t="s">
        <v>319</v>
      </c>
      <c r="J1919" s="5" t="s">
        <v>970</v>
      </c>
      <c r="K1919" s="5" t="s">
        <v>172</v>
      </c>
      <c r="L1919" s="5" t="s">
        <v>625</v>
      </c>
      <c r="M1919" s="5" t="s">
        <v>1106</v>
      </c>
      <c r="N1919" s="5"/>
      <c r="O1919" s="5"/>
      <c r="P1919" s="5"/>
    </row>
    <row r="1920" spans="1:16" ht="12.95" customHeight="1" x14ac:dyDescent="0.2">
      <c r="A1920" s="8" t="s">
        <v>171</v>
      </c>
      <c r="B1920" s="8"/>
      <c r="C1920" s="8"/>
      <c r="D1920" s="8"/>
      <c r="E1920" s="5" t="s">
        <v>1364</v>
      </c>
      <c r="F1920" s="5" t="s">
        <v>125</v>
      </c>
      <c r="G1920" s="5" t="s">
        <v>1365</v>
      </c>
      <c r="H1920" s="5" t="s">
        <v>873</v>
      </c>
      <c r="I1920" s="36" t="s">
        <v>296</v>
      </c>
      <c r="J1920" s="5" t="s">
        <v>970</v>
      </c>
      <c r="K1920" s="5" t="s">
        <v>172</v>
      </c>
      <c r="L1920" s="5" t="s">
        <v>625</v>
      </c>
      <c r="M1920" s="5" t="s">
        <v>1106</v>
      </c>
      <c r="N1920" s="5"/>
      <c r="O1920" s="5"/>
      <c r="P1920" s="5"/>
    </row>
    <row r="1921" spans="1:16" ht="12.95" customHeight="1" x14ac:dyDescent="0.2">
      <c r="A1921" s="8" t="s">
        <v>173</v>
      </c>
      <c r="B1921" s="8"/>
      <c r="C1921" s="8"/>
      <c r="D1921" s="8"/>
      <c r="E1921" s="5">
        <v>27.25</v>
      </c>
      <c r="F1921" s="5">
        <v>1.5</v>
      </c>
      <c r="G1921" s="5">
        <v>25.75</v>
      </c>
      <c r="H1921" s="5">
        <v>16.600000000000001</v>
      </c>
      <c r="I1921" s="36">
        <v>0</v>
      </c>
      <c r="J1921" s="5">
        <v>24.2</v>
      </c>
      <c r="K1921" s="5">
        <v>1.55</v>
      </c>
      <c r="L1921" s="5">
        <v>1.25</v>
      </c>
      <c r="M1921" s="5">
        <v>2.48</v>
      </c>
      <c r="N1921" s="5"/>
      <c r="O1921" s="5"/>
      <c r="P1921" s="5"/>
    </row>
    <row r="1922" spans="1:16" x14ac:dyDescent="0.2">
      <c r="I1922" s="37"/>
    </row>
    <row r="1923" spans="1:16" ht="12.95" customHeight="1" x14ac:dyDescent="0.2">
      <c r="A1923" s="9" t="s">
        <v>174</v>
      </c>
      <c r="B1923" s="9"/>
      <c r="C1923" s="9"/>
      <c r="E1923" s="9" t="s">
        <v>180</v>
      </c>
      <c r="F1923" s="9"/>
      <c r="G1923" s="9"/>
      <c r="I1923" s="9" t="s">
        <v>181</v>
      </c>
      <c r="J1923" s="9"/>
      <c r="K1923" s="9"/>
    </row>
    <row r="1924" spans="1:16" ht="12.95" customHeight="1" x14ac:dyDescent="0.2">
      <c r="A1924" s="10" t="s">
        <v>175</v>
      </c>
      <c r="B1924" s="10"/>
      <c r="C1924" s="6">
        <v>3</v>
      </c>
      <c r="E1924" s="10" t="s">
        <v>14</v>
      </c>
      <c r="F1924" s="10"/>
      <c r="G1924" s="6">
        <v>24.2</v>
      </c>
      <c r="I1924" s="10" t="s">
        <v>264</v>
      </c>
      <c r="J1924" s="10"/>
      <c r="K1924" s="43">
        <v>2</v>
      </c>
    </row>
    <row r="1925" spans="1:16" ht="12.95" customHeight="1" x14ac:dyDescent="0.2">
      <c r="A1925" s="10" t="s">
        <v>1531</v>
      </c>
      <c r="B1925" s="10"/>
      <c r="C1925" s="6">
        <v>22</v>
      </c>
      <c r="E1925" s="10" t="s">
        <v>15</v>
      </c>
      <c r="F1925" s="10"/>
      <c r="G1925" s="6">
        <v>1.55</v>
      </c>
      <c r="I1925" s="10" t="s">
        <v>265</v>
      </c>
      <c r="J1925" s="10"/>
      <c r="K1925" s="6">
        <v>15</v>
      </c>
    </row>
    <row r="1926" spans="1:16" ht="12.95" customHeight="1" x14ac:dyDescent="0.2">
      <c r="A1926" s="10" t="s">
        <v>176</v>
      </c>
      <c r="B1926" s="10"/>
      <c r="C1926" s="6">
        <v>27.25</v>
      </c>
      <c r="I1926" s="10" t="s">
        <v>27</v>
      </c>
      <c r="J1926" s="10"/>
      <c r="K1926" s="26">
        <v>3</v>
      </c>
    </row>
    <row r="1927" spans="1:16" ht="12.95" customHeight="1" x14ac:dyDescent="0.2">
      <c r="A1927" s="10" t="s">
        <v>177</v>
      </c>
      <c r="B1927" s="10"/>
      <c r="C1927" s="6">
        <v>16.600000000000001</v>
      </c>
      <c r="I1927" s="10" t="s">
        <v>22</v>
      </c>
      <c r="J1927" s="10"/>
      <c r="K1927" s="26">
        <v>2</v>
      </c>
    </row>
    <row r="1928" spans="1:16" ht="12.95" customHeight="1" x14ac:dyDescent="0.2">
      <c r="A1928" s="10" t="s">
        <v>11</v>
      </c>
      <c r="B1928" s="10"/>
      <c r="C1928" s="6">
        <v>25.75</v>
      </c>
      <c r="I1928" s="10" t="s">
        <v>36</v>
      </c>
      <c r="J1928" s="10"/>
      <c r="K1928" s="26">
        <v>2</v>
      </c>
    </row>
    <row r="1929" spans="1:16" ht="12.95" customHeight="1" x14ac:dyDescent="0.2">
      <c r="A1929" s="10" t="s">
        <v>178</v>
      </c>
      <c r="B1929" s="10"/>
      <c r="C1929" s="30">
        <v>0.8</v>
      </c>
      <c r="I1929" s="39" t="s">
        <v>1591</v>
      </c>
      <c r="J1929" s="19"/>
      <c r="K1929" s="20">
        <v>1</v>
      </c>
    </row>
    <row r="1930" spans="1:16" ht="12.95" customHeight="1" x14ac:dyDescent="0.2">
      <c r="A1930" s="28" t="s">
        <v>1571</v>
      </c>
      <c r="B1930" s="27"/>
      <c r="C1930" s="31">
        <v>-0.8</v>
      </c>
      <c r="I1930" s="39" t="s">
        <v>1592</v>
      </c>
      <c r="J1930" s="19"/>
      <c r="K1930" s="38">
        <v>2</v>
      </c>
    </row>
    <row r="1931" spans="1:16" ht="12.95" customHeight="1" x14ac:dyDescent="0.25">
      <c r="A1931" s="29" t="s">
        <v>1572</v>
      </c>
      <c r="B1931" s="29"/>
      <c r="C1931" s="32">
        <f>C1929+C1930</f>
        <v>0</v>
      </c>
      <c r="I1931" s="41" t="s">
        <v>1593</v>
      </c>
      <c r="J1931" s="40"/>
      <c r="K1931" s="42">
        <f>K1924+K1929+K1930</f>
        <v>5</v>
      </c>
    </row>
    <row r="1932" spans="1:16" x14ac:dyDescent="0.2">
      <c r="A1932" s="10" t="s">
        <v>10</v>
      </c>
      <c r="B1932" s="10"/>
      <c r="C1932" s="6">
        <v>1.5</v>
      </c>
    </row>
    <row r="1933" spans="1:16" ht="15" x14ac:dyDescent="0.25">
      <c r="A1933" s="154" t="s">
        <v>1615</v>
      </c>
      <c r="B1933" s="154"/>
      <c r="C1933" s="154" cm="1">
        <f t="array" ref="C1933">IFERROR(SUMPRODUCT((ISNUMBER(SEARCH("מילואים",N1885:N1922))+ISNUMBER(SEARCH("מילואים",O1885:O1922))&gt;0)*(C1885:C1922&lt;&gt;"")*(J1885:J1922+0))*24,0)</f>
        <v>8.3999999999999986</v>
      </c>
    </row>
    <row r="1934" spans="1:16" ht="12.95" customHeight="1" x14ac:dyDescent="0.2">
      <c r="A1934" s="7" t="s">
        <v>1366</v>
      </c>
      <c r="B1934" s="7"/>
      <c r="C1934" s="7"/>
      <c r="D1934" s="7" t="s">
        <v>1</v>
      </c>
      <c r="E1934" s="7"/>
      <c r="F1934" s="7"/>
      <c r="G1934" s="7"/>
      <c r="H1934" s="7" t="s">
        <v>1237</v>
      </c>
      <c r="I1934" s="7"/>
      <c r="J1934" s="7"/>
      <c r="K1934" s="7"/>
      <c r="L1934" s="7"/>
      <c r="M1934" s="7"/>
      <c r="N1934" s="7"/>
      <c r="O1934" s="7"/>
      <c r="P1934" s="7"/>
    </row>
    <row r="1935" spans="1:16" ht="12.95" customHeight="1" x14ac:dyDescent="0.2">
      <c r="A1935" s="7" t="s">
        <v>3</v>
      </c>
      <c r="B1935" s="7"/>
      <c r="C1935" s="7"/>
      <c r="D1935" s="7"/>
      <c r="E1935" s="7"/>
      <c r="F1935" s="7">
        <v>66</v>
      </c>
      <c r="G1935" s="7"/>
      <c r="H1935" s="7" t="s">
        <v>4</v>
      </c>
      <c r="I1935" s="7"/>
      <c r="J1935" s="7"/>
      <c r="K1935" s="7"/>
      <c r="L1935" s="7"/>
      <c r="M1935" s="7"/>
      <c r="N1935" s="7"/>
      <c r="O1935" s="7"/>
      <c r="P1935" s="7"/>
    </row>
    <row r="1936" spans="1:16" ht="22.5" customHeight="1" x14ac:dyDescent="0.2">
      <c r="A1936" s="1" t="s">
        <v>5</v>
      </c>
      <c r="B1936" s="1" t="s">
        <v>6</v>
      </c>
      <c r="C1936" s="1" t="s">
        <v>7</v>
      </c>
      <c r="D1936" s="1" t="s">
        <v>8</v>
      </c>
      <c r="E1936" s="1" t="s">
        <v>9</v>
      </c>
      <c r="F1936" s="1" t="s">
        <v>10</v>
      </c>
      <c r="G1936" s="1" t="s">
        <v>11</v>
      </c>
      <c r="H1936" s="1" t="s">
        <v>12</v>
      </c>
      <c r="I1936" s="1" t="s">
        <v>13</v>
      </c>
      <c r="J1936" s="1" t="s">
        <v>14</v>
      </c>
      <c r="K1936" s="1" t="s">
        <v>15</v>
      </c>
      <c r="L1936" s="1" t="s">
        <v>16</v>
      </c>
      <c r="M1936" s="1" t="s">
        <v>17</v>
      </c>
      <c r="N1936" s="1" t="s">
        <v>18</v>
      </c>
      <c r="O1936" s="1" t="s">
        <v>19</v>
      </c>
      <c r="P1936" s="1" t="s">
        <v>20</v>
      </c>
    </row>
    <row r="1937" spans="1:16" ht="12.95" customHeight="1" x14ac:dyDescent="0.2">
      <c r="A1937" s="2" t="s">
        <v>21</v>
      </c>
      <c r="B1937" s="2" t="s">
        <v>22</v>
      </c>
      <c r="C1937" s="2" t="s">
        <v>1095</v>
      </c>
      <c r="D1937" s="2" t="s">
        <v>1367</v>
      </c>
      <c r="E1937" s="3" t="s">
        <v>1014</v>
      </c>
      <c r="F1937" s="2" t="s">
        <v>46</v>
      </c>
      <c r="G1937" s="2" t="s">
        <v>256</v>
      </c>
      <c r="H1937" s="2" t="s">
        <v>23</v>
      </c>
      <c r="I1937" s="13"/>
      <c r="J1937" s="2" t="s">
        <v>256</v>
      </c>
      <c r="K1937" s="2"/>
      <c r="L1937" s="2" t="s">
        <v>1368</v>
      </c>
      <c r="M1937" s="2"/>
      <c r="N1937" s="2" t="s">
        <v>24</v>
      </c>
      <c r="O1937" s="2" t="s">
        <v>25</v>
      </c>
      <c r="P1937" s="2"/>
    </row>
    <row r="1938" spans="1:16" ht="12.95" customHeight="1" x14ac:dyDescent="0.2">
      <c r="A1938" s="2" t="s">
        <v>26</v>
      </c>
      <c r="B1938" s="2" t="s">
        <v>27</v>
      </c>
      <c r="C1938" s="2"/>
      <c r="D1938" s="2"/>
      <c r="E1938" s="3"/>
      <c r="F1938" s="2"/>
      <c r="G1938" s="2"/>
      <c r="H1938" s="2"/>
      <c r="I1938" s="13"/>
      <c r="J1938" s="2"/>
      <c r="K1938" s="2"/>
      <c r="L1938" s="2"/>
      <c r="M1938" s="2"/>
      <c r="N1938" s="2" t="s">
        <v>28</v>
      </c>
      <c r="O1938" s="2" t="s">
        <v>29</v>
      </c>
      <c r="P1938" s="2"/>
    </row>
    <row r="1939" spans="1:16" ht="12.95" customHeight="1" x14ac:dyDescent="0.2">
      <c r="A1939" s="4" t="s">
        <v>30</v>
      </c>
      <c r="B1939" s="4" t="s">
        <v>31</v>
      </c>
      <c r="C1939" s="4"/>
      <c r="D1939" s="4"/>
      <c r="E1939" s="3"/>
      <c r="F1939" s="4"/>
      <c r="G1939" s="4"/>
      <c r="H1939" s="4"/>
      <c r="I1939" s="35"/>
      <c r="J1939" s="4"/>
      <c r="K1939" s="4"/>
      <c r="L1939" s="4"/>
      <c r="M1939" s="4"/>
      <c r="N1939" s="4"/>
      <c r="O1939" s="4"/>
      <c r="P1939" s="4"/>
    </row>
    <row r="1940" spans="1:16" ht="12.95" customHeight="1" x14ac:dyDescent="0.2">
      <c r="A1940" s="4" t="s">
        <v>32</v>
      </c>
      <c r="B1940" s="4" t="s">
        <v>31</v>
      </c>
      <c r="C1940" s="4"/>
      <c r="D1940" s="4"/>
      <c r="E1940" s="3"/>
      <c r="F1940" s="4"/>
      <c r="G1940" s="4"/>
      <c r="H1940" s="4"/>
      <c r="I1940" s="35"/>
      <c r="J1940" s="4"/>
      <c r="K1940" s="4"/>
      <c r="L1940" s="4"/>
      <c r="M1940" s="4"/>
      <c r="N1940" s="4"/>
      <c r="O1940" s="4"/>
      <c r="P1940" s="4"/>
    </row>
    <row r="1941" spans="1:16" x14ac:dyDescent="0.2">
      <c r="A1941" s="4" t="s">
        <v>33</v>
      </c>
      <c r="B1941" s="4" t="s">
        <v>34</v>
      </c>
      <c r="C1941" s="4" t="s">
        <v>34</v>
      </c>
      <c r="D1941" s="4" t="s">
        <v>34</v>
      </c>
      <c r="E1941" s="4" t="s">
        <v>1014</v>
      </c>
      <c r="F1941" s="4" t="s">
        <v>46</v>
      </c>
      <c r="G1941" s="4" t="s">
        <v>256</v>
      </c>
      <c r="H1941" s="4" t="s">
        <v>23</v>
      </c>
      <c r="I1941" s="35"/>
      <c r="J1941" s="4" t="s">
        <v>256</v>
      </c>
      <c r="K1941" s="4"/>
      <c r="L1941" s="4" t="s">
        <v>1368</v>
      </c>
      <c r="M1941" s="4"/>
      <c r="N1941" s="4"/>
      <c r="O1941" s="4"/>
      <c r="P1941" s="4"/>
    </row>
    <row r="1942" spans="1:16" ht="12.95" customHeight="1" x14ac:dyDescent="0.2">
      <c r="A1942" s="2" t="s">
        <v>35</v>
      </c>
      <c r="B1942" s="2" t="s">
        <v>36</v>
      </c>
      <c r="C1942" s="2"/>
      <c r="D1942" s="2"/>
      <c r="E1942" s="3"/>
      <c r="F1942" s="2"/>
      <c r="G1942" s="2"/>
      <c r="H1942" s="2"/>
      <c r="I1942" s="13"/>
      <c r="J1942" s="2"/>
      <c r="K1942" s="2"/>
      <c r="L1942" s="2"/>
      <c r="M1942" s="2"/>
      <c r="N1942" s="2" t="s">
        <v>37</v>
      </c>
      <c r="O1942" s="2" t="s">
        <v>264</v>
      </c>
      <c r="P1942" s="2"/>
    </row>
    <row r="1943" spans="1:16" ht="12.95" customHeight="1" x14ac:dyDescent="0.2">
      <c r="A1943" s="2" t="s">
        <v>38</v>
      </c>
      <c r="B1943" s="2" t="s">
        <v>36</v>
      </c>
      <c r="C1943" s="2"/>
      <c r="D1943" s="2"/>
      <c r="E1943" s="3"/>
      <c r="F1943" s="2"/>
      <c r="G1943" s="2"/>
      <c r="H1943" s="2"/>
      <c r="I1943" s="13"/>
      <c r="J1943" s="2"/>
      <c r="K1943" s="2"/>
      <c r="L1943" s="2"/>
      <c r="M1943" s="2"/>
      <c r="N1943" s="2" t="s">
        <v>37</v>
      </c>
      <c r="O1943" s="2" t="s">
        <v>264</v>
      </c>
      <c r="P1943" s="2"/>
    </row>
    <row r="1944" spans="1:16" ht="12.95" customHeight="1" x14ac:dyDescent="0.2">
      <c r="A1944" s="2" t="s">
        <v>39</v>
      </c>
      <c r="B1944" s="2" t="s">
        <v>22</v>
      </c>
      <c r="C1944" s="2" t="s">
        <v>1095</v>
      </c>
      <c r="D1944" s="2" t="s">
        <v>1367</v>
      </c>
      <c r="E1944" s="3" t="s">
        <v>1014</v>
      </c>
      <c r="F1944" s="2" t="s">
        <v>46</v>
      </c>
      <c r="G1944" s="2" t="s">
        <v>256</v>
      </c>
      <c r="H1944" s="2" t="s">
        <v>23</v>
      </c>
      <c r="I1944" s="13"/>
      <c r="J1944" s="2" t="s">
        <v>256</v>
      </c>
      <c r="K1944" s="2"/>
      <c r="L1944" s="2" t="s">
        <v>1368</v>
      </c>
      <c r="M1944" s="2"/>
      <c r="N1944" s="2" t="s">
        <v>24</v>
      </c>
      <c r="O1944" s="2" t="s">
        <v>25</v>
      </c>
      <c r="P1944" s="2"/>
    </row>
    <row r="1945" spans="1:16" ht="12.95" customHeight="1" x14ac:dyDescent="0.2">
      <c r="A1945" s="2" t="s">
        <v>40</v>
      </c>
      <c r="B1945" s="2" t="s">
        <v>27</v>
      </c>
      <c r="C1945" s="2"/>
      <c r="D1945" s="2"/>
      <c r="E1945" s="3"/>
      <c r="F1945" s="2"/>
      <c r="G1945" s="2"/>
      <c r="H1945" s="2"/>
      <c r="I1945" s="13"/>
      <c r="J1945" s="2"/>
      <c r="K1945" s="2"/>
      <c r="L1945" s="2"/>
      <c r="M1945" s="2"/>
      <c r="N1945" s="2" t="s">
        <v>28</v>
      </c>
      <c r="O1945" s="2" t="s">
        <v>25</v>
      </c>
      <c r="P1945" s="2"/>
    </row>
    <row r="1946" spans="1:16" ht="12.95" customHeight="1" x14ac:dyDescent="0.2">
      <c r="A1946" s="2" t="s">
        <v>41</v>
      </c>
      <c r="B1946" s="2" t="s">
        <v>42</v>
      </c>
      <c r="C1946" s="2" t="s">
        <v>491</v>
      </c>
      <c r="D1946" s="2" t="s">
        <v>376</v>
      </c>
      <c r="E1946" s="3" t="s">
        <v>1134</v>
      </c>
      <c r="F1946" s="2"/>
      <c r="G1946" s="2" t="s">
        <v>1134</v>
      </c>
      <c r="H1946" s="2" t="s">
        <v>48</v>
      </c>
      <c r="I1946" s="13"/>
      <c r="J1946" s="2" t="s">
        <v>48</v>
      </c>
      <c r="K1946" s="2" t="s">
        <v>290</v>
      </c>
      <c r="L1946" s="2" t="s">
        <v>290</v>
      </c>
      <c r="M1946" s="2"/>
      <c r="N1946" s="2"/>
      <c r="O1946" s="2"/>
      <c r="P1946" s="2"/>
    </row>
    <row r="1947" spans="1:16" ht="12.95" customHeight="1" x14ac:dyDescent="0.2">
      <c r="A1947" s="2" t="s">
        <v>41</v>
      </c>
      <c r="B1947" s="2" t="s">
        <v>42</v>
      </c>
      <c r="C1947" s="2" t="s">
        <v>1242</v>
      </c>
      <c r="D1947" s="2" t="s">
        <v>1369</v>
      </c>
      <c r="E1947" s="3" t="s">
        <v>658</v>
      </c>
      <c r="F1947" s="2" t="s">
        <v>46</v>
      </c>
      <c r="G1947" s="2" t="s">
        <v>368</v>
      </c>
      <c r="H1947" s="2"/>
      <c r="I1947" s="13"/>
      <c r="J1947" s="2"/>
      <c r="K1947" s="2" t="s">
        <v>368</v>
      </c>
      <c r="L1947" s="2" t="s">
        <v>368</v>
      </c>
      <c r="M1947" s="2"/>
      <c r="N1947" s="2"/>
      <c r="O1947" s="2"/>
      <c r="P1947" s="2"/>
    </row>
    <row r="1948" spans="1:16" ht="12.95" customHeight="1" x14ac:dyDescent="0.2">
      <c r="A1948" s="4" t="s">
        <v>51</v>
      </c>
      <c r="B1948" s="4" t="s">
        <v>31</v>
      </c>
      <c r="C1948" s="4"/>
      <c r="D1948" s="4"/>
      <c r="E1948" s="3"/>
      <c r="F1948" s="4"/>
      <c r="G1948" s="4"/>
      <c r="H1948" s="4"/>
      <c r="I1948" s="35"/>
      <c r="J1948" s="4"/>
      <c r="K1948" s="4"/>
      <c r="L1948" s="4"/>
      <c r="M1948" s="4"/>
      <c r="N1948" s="4"/>
      <c r="O1948" s="4"/>
      <c r="P1948" s="4"/>
    </row>
    <row r="1949" spans="1:16" ht="12.95" customHeight="1" x14ac:dyDescent="0.2">
      <c r="A1949" s="4" t="s">
        <v>52</v>
      </c>
      <c r="B1949" s="4" t="s">
        <v>31</v>
      </c>
      <c r="C1949" s="4"/>
      <c r="D1949" s="4"/>
      <c r="E1949" s="3"/>
      <c r="F1949" s="4"/>
      <c r="G1949" s="4"/>
      <c r="H1949" s="4"/>
      <c r="I1949" s="35"/>
      <c r="J1949" s="4"/>
      <c r="K1949" s="4"/>
      <c r="L1949" s="4"/>
      <c r="M1949" s="4"/>
      <c r="N1949" s="4"/>
      <c r="O1949" s="4"/>
      <c r="P1949" s="4"/>
    </row>
    <row r="1950" spans="1:16" x14ac:dyDescent="0.2">
      <c r="A1950" s="4" t="s">
        <v>33</v>
      </c>
      <c r="B1950" s="4" t="s">
        <v>34</v>
      </c>
      <c r="C1950" s="4" t="s">
        <v>34</v>
      </c>
      <c r="D1950" s="4" t="s">
        <v>34</v>
      </c>
      <c r="E1950" s="4" t="s">
        <v>1370</v>
      </c>
      <c r="F1950" s="4" t="s">
        <v>95</v>
      </c>
      <c r="G1950" s="4" t="s">
        <v>446</v>
      </c>
      <c r="H1950" s="4" t="s">
        <v>53</v>
      </c>
      <c r="I1950" s="35"/>
      <c r="J1950" s="4" t="s">
        <v>1371</v>
      </c>
      <c r="K1950" s="4" t="s">
        <v>232</v>
      </c>
      <c r="L1950" s="4" t="s">
        <v>1372</v>
      </c>
      <c r="M1950" s="4"/>
      <c r="N1950" s="4"/>
      <c r="O1950" s="4"/>
      <c r="P1950" s="4"/>
    </row>
    <row r="1951" spans="1:16" ht="12.95" customHeight="1" x14ac:dyDescent="0.2">
      <c r="A1951" s="2" t="s">
        <v>54</v>
      </c>
      <c r="B1951" s="2" t="s">
        <v>42</v>
      </c>
      <c r="C1951" s="2" t="s">
        <v>564</v>
      </c>
      <c r="D1951" s="2" t="s">
        <v>1373</v>
      </c>
      <c r="E1951" s="3" t="s">
        <v>303</v>
      </c>
      <c r="F1951" s="2" t="s">
        <v>46</v>
      </c>
      <c r="G1951" s="2" t="s">
        <v>201</v>
      </c>
      <c r="H1951" s="2" t="s">
        <v>48</v>
      </c>
      <c r="I1951" s="13"/>
      <c r="J1951" s="2" t="s">
        <v>48</v>
      </c>
      <c r="K1951" s="2" t="s">
        <v>273</v>
      </c>
      <c r="L1951" s="2" t="s">
        <v>273</v>
      </c>
      <c r="M1951" s="2"/>
      <c r="N1951" s="2"/>
      <c r="O1951" s="2"/>
      <c r="P1951" s="2"/>
    </row>
    <row r="1952" spans="1:16" ht="12.95" customHeight="1" x14ac:dyDescent="0.2">
      <c r="A1952" s="2" t="s">
        <v>61</v>
      </c>
      <c r="B1952" s="2" t="s">
        <v>42</v>
      </c>
      <c r="C1952" s="2" t="s">
        <v>448</v>
      </c>
      <c r="D1952" s="2" t="s">
        <v>1279</v>
      </c>
      <c r="E1952" s="3" t="s">
        <v>301</v>
      </c>
      <c r="F1952" s="2" t="s">
        <v>46</v>
      </c>
      <c r="G1952" s="2" t="s">
        <v>84</v>
      </c>
      <c r="H1952" s="2" t="s">
        <v>48</v>
      </c>
      <c r="I1952" s="13"/>
      <c r="J1952" s="2" t="s">
        <v>48</v>
      </c>
      <c r="K1952" s="2" t="s">
        <v>282</v>
      </c>
      <c r="L1952" s="2" t="s">
        <v>282</v>
      </c>
      <c r="M1952" s="2"/>
      <c r="N1952" s="2"/>
      <c r="O1952" s="2"/>
      <c r="P1952" s="2"/>
    </row>
    <row r="1953" spans="1:16" ht="12.95" customHeight="1" x14ac:dyDescent="0.2">
      <c r="A1953" s="2" t="s">
        <v>68</v>
      </c>
      <c r="B1953" s="2" t="s">
        <v>42</v>
      </c>
      <c r="C1953" s="2" t="s">
        <v>1095</v>
      </c>
      <c r="D1953" s="2" t="s">
        <v>1374</v>
      </c>
      <c r="E1953" s="3" t="s">
        <v>303</v>
      </c>
      <c r="F1953" s="2" t="s">
        <v>46</v>
      </c>
      <c r="G1953" s="2" t="s">
        <v>201</v>
      </c>
      <c r="H1953" s="2" t="s">
        <v>48</v>
      </c>
      <c r="I1953" s="13"/>
      <c r="J1953" s="2" t="s">
        <v>48</v>
      </c>
      <c r="K1953" s="2" t="s">
        <v>273</v>
      </c>
      <c r="L1953" s="2" t="s">
        <v>273</v>
      </c>
      <c r="M1953" s="2" t="s">
        <v>46</v>
      </c>
      <c r="N1953" s="2"/>
      <c r="O1953" s="2"/>
      <c r="P1953" s="2"/>
    </row>
    <row r="1954" spans="1:16" ht="12.95" customHeight="1" x14ac:dyDescent="0.2">
      <c r="A1954" s="2" t="s">
        <v>75</v>
      </c>
      <c r="B1954" s="2" t="s">
        <v>42</v>
      </c>
      <c r="C1954" s="2" t="s">
        <v>453</v>
      </c>
      <c r="D1954" s="2" t="s">
        <v>877</v>
      </c>
      <c r="E1954" s="3" t="s">
        <v>1375</v>
      </c>
      <c r="F1954" s="2" t="s">
        <v>46</v>
      </c>
      <c r="G1954" s="2" t="s">
        <v>758</v>
      </c>
      <c r="H1954" s="2" t="s">
        <v>48</v>
      </c>
      <c r="I1954" s="13"/>
      <c r="J1954" s="2" t="s">
        <v>48</v>
      </c>
      <c r="K1954" s="2" t="s">
        <v>414</v>
      </c>
      <c r="L1954" s="2" t="s">
        <v>414</v>
      </c>
      <c r="M1954" s="2"/>
      <c r="N1954" s="2"/>
      <c r="O1954" s="2"/>
      <c r="P1954" s="2"/>
    </row>
    <row r="1955" spans="1:16" ht="12.95" customHeight="1" x14ac:dyDescent="0.2">
      <c r="A1955" s="2" t="s">
        <v>81</v>
      </c>
      <c r="B1955" s="2" t="s">
        <v>42</v>
      </c>
      <c r="C1955" s="2" t="s">
        <v>82</v>
      </c>
      <c r="D1955" s="2" t="s">
        <v>1012</v>
      </c>
      <c r="E1955" s="3" t="s">
        <v>606</v>
      </c>
      <c r="F1955" s="2"/>
      <c r="G1955" s="2" t="s">
        <v>606</v>
      </c>
      <c r="H1955" s="2" t="s">
        <v>48</v>
      </c>
      <c r="I1955" s="13"/>
      <c r="J1955" s="2" t="s">
        <v>606</v>
      </c>
      <c r="K1955" s="2"/>
      <c r="L1955" s="2"/>
      <c r="M1955" s="2" t="s">
        <v>86</v>
      </c>
      <c r="N1955" s="2"/>
      <c r="O1955" s="2"/>
      <c r="P1955" s="2"/>
    </row>
    <row r="1956" spans="1:16" ht="12.95" customHeight="1" x14ac:dyDescent="0.2">
      <c r="A1956" s="2" t="s">
        <v>81</v>
      </c>
      <c r="B1956" s="2" t="s">
        <v>42</v>
      </c>
      <c r="C1956" s="2" t="s">
        <v>724</v>
      </c>
      <c r="D1956" s="2" t="s">
        <v>1376</v>
      </c>
      <c r="E1956" s="3" t="s">
        <v>1377</v>
      </c>
      <c r="F1956" s="2" t="s">
        <v>46</v>
      </c>
      <c r="G1956" s="2" t="s">
        <v>172</v>
      </c>
      <c r="H1956" s="2"/>
      <c r="I1956" s="13"/>
      <c r="J1956" s="2" t="s">
        <v>414</v>
      </c>
      <c r="K1956" s="2" t="s">
        <v>273</v>
      </c>
      <c r="L1956" s="2" t="s">
        <v>273</v>
      </c>
      <c r="M1956" s="2"/>
      <c r="N1956" s="2"/>
      <c r="O1956" s="2"/>
      <c r="P1956" s="2"/>
    </row>
    <row r="1957" spans="1:16" ht="12.95" customHeight="1" x14ac:dyDescent="0.2">
      <c r="A1957" s="4" t="s">
        <v>87</v>
      </c>
      <c r="B1957" s="4" t="s">
        <v>31</v>
      </c>
      <c r="C1957" s="4"/>
      <c r="D1957" s="4"/>
      <c r="E1957" s="3"/>
      <c r="F1957" s="4"/>
      <c r="G1957" s="4"/>
      <c r="H1957" s="4"/>
      <c r="I1957" s="35"/>
      <c r="J1957" s="4"/>
      <c r="K1957" s="4"/>
      <c r="L1957" s="4"/>
      <c r="M1957" s="4"/>
      <c r="N1957" s="4"/>
      <c r="O1957" s="4"/>
      <c r="P1957" s="4"/>
    </row>
    <row r="1958" spans="1:16" ht="12.95" customHeight="1" x14ac:dyDescent="0.2">
      <c r="A1958" s="4" t="s">
        <v>88</v>
      </c>
      <c r="B1958" s="4" t="s">
        <v>31</v>
      </c>
      <c r="C1958" s="4"/>
      <c r="D1958" s="4"/>
      <c r="E1958" s="3"/>
      <c r="F1958" s="4"/>
      <c r="G1958" s="4"/>
      <c r="H1958" s="4"/>
      <c r="I1958" s="35"/>
      <c r="J1958" s="4"/>
      <c r="K1958" s="4"/>
      <c r="L1958" s="4"/>
      <c r="M1958" s="4"/>
      <c r="N1958" s="4"/>
      <c r="O1958" s="4"/>
      <c r="P1958" s="4"/>
    </row>
    <row r="1959" spans="1:16" x14ac:dyDescent="0.2">
      <c r="A1959" s="4" t="s">
        <v>33</v>
      </c>
      <c r="B1959" s="4" t="s">
        <v>34</v>
      </c>
      <c r="C1959" s="4" t="s">
        <v>34</v>
      </c>
      <c r="D1959" s="4" t="s">
        <v>34</v>
      </c>
      <c r="E1959" s="4" t="s">
        <v>1378</v>
      </c>
      <c r="F1959" s="4" t="s">
        <v>90</v>
      </c>
      <c r="G1959" s="4" t="s">
        <v>1379</v>
      </c>
      <c r="H1959" s="4" t="s">
        <v>92</v>
      </c>
      <c r="I1959" s="35"/>
      <c r="J1959" s="4" t="s">
        <v>92</v>
      </c>
      <c r="K1959" s="4" t="s">
        <v>1380</v>
      </c>
      <c r="L1959" s="4" t="s">
        <v>1380</v>
      </c>
      <c r="M1959" s="4" t="s">
        <v>485</v>
      </c>
      <c r="N1959" s="4"/>
      <c r="O1959" s="4"/>
      <c r="P1959" s="4"/>
    </row>
    <row r="1960" spans="1:16" ht="12.95" customHeight="1" x14ac:dyDescent="0.2">
      <c r="A1960" s="2" t="s">
        <v>97</v>
      </c>
      <c r="B1960" s="2" t="s">
        <v>42</v>
      </c>
      <c r="C1960" s="2" t="s">
        <v>1035</v>
      </c>
      <c r="D1960" s="2" t="s">
        <v>1381</v>
      </c>
      <c r="E1960" s="3" t="s">
        <v>688</v>
      </c>
      <c r="F1960" s="2" t="s">
        <v>46</v>
      </c>
      <c r="G1960" s="2" t="s">
        <v>543</v>
      </c>
      <c r="H1960" s="2" t="s">
        <v>48</v>
      </c>
      <c r="I1960" s="13"/>
      <c r="J1960" s="2" t="s">
        <v>48</v>
      </c>
      <c r="K1960" s="2" t="s">
        <v>445</v>
      </c>
      <c r="L1960" s="2" t="s">
        <v>445</v>
      </c>
      <c r="M1960" s="2" t="s">
        <v>240</v>
      </c>
      <c r="N1960" s="2"/>
      <c r="O1960" s="2"/>
      <c r="P1960" s="2"/>
    </row>
    <row r="1961" spans="1:16" ht="12.95" customHeight="1" x14ac:dyDescent="0.2">
      <c r="A1961" s="2" t="s">
        <v>104</v>
      </c>
      <c r="B1961" s="2" t="s">
        <v>42</v>
      </c>
      <c r="C1961" s="2" t="s">
        <v>534</v>
      </c>
      <c r="D1961" s="2" t="s">
        <v>724</v>
      </c>
      <c r="E1961" s="3" t="s">
        <v>166</v>
      </c>
      <c r="F1961" s="2" t="s">
        <v>46</v>
      </c>
      <c r="G1961" s="2" t="s">
        <v>1382</v>
      </c>
      <c r="H1961" s="2" t="s">
        <v>48</v>
      </c>
      <c r="I1961" s="13"/>
      <c r="J1961" s="2" t="s">
        <v>48</v>
      </c>
      <c r="K1961" s="2" t="s">
        <v>223</v>
      </c>
      <c r="L1961" s="2" t="s">
        <v>223</v>
      </c>
      <c r="M1961" s="2"/>
      <c r="N1961" s="2"/>
      <c r="O1961" s="2"/>
      <c r="P1961" s="2"/>
    </row>
    <row r="1962" spans="1:16" ht="12.95" customHeight="1" x14ac:dyDescent="0.2">
      <c r="A1962" s="2" t="s">
        <v>112</v>
      </c>
      <c r="B1962" s="2" t="s">
        <v>22</v>
      </c>
      <c r="C1962" s="2" t="s">
        <v>1383</v>
      </c>
      <c r="D1962" s="2" t="s">
        <v>1384</v>
      </c>
      <c r="E1962" s="3" t="s">
        <v>1014</v>
      </c>
      <c r="F1962" s="2" t="s">
        <v>46</v>
      </c>
      <c r="G1962" s="2" t="s">
        <v>256</v>
      </c>
      <c r="H1962" s="2" t="s">
        <v>113</v>
      </c>
      <c r="I1962" s="111" t="s">
        <v>1385</v>
      </c>
      <c r="J1962" s="2" t="s">
        <v>256</v>
      </c>
      <c r="K1962" s="2"/>
      <c r="L1962" s="2"/>
      <c r="M1962" s="2"/>
      <c r="N1962" s="2" t="s">
        <v>24</v>
      </c>
      <c r="O1962" s="2"/>
      <c r="P1962" s="2"/>
    </row>
    <row r="1963" spans="1:16" ht="12.95" customHeight="1" x14ac:dyDescent="0.2">
      <c r="A1963" s="2" t="s">
        <v>114</v>
      </c>
      <c r="B1963" s="2" t="s">
        <v>27</v>
      </c>
      <c r="C1963" s="2"/>
      <c r="D1963" s="2"/>
      <c r="E1963" s="3"/>
      <c r="F1963" s="2"/>
      <c r="G1963" s="2"/>
      <c r="H1963" s="2"/>
      <c r="I1963" s="13"/>
      <c r="J1963" s="2"/>
      <c r="K1963" s="2"/>
      <c r="L1963" s="2"/>
      <c r="M1963" s="2"/>
      <c r="N1963" s="2" t="s">
        <v>28</v>
      </c>
      <c r="O1963" s="2" t="s">
        <v>111</v>
      </c>
      <c r="P1963" s="2"/>
    </row>
    <row r="1964" spans="1:16" ht="12.95" customHeight="1" x14ac:dyDescent="0.2">
      <c r="A1964" s="2" t="s">
        <v>115</v>
      </c>
      <c r="B1964" s="2" t="s">
        <v>42</v>
      </c>
      <c r="C1964" s="2" t="s">
        <v>962</v>
      </c>
      <c r="D1964" s="2" t="s">
        <v>873</v>
      </c>
      <c r="E1964" s="3" t="s">
        <v>458</v>
      </c>
      <c r="F1964" s="2" t="s">
        <v>46</v>
      </c>
      <c r="G1964" s="2" t="s">
        <v>483</v>
      </c>
      <c r="H1964" s="2" t="s">
        <v>48</v>
      </c>
      <c r="I1964" s="13"/>
      <c r="J1964" s="2" t="s">
        <v>48</v>
      </c>
      <c r="K1964" s="2" t="s">
        <v>484</v>
      </c>
      <c r="L1964" s="2" t="s">
        <v>484</v>
      </c>
      <c r="M1964" s="2"/>
      <c r="N1964" s="2"/>
      <c r="O1964" s="2"/>
      <c r="P1964" s="2"/>
    </row>
    <row r="1965" spans="1:16" ht="12.95" customHeight="1" x14ac:dyDescent="0.2">
      <c r="A1965" s="4" t="s">
        <v>122</v>
      </c>
      <c r="B1965" s="4" t="s">
        <v>31</v>
      </c>
      <c r="C1965" s="4"/>
      <c r="D1965" s="4"/>
      <c r="E1965" s="3"/>
      <c r="F1965" s="4"/>
      <c r="G1965" s="4"/>
      <c r="H1965" s="4"/>
      <c r="I1965" s="35"/>
      <c r="J1965" s="4"/>
      <c r="K1965" s="4"/>
      <c r="L1965" s="4"/>
      <c r="M1965" s="4"/>
      <c r="N1965" s="4"/>
      <c r="O1965" s="4"/>
      <c r="P1965" s="4"/>
    </row>
    <row r="1966" spans="1:16" ht="12.95" customHeight="1" x14ac:dyDescent="0.2">
      <c r="A1966" s="4" t="s">
        <v>123</v>
      </c>
      <c r="B1966" s="4" t="s">
        <v>31</v>
      </c>
      <c r="C1966" s="4"/>
      <c r="D1966" s="4"/>
      <c r="E1966" s="3"/>
      <c r="F1966" s="4"/>
      <c r="G1966" s="4"/>
      <c r="H1966" s="4"/>
      <c r="I1966" s="35"/>
      <c r="J1966" s="4"/>
      <c r="K1966" s="4"/>
      <c r="L1966" s="4"/>
      <c r="M1966" s="4"/>
      <c r="N1966" s="4"/>
      <c r="O1966" s="4"/>
      <c r="P1966" s="4"/>
    </row>
    <row r="1967" spans="1:16" x14ac:dyDescent="0.2">
      <c r="A1967" s="4" t="s">
        <v>33</v>
      </c>
      <c r="B1967" s="4" t="s">
        <v>34</v>
      </c>
      <c r="C1967" s="4" t="s">
        <v>34</v>
      </c>
      <c r="D1967" s="4" t="s">
        <v>34</v>
      </c>
      <c r="E1967" s="4" t="s">
        <v>1386</v>
      </c>
      <c r="F1967" s="4" t="s">
        <v>272</v>
      </c>
      <c r="G1967" s="4" t="s">
        <v>1387</v>
      </c>
      <c r="H1967" s="4" t="s">
        <v>1259</v>
      </c>
      <c r="I1967" s="35" t="s">
        <v>1385</v>
      </c>
      <c r="J1967" s="4" t="s">
        <v>1388</v>
      </c>
      <c r="K1967" s="4" t="s">
        <v>1389</v>
      </c>
      <c r="L1967" s="4" t="s">
        <v>1389</v>
      </c>
      <c r="M1967" s="4" t="s">
        <v>240</v>
      </c>
      <c r="N1967" s="4"/>
      <c r="O1967" s="4"/>
      <c r="P1967" s="4"/>
    </row>
    <row r="1968" spans="1:16" ht="12.95" customHeight="1" x14ac:dyDescent="0.2">
      <c r="A1968" s="2" t="s">
        <v>131</v>
      </c>
      <c r="B1968" s="2" t="s">
        <v>42</v>
      </c>
      <c r="C1968" s="2" t="s">
        <v>1006</v>
      </c>
      <c r="D1968" s="2" t="s">
        <v>469</v>
      </c>
      <c r="E1968" s="3" t="s">
        <v>1249</v>
      </c>
      <c r="F1968" s="2" t="s">
        <v>46</v>
      </c>
      <c r="G1968" s="2" t="s">
        <v>1250</v>
      </c>
      <c r="H1968" s="2" t="s">
        <v>48</v>
      </c>
      <c r="I1968" s="13"/>
      <c r="J1968" s="2" t="s">
        <v>48</v>
      </c>
      <c r="K1968" s="2" t="s">
        <v>324</v>
      </c>
      <c r="L1968" s="2" t="s">
        <v>324</v>
      </c>
      <c r="M1968" s="2"/>
      <c r="N1968" s="2"/>
      <c r="O1968" s="2"/>
      <c r="P1968" s="2"/>
    </row>
    <row r="1969" spans="1:16" ht="12.95" customHeight="1" x14ac:dyDescent="0.2">
      <c r="A1969" s="2" t="s">
        <v>138</v>
      </c>
      <c r="B1969" s="2" t="s">
        <v>42</v>
      </c>
      <c r="C1969" s="2" t="s">
        <v>391</v>
      </c>
      <c r="D1969" s="2" t="s">
        <v>1390</v>
      </c>
      <c r="E1969" s="3" t="s">
        <v>402</v>
      </c>
      <c r="F1969" s="2"/>
      <c r="G1969" s="2" t="s">
        <v>402</v>
      </c>
      <c r="H1969" s="2" t="s">
        <v>48</v>
      </c>
      <c r="I1969" s="13"/>
      <c r="J1969" s="2" t="s">
        <v>402</v>
      </c>
      <c r="K1969" s="2"/>
      <c r="L1969" s="2"/>
      <c r="M1969" s="2" t="s">
        <v>742</v>
      </c>
      <c r="N1969" s="2"/>
      <c r="O1969" s="2"/>
      <c r="P1969" s="2"/>
    </row>
    <row r="1970" spans="1:16" ht="12.95" customHeight="1" x14ac:dyDescent="0.2">
      <c r="A1970" s="2" t="s">
        <v>138</v>
      </c>
      <c r="B1970" s="2" t="s">
        <v>42</v>
      </c>
      <c r="C1970" s="2" t="s">
        <v>724</v>
      </c>
      <c r="D1970" s="2" t="s">
        <v>1391</v>
      </c>
      <c r="E1970" s="3" t="s">
        <v>86</v>
      </c>
      <c r="F1970" s="2" t="s">
        <v>46</v>
      </c>
      <c r="G1970" s="2" t="s">
        <v>539</v>
      </c>
      <c r="H1970" s="2"/>
      <c r="I1970" s="13"/>
      <c r="J1970" s="2" t="s">
        <v>142</v>
      </c>
      <c r="K1970" s="2" t="s">
        <v>73</v>
      </c>
      <c r="L1970" s="2" t="s">
        <v>73</v>
      </c>
      <c r="M1970" s="2"/>
      <c r="N1970" s="2"/>
      <c r="O1970" s="2"/>
      <c r="P1970" s="2"/>
    </row>
    <row r="1971" spans="1:16" ht="12.95" customHeight="1" x14ac:dyDescent="0.2">
      <c r="A1971" s="2" t="s">
        <v>143</v>
      </c>
      <c r="B1971" s="2" t="s">
        <v>42</v>
      </c>
      <c r="C1971" s="2" t="s">
        <v>1095</v>
      </c>
      <c r="D1971" s="2" t="s">
        <v>1374</v>
      </c>
      <c r="E1971" s="3" t="s">
        <v>303</v>
      </c>
      <c r="F1971" s="2" t="s">
        <v>46</v>
      </c>
      <c r="G1971" s="2" t="s">
        <v>201</v>
      </c>
      <c r="H1971" s="2" t="s">
        <v>48</v>
      </c>
      <c r="I1971" s="13"/>
      <c r="J1971" s="2" t="s">
        <v>48</v>
      </c>
      <c r="K1971" s="2" t="s">
        <v>273</v>
      </c>
      <c r="L1971" s="2" t="s">
        <v>273</v>
      </c>
      <c r="M1971" s="2" t="s">
        <v>46</v>
      </c>
      <c r="N1971" s="2"/>
      <c r="O1971" s="2"/>
      <c r="P1971" s="2"/>
    </row>
    <row r="1972" spans="1:16" ht="12.95" customHeight="1" x14ac:dyDescent="0.2">
      <c r="A1972" s="2" t="s">
        <v>148</v>
      </c>
      <c r="B1972" s="2" t="s">
        <v>42</v>
      </c>
      <c r="C1972" s="2" t="s">
        <v>1122</v>
      </c>
      <c r="D1972" s="2" t="s">
        <v>1392</v>
      </c>
      <c r="E1972" s="3" t="s">
        <v>499</v>
      </c>
      <c r="F1972" s="2"/>
      <c r="G1972" s="2" t="s">
        <v>499</v>
      </c>
      <c r="H1972" s="2" t="s">
        <v>48</v>
      </c>
      <c r="I1972" s="13"/>
      <c r="J1972" s="2" t="s">
        <v>499</v>
      </c>
      <c r="K1972" s="2"/>
      <c r="L1972" s="2"/>
      <c r="M1972" s="2"/>
      <c r="N1972" s="2"/>
      <c r="O1972" s="2"/>
      <c r="P1972" s="2"/>
    </row>
    <row r="1973" spans="1:16" ht="12.95" customHeight="1" x14ac:dyDescent="0.2">
      <c r="A1973" s="2" t="s">
        <v>148</v>
      </c>
      <c r="B1973" s="2" t="s">
        <v>42</v>
      </c>
      <c r="C1973" s="2" t="s">
        <v>1393</v>
      </c>
      <c r="D1973" s="2" t="s">
        <v>1394</v>
      </c>
      <c r="E1973" s="3" t="s">
        <v>272</v>
      </c>
      <c r="F1973" s="2" t="s">
        <v>46</v>
      </c>
      <c r="G1973" s="2" t="s">
        <v>125</v>
      </c>
      <c r="H1973" s="2"/>
      <c r="I1973" s="13"/>
      <c r="J1973" s="2" t="s">
        <v>73</v>
      </c>
      <c r="K1973" s="2" t="s">
        <v>522</v>
      </c>
      <c r="L1973" s="2" t="s">
        <v>522</v>
      </c>
      <c r="M1973" s="2"/>
      <c r="N1973" s="2"/>
      <c r="O1973" s="2"/>
      <c r="P1973" s="2"/>
    </row>
    <row r="1974" spans="1:16" ht="12.95" customHeight="1" x14ac:dyDescent="0.2">
      <c r="A1974" s="2" t="s">
        <v>155</v>
      </c>
      <c r="B1974" s="2" t="s">
        <v>42</v>
      </c>
      <c r="C1974" s="2" t="s">
        <v>1395</v>
      </c>
      <c r="D1974" s="2" t="s">
        <v>1396</v>
      </c>
      <c r="E1974" s="3" t="s">
        <v>303</v>
      </c>
      <c r="F1974" s="2" t="s">
        <v>46</v>
      </c>
      <c r="G1974" s="2" t="s">
        <v>201</v>
      </c>
      <c r="H1974" s="2" t="s">
        <v>48</v>
      </c>
      <c r="I1974" s="13"/>
      <c r="J1974" s="2" t="s">
        <v>48</v>
      </c>
      <c r="K1974" s="2" t="s">
        <v>273</v>
      </c>
      <c r="L1974" s="2" t="s">
        <v>273</v>
      </c>
      <c r="M1974" s="2" t="s">
        <v>125</v>
      </c>
      <c r="N1974" s="2"/>
      <c r="O1974" s="2"/>
      <c r="P1974" s="2"/>
    </row>
    <row r="1975" spans="1:16" ht="12.95" customHeight="1" x14ac:dyDescent="0.2">
      <c r="A1975" s="8" t="s">
        <v>161</v>
      </c>
      <c r="B1975" s="8"/>
      <c r="C1975" s="8"/>
      <c r="D1975" s="8"/>
      <c r="E1975" s="5" t="s">
        <v>1397</v>
      </c>
      <c r="F1975" s="5" t="s">
        <v>201</v>
      </c>
      <c r="G1975" s="5" t="s">
        <v>1398</v>
      </c>
      <c r="H1975" s="5" t="s">
        <v>1399</v>
      </c>
      <c r="I1975" s="36" t="s">
        <v>1385</v>
      </c>
      <c r="J1975" s="5" t="s">
        <v>1400</v>
      </c>
      <c r="K1975" s="5" t="s">
        <v>1401</v>
      </c>
      <c r="L1975" s="5" t="s">
        <v>1045</v>
      </c>
      <c r="M1975" s="5" t="s">
        <v>1402</v>
      </c>
      <c r="N1975" s="5"/>
      <c r="O1975" s="5"/>
      <c r="P1975" s="5"/>
    </row>
    <row r="1976" spans="1:16" ht="12.95" customHeight="1" x14ac:dyDescent="0.2">
      <c r="A1976" s="8" t="s">
        <v>171</v>
      </c>
      <c r="B1976" s="8"/>
      <c r="C1976" s="8"/>
      <c r="D1976" s="8"/>
      <c r="E1976" s="5" t="s">
        <v>1397</v>
      </c>
      <c r="F1976" s="5" t="s">
        <v>201</v>
      </c>
      <c r="G1976" s="5" t="s">
        <v>1398</v>
      </c>
      <c r="H1976" s="5" t="s">
        <v>1399</v>
      </c>
      <c r="I1976" s="36" t="s">
        <v>296</v>
      </c>
      <c r="J1976" s="5" t="s">
        <v>1400</v>
      </c>
      <c r="K1976" s="5" t="s">
        <v>1401</v>
      </c>
      <c r="L1976" s="5" t="s">
        <v>1045</v>
      </c>
      <c r="M1976" s="5" t="s">
        <v>1402</v>
      </c>
      <c r="N1976" s="5"/>
      <c r="O1976" s="5"/>
      <c r="P1976" s="5"/>
    </row>
    <row r="1977" spans="1:16" ht="12.95" customHeight="1" x14ac:dyDescent="0.2">
      <c r="A1977" s="8" t="s">
        <v>173</v>
      </c>
      <c r="B1977" s="8"/>
      <c r="C1977" s="8"/>
      <c r="D1977" s="8"/>
      <c r="E1977" s="5">
        <v>149.03</v>
      </c>
      <c r="F1977" s="5">
        <v>8.5</v>
      </c>
      <c r="G1977" s="5">
        <v>140.53</v>
      </c>
      <c r="H1977" s="5">
        <v>125.8</v>
      </c>
      <c r="I1977" s="36">
        <v>0</v>
      </c>
      <c r="J1977" s="5">
        <v>129.6</v>
      </c>
      <c r="K1977" s="5">
        <v>10.93</v>
      </c>
      <c r="L1977" s="5">
        <v>18.13</v>
      </c>
      <c r="M1977" s="5">
        <v>4.3499999999999996</v>
      </c>
      <c r="N1977" s="5"/>
      <c r="O1977" s="5"/>
      <c r="P1977" s="5"/>
    </row>
    <row r="1978" spans="1:16" x14ac:dyDescent="0.2">
      <c r="I1978" s="37"/>
    </row>
    <row r="1979" spans="1:16" ht="12.95" customHeight="1" x14ac:dyDescent="0.2">
      <c r="A1979" s="9" t="s">
        <v>174</v>
      </c>
      <c r="B1979" s="9"/>
      <c r="C1979" s="9"/>
      <c r="E1979" s="9" t="s">
        <v>180</v>
      </c>
      <c r="F1979" s="9"/>
      <c r="G1979" s="9"/>
      <c r="I1979" s="9" t="s">
        <v>181</v>
      </c>
      <c r="J1979" s="9"/>
      <c r="K1979" s="9"/>
    </row>
    <row r="1980" spans="1:16" ht="12.95" customHeight="1" x14ac:dyDescent="0.2">
      <c r="A1980" s="10" t="s">
        <v>175</v>
      </c>
      <c r="B1980" s="10"/>
      <c r="C1980" s="6">
        <v>17</v>
      </c>
      <c r="E1980" s="10" t="s">
        <v>14</v>
      </c>
      <c r="F1980" s="10"/>
      <c r="G1980" s="6">
        <v>129.6</v>
      </c>
      <c r="I1980" s="10" t="s">
        <v>27</v>
      </c>
      <c r="J1980" s="10"/>
      <c r="K1980" s="26">
        <v>3</v>
      </c>
    </row>
    <row r="1981" spans="1:16" ht="12.95" customHeight="1" x14ac:dyDescent="0.2">
      <c r="A1981" s="10" t="s">
        <v>1531</v>
      </c>
      <c r="B1981" s="10"/>
      <c r="C1981" s="6">
        <v>22</v>
      </c>
      <c r="E1981" s="10" t="s">
        <v>15</v>
      </c>
      <c r="F1981" s="10"/>
      <c r="G1981" s="6">
        <v>10.93</v>
      </c>
      <c r="I1981" s="10" t="s">
        <v>22</v>
      </c>
      <c r="J1981" s="10"/>
      <c r="K1981" s="26">
        <v>0</v>
      </c>
    </row>
    <row r="1982" spans="1:16" ht="12.95" customHeight="1" x14ac:dyDescent="0.2">
      <c r="A1982" s="10" t="s">
        <v>176</v>
      </c>
      <c r="B1982" s="10"/>
      <c r="C1982" s="6">
        <v>149.03</v>
      </c>
      <c r="I1982" s="10" t="s">
        <v>36</v>
      </c>
      <c r="J1982" s="10"/>
      <c r="K1982" s="26">
        <v>2</v>
      </c>
    </row>
    <row r="1983" spans="1:16" ht="12.95" customHeight="1" x14ac:dyDescent="0.2">
      <c r="A1983" s="10" t="s">
        <v>177</v>
      </c>
      <c r="B1983" s="10"/>
      <c r="C1983" s="6">
        <v>125.8</v>
      </c>
      <c r="I1983" s="39" t="s">
        <v>1591</v>
      </c>
      <c r="J1983" s="19"/>
      <c r="K1983" s="20">
        <v>0</v>
      </c>
    </row>
    <row r="1984" spans="1:16" ht="12.95" customHeight="1" x14ac:dyDescent="0.2">
      <c r="A1984" s="10" t="s">
        <v>11</v>
      </c>
      <c r="B1984" s="10"/>
      <c r="C1984" s="6">
        <v>140.53</v>
      </c>
      <c r="I1984" s="39" t="s">
        <v>1592</v>
      </c>
      <c r="J1984" s="19"/>
      <c r="K1984" s="38">
        <v>2</v>
      </c>
    </row>
    <row r="1985" spans="1:17" ht="12.95" customHeight="1" x14ac:dyDescent="0.25">
      <c r="A1985" s="10" t="s">
        <v>178</v>
      </c>
      <c r="B1985" s="10"/>
      <c r="C1985" s="6">
        <v>3.4</v>
      </c>
      <c r="I1985" s="41" t="s">
        <v>1593</v>
      </c>
      <c r="J1985" s="40"/>
      <c r="K1985" s="42">
        <f>K1983+K1984</f>
        <v>2</v>
      </c>
    </row>
    <row r="1986" spans="1:17" ht="12.95" customHeight="1" x14ac:dyDescent="0.2">
      <c r="A1986" s="10" t="s">
        <v>17</v>
      </c>
      <c r="B1986" s="10"/>
      <c r="C1986" s="113">
        <v>0.95</v>
      </c>
    </row>
    <row r="1987" spans="1:17" ht="12.95" customHeight="1" x14ac:dyDescent="0.2">
      <c r="A1987" s="10" t="s">
        <v>179</v>
      </c>
      <c r="B1987" s="10"/>
      <c r="C1987" s="6">
        <v>0</v>
      </c>
    </row>
    <row r="1988" spans="1:17" x14ac:dyDescent="0.2">
      <c r="A1988" s="10" t="s">
        <v>10</v>
      </c>
      <c r="B1988" s="10"/>
      <c r="C1988" s="6">
        <v>8.5</v>
      </c>
    </row>
    <row r="1989" spans="1:17" x14ac:dyDescent="0.2">
      <c r="A1989" t="s">
        <v>1615</v>
      </c>
      <c r="C1989" cm="1">
        <f t="array" ref="C1989">IFERROR(SUMPRODUCT((ISNUMBER(SEARCH("מילואים",N1937:N1978))+ISNUMBER(SEARCH("מילואים",O1937:O1978))&gt;0)*(C1937:C1978&lt;&gt;"")*(J1937:J1978+0))*24,0)</f>
        <v>0</v>
      </c>
    </row>
    <row r="1990" spans="1:17" ht="12.95" customHeight="1" x14ac:dyDescent="0.2">
      <c r="A1990" s="7" t="s">
        <v>1403</v>
      </c>
      <c r="B1990" s="7"/>
      <c r="C1990" s="7"/>
      <c r="D1990" s="7" t="s">
        <v>1</v>
      </c>
      <c r="E1990" s="7"/>
      <c r="F1990" s="7"/>
      <c r="G1990" s="7"/>
      <c r="H1990" s="7" t="s">
        <v>1237</v>
      </c>
      <c r="I1990" s="7"/>
      <c r="J1990" s="7"/>
      <c r="K1990" s="7"/>
      <c r="L1990" s="7"/>
      <c r="M1990" s="7"/>
      <c r="N1990" s="7"/>
      <c r="O1990" s="7"/>
      <c r="P1990" s="7"/>
      <c r="Q1990" s="7"/>
    </row>
    <row r="1991" spans="1:17" ht="12.95" customHeight="1" x14ac:dyDescent="0.2">
      <c r="A1991" s="7" t="s">
        <v>3</v>
      </c>
      <c r="B1991" s="7"/>
      <c r="C1991" s="7"/>
      <c r="D1991" s="7"/>
      <c r="E1991" s="7"/>
      <c r="F1991" s="7">
        <v>76</v>
      </c>
      <c r="G1991" s="7"/>
      <c r="H1991" s="7" t="s">
        <v>4</v>
      </c>
      <c r="I1991" s="7"/>
      <c r="J1991" s="7"/>
      <c r="K1991" s="7"/>
      <c r="L1991" s="7"/>
      <c r="M1991" s="7"/>
      <c r="N1991" s="7"/>
      <c r="O1991" s="7"/>
      <c r="P1991" s="7"/>
      <c r="Q1991" s="7"/>
    </row>
    <row r="1992" spans="1:17" ht="22.5" customHeight="1" x14ac:dyDescent="0.2">
      <c r="A1992" s="1" t="s">
        <v>5</v>
      </c>
      <c r="B1992" s="1" t="s">
        <v>6</v>
      </c>
      <c r="C1992" s="1" t="s">
        <v>7</v>
      </c>
      <c r="D1992" s="1" t="s">
        <v>8</v>
      </c>
      <c r="E1992" s="1" t="s">
        <v>9</v>
      </c>
      <c r="F1992" s="1" t="s">
        <v>10</v>
      </c>
      <c r="G1992" s="1" t="s">
        <v>11</v>
      </c>
      <c r="H1992" s="1" t="s">
        <v>12</v>
      </c>
      <c r="I1992" s="1" t="s">
        <v>13</v>
      </c>
      <c r="J1992" s="1" t="s">
        <v>14</v>
      </c>
      <c r="K1992" s="1" t="s">
        <v>15</v>
      </c>
      <c r="L1992" s="1" t="s">
        <v>267</v>
      </c>
      <c r="M1992" s="1" t="s">
        <v>16</v>
      </c>
      <c r="N1992" s="1" t="s">
        <v>17</v>
      </c>
      <c r="O1992" s="109" t="s">
        <v>1717</v>
      </c>
      <c r="P1992" s="1" t="s">
        <v>19</v>
      </c>
      <c r="Q1992" s="1" t="s">
        <v>20</v>
      </c>
    </row>
    <row r="1993" spans="1:17" ht="12.95" customHeight="1" x14ac:dyDescent="0.2">
      <c r="A1993" s="2" t="s">
        <v>21</v>
      </c>
      <c r="B1993" s="2" t="s">
        <v>22</v>
      </c>
      <c r="C1993" s="2"/>
      <c r="D1993" s="2"/>
      <c r="E1993" s="3"/>
      <c r="F1993" s="2"/>
      <c r="G1993" s="2"/>
      <c r="H1993" s="2"/>
      <c r="I1993" s="13"/>
      <c r="J1993" s="2"/>
      <c r="K1993" s="2"/>
      <c r="L1993" s="2"/>
      <c r="M1993" s="2"/>
      <c r="N1993" s="2"/>
      <c r="O1993" s="2" t="s">
        <v>214</v>
      </c>
      <c r="P1993" s="2" t="s">
        <v>25</v>
      </c>
      <c r="Q1993" s="2"/>
    </row>
    <row r="1994" spans="1:17" ht="12.95" customHeight="1" x14ac:dyDescent="0.2">
      <c r="A1994" s="2" t="s">
        <v>26</v>
      </c>
      <c r="B1994" s="2" t="s">
        <v>27</v>
      </c>
      <c r="C1994" s="2"/>
      <c r="D1994" s="2"/>
      <c r="E1994" s="3"/>
      <c r="F1994" s="2"/>
      <c r="G1994" s="2"/>
      <c r="H1994" s="2"/>
      <c r="I1994" s="13"/>
      <c r="J1994" s="2"/>
      <c r="K1994" s="2"/>
      <c r="L1994" s="2"/>
      <c r="M1994" s="2"/>
      <c r="N1994" s="2"/>
      <c r="O1994" s="2" t="s">
        <v>214</v>
      </c>
      <c r="P1994" s="2" t="s">
        <v>29</v>
      </c>
      <c r="Q1994" s="2"/>
    </row>
    <row r="1995" spans="1:17" ht="12.95" customHeight="1" x14ac:dyDescent="0.2">
      <c r="A1995" s="4" t="s">
        <v>30</v>
      </c>
      <c r="B1995" s="4" t="s">
        <v>31</v>
      </c>
      <c r="C1995" s="4"/>
      <c r="D1995" s="4"/>
      <c r="E1995" s="3"/>
      <c r="F1995" s="4"/>
      <c r="G1995" s="4"/>
      <c r="H1995" s="4"/>
      <c r="I1995" s="35"/>
      <c r="J1995" s="4"/>
      <c r="K1995" s="4"/>
      <c r="L1995" s="4"/>
      <c r="M1995" s="4"/>
      <c r="N1995" s="4"/>
      <c r="O1995" s="4" t="s">
        <v>214</v>
      </c>
      <c r="P1995" s="4"/>
      <c r="Q1995" s="4"/>
    </row>
    <row r="1996" spans="1:17" ht="12.95" customHeight="1" x14ac:dyDescent="0.2">
      <c r="A1996" s="4" t="s">
        <v>32</v>
      </c>
      <c r="B1996" s="4" t="s">
        <v>31</v>
      </c>
      <c r="C1996" s="4"/>
      <c r="D1996" s="4"/>
      <c r="E1996" s="3"/>
      <c r="F1996" s="4"/>
      <c r="G1996" s="4"/>
      <c r="H1996" s="4"/>
      <c r="I1996" s="35"/>
      <c r="J1996" s="4"/>
      <c r="K1996" s="4"/>
      <c r="L1996" s="4"/>
      <c r="M1996" s="4"/>
      <c r="N1996" s="4"/>
      <c r="O1996" s="4" t="s">
        <v>214</v>
      </c>
      <c r="P1996" s="4"/>
      <c r="Q1996" s="4"/>
    </row>
    <row r="1997" spans="1:17" x14ac:dyDescent="0.2">
      <c r="A1997" s="4" t="s">
        <v>33</v>
      </c>
      <c r="B1997" s="4" t="s">
        <v>34</v>
      </c>
      <c r="C1997" s="4" t="s">
        <v>34</v>
      </c>
      <c r="D1997" s="4" t="s">
        <v>34</v>
      </c>
      <c r="E1997" s="4"/>
      <c r="F1997" s="4"/>
      <c r="G1997" s="4"/>
      <c r="H1997" s="4"/>
      <c r="I1997" s="35"/>
      <c r="J1997" s="4"/>
      <c r="K1997" s="4"/>
      <c r="L1997" s="4"/>
      <c r="M1997" s="4"/>
      <c r="N1997" s="4"/>
      <c r="O1997" s="4"/>
      <c r="P1997" s="4"/>
      <c r="Q1997" s="4"/>
    </row>
    <row r="1998" spans="1:17" ht="12.95" customHeight="1" x14ac:dyDescent="0.2">
      <c r="A1998" s="2" t="s">
        <v>35</v>
      </c>
      <c r="B1998" s="2" t="s">
        <v>36</v>
      </c>
      <c r="C1998" s="2"/>
      <c r="D1998" s="2"/>
      <c r="E1998" s="3"/>
      <c r="F1998" s="2"/>
      <c r="G1998" s="2"/>
      <c r="H1998" s="2"/>
      <c r="I1998" s="13"/>
      <c r="J1998" s="2"/>
      <c r="K1998" s="2"/>
      <c r="L1998" s="2"/>
      <c r="M1998" s="2"/>
      <c r="N1998" s="2"/>
      <c r="O1998" s="2" t="s">
        <v>214</v>
      </c>
      <c r="P1998" s="2"/>
      <c r="Q1998" s="2"/>
    </row>
    <row r="1999" spans="1:17" ht="12.95" customHeight="1" x14ac:dyDescent="0.2">
      <c r="A1999" s="2" t="s">
        <v>38</v>
      </c>
      <c r="B1999" s="2" t="s">
        <v>36</v>
      </c>
      <c r="C1999" s="2"/>
      <c r="D1999" s="2"/>
      <c r="E1999" s="3"/>
      <c r="F1999" s="2"/>
      <c r="G1999" s="2"/>
      <c r="H1999" s="2"/>
      <c r="I1999" s="13"/>
      <c r="J1999" s="2"/>
      <c r="K1999" s="2"/>
      <c r="L1999" s="2"/>
      <c r="M1999" s="2"/>
      <c r="N1999" s="2"/>
      <c r="O1999" s="2" t="s">
        <v>214</v>
      </c>
      <c r="P1999" s="2"/>
      <c r="Q1999" s="2"/>
    </row>
    <row r="2000" spans="1:17" ht="12.95" customHeight="1" x14ac:dyDescent="0.2">
      <c r="A2000" s="2" t="s">
        <v>39</v>
      </c>
      <c r="B2000" s="2" t="s">
        <v>22</v>
      </c>
      <c r="C2000" s="2"/>
      <c r="D2000" s="2"/>
      <c r="E2000" s="3"/>
      <c r="F2000" s="2"/>
      <c r="G2000" s="2"/>
      <c r="H2000" s="2"/>
      <c r="I2000" s="13"/>
      <c r="J2000" s="2"/>
      <c r="K2000" s="2"/>
      <c r="L2000" s="2"/>
      <c r="M2000" s="2"/>
      <c r="N2000" s="2"/>
      <c r="O2000" s="2" t="s">
        <v>214</v>
      </c>
      <c r="P2000" s="2" t="s">
        <v>25</v>
      </c>
      <c r="Q2000" s="2"/>
    </row>
    <row r="2001" spans="1:17" ht="12.95" customHeight="1" x14ac:dyDescent="0.2">
      <c r="A2001" s="2" t="s">
        <v>40</v>
      </c>
      <c r="B2001" s="2" t="s">
        <v>27</v>
      </c>
      <c r="C2001" s="2"/>
      <c r="D2001" s="2"/>
      <c r="E2001" s="3"/>
      <c r="F2001" s="2"/>
      <c r="G2001" s="2"/>
      <c r="H2001" s="2"/>
      <c r="I2001" s="13"/>
      <c r="J2001" s="2"/>
      <c r="K2001" s="2"/>
      <c r="L2001" s="2"/>
      <c r="M2001" s="2"/>
      <c r="N2001" s="2"/>
      <c r="O2001" s="2" t="s">
        <v>214</v>
      </c>
      <c r="P2001" s="2" t="s">
        <v>25</v>
      </c>
      <c r="Q2001" s="2"/>
    </row>
    <row r="2002" spans="1:17" ht="12.95" customHeight="1" x14ac:dyDescent="0.2">
      <c r="A2002" s="2" t="s">
        <v>41</v>
      </c>
      <c r="B2002" s="2" t="s">
        <v>42</v>
      </c>
      <c r="C2002" s="2"/>
      <c r="D2002" s="2"/>
      <c r="E2002" s="3"/>
      <c r="F2002" s="2"/>
      <c r="G2002" s="2"/>
      <c r="H2002" s="2"/>
      <c r="I2002" s="13"/>
      <c r="J2002" s="2"/>
      <c r="K2002" s="2"/>
      <c r="L2002" s="2"/>
      <c r="M2002" s="2"/>
      <c r="N2002" s="2"/>
      <c r="O2002" s="2" t="s">
        <v>214</v>
      </c>
      <c r="P2002" s="2"/>
      <c r="Q2002" s="2"/>
    </row>
    <row r="2003" spans="1:17" ht="12.95" customHeight="1" x14ac:dyDescent="0.2">
      <c r="A2003" s="4" t="s">
        <v>51</v>
      </c>
      <c r="B2003" s="4" t="s">
        <v>31</v>
      </c>
      <c r="C2003" s="4"/>
      <c r="D2003" s="4"/>
      <c r="E2003" s="3"/>
      <c r="F2003" s="4"/>
      <c r="G2003" s="4"/>
      <c r="H2003" s="4"/>
      <c r="I2003" s="35"/>
      <c r="J2003" s="4"/>
      <c r="K2003" s="4"/>
      <c r="L2003" s="4"/>
      <c r="M2003" s="4"/>
      <c r="N2003" s="4"/>
      <c r="O2003" s="4" t="s">
        <v>214</v>
      </c>
      <c r="P2003" s="4"/>
      <c r="Q2003" s="4"/>
    </row>
    <row r="2004" spans="1:17" ht="12.95" customHeight="1" x14ac:dyDescent="0.2">
      <c r="A2004" s="4" t="s">
        <v>52</v>
      </c>
      <c r="B2004" s="4" t="s">
        <v>31</v>
      </c>
      <c r="C2004" s="4"/>
      <c r="D2004" s="4"/>
      <c r="E2004" s="3"/>
      <c r="F2004" s="4"/>
      <c r="G2004" s="4"/>
      <c r="H2004" s="4"/>
      <c r="I2004" s="35"/>
      <c r="J2004" s="4"/>
      <c r="K2004" s="4"/>
      <c r="L2004" s="4"/>
      <c r="M2004" s="4"/>
      <c r="N2004" s="4"/>
      <c r="O2004" s="4" t="s">
        <v>214</v>
      </c>
      <c r="P2004" s="4"/>
      <c r="Q2004" s="4"/>
    </row>
    <row r="2005" spans="1:17" x14ac:dyDescent="0.2">
      <c r="A2005" s="4" t="s">
        <v>33</v>
      </c>
      <c r="B2005" s="4" t="s">
        <v>34</v>
      </c>
      <c r="C2005" s="4" t="s">
        <v>34</v>
      </c>
      <c r="D2005" s="4" t="s">
        <v>34</v>
      </c>
      <c r="E2005" s="4"/>
      <c r="F2005" s="4"/>
      <c r="G2005" s="4"/>
      <c r="H2005" s="4"/>
      <c r="I2005" s="35"/>
      <c r="J2005" s="4"/>
      <c r="K2005" s="4"/>
      <c r="L2005" s="4"/>
      <c r="M2005" s="4"/>
      <c r="N2005" s="4"/>
      <c r="O2005" s="4"/>
      <c r="P2005" s="4"/>
      <c r="Q2005" s="4"/>
    </row>
    <row r="2006" spans="1:17" ht="12.95" customHeight="1" x14ac:dyDescent="0.2">
      <c r="A2006" s="2" t="s">
        <v>54</v>
      </c>
      <c r="B2006" s="2" t="s">
        <v>42</v>
      </c>
      <c r="C2006" s="2"/>
      <c r="D2006" s="2"/>
      <c r="E2006" s="3"/>
      <c r="F2006" s="2"/>
      <c r="G2006" s="2"/>
      <c r="H2006" s="2"/>
      <c r="I2006" s="13"/>
      <c r="J2006" s="2"/>
      <c r="K2006" s="2"/>
      <c r="L2006" s="2"/>
      <c r="M2006" s="2"/>
      <c r="N2006" s="2"/>
      <c r="O2006" s="2" t="s">
        <v>214</v>
      </c>
      <c r="P2006" s="2"/>
      <c r="Q2006" s="2"/>
    </row>
    <row r="2007" spans="1:17" ht="12.95" customHeight="1" x14ac:dyDescent="0.2">
      <c r="A2007" s="2" t="s">
        <v>61</v>
      </c>
      <c r="B2007" s="2" t="s">
        <v>42</v>
      </c>
      <c r="C2007" s="2"/>
      <c r="D2007" s="2"/>
      <c r="E2007" s="3"/>
      <c r="F2007" s="2"/>
      <c r="G2007" s="2"/>
      <c r="H2007" s="2"/>
      <c r="I2007" s="13"/>
      <c r="J2007" s="2"/>
      <c r="K2007" s="2"/>
      <c r="L2007" s="2"/>
      <c r="M2007" s="2"/>
      <c r="N2007" s="2"/>
      <c r="O2007" s="2" t="s">
        <v>214</v>
      </c>
      <c r="P2007" s="2"/>
      <c r="Q2007" s="2"/>
    </row>
    <row r="2008" spans="1:17" ht="12.95" customHeight="1" x14ac:dyDescent="0.2">
      <c r="A2008" s="2" t="s">
        <v>68</v>
      </c>
      <c r="B2008" s="2" t="s">
        <v>42</v>
      </c>
      <c r="C2008" s="2"/>
      <c r="D2008" s="2"/>
      <c r="E2008" s="3"/>
      <c r="F2008" s="2"/>
      <c r="G2008" s="2"/>
      <c r="H2008" s="2"/>
      <c r="I2008" s="13"/>
      <c r="J2008" s="2"/>
      <c r="K2008" s="2"/>
      <c r="L2008" s="2"/>
      <c r="M2008" s="2"/>
      <c r="N2008" s="2"/>
      <c r="O2008" s="2" t="s">
        <v>214</v>
      </c>
      <c r="P2008" s="2"/>
      <c r="Q2008" s="2"/>
    </row>
    <row r="2009" spans="1:17" ht="12.95" customHeight="1" x14ac:dyDescent="0.2">
      <c r="A2009" s="2" t="s">
        <v>75</v>
      </c>
      <c r="B2009" s="2" t="s">
        <v>42</v>
      </c>
      <c r="C2009" s="2"/>
      <c r="D2009" s="2"/>
      <c r="E2009" s="3"/>
      <c r="F2009" s="2"/>
      <c r="G2009" s="2"/>
      <c r="H2009" s="2"/>
      <c r="I2009" s="13"/>
      <c r="J2009" s="2"/>
      <c r="K2009" s="2"/>
      <c r="L2009" s="2"/>
      <c r="M2009" s="2"/>
      <c r="N2009" s="2"/>
      <c r="O2009" s="2" t="s">
        <v>214</v>
      </c>
      <c r="P2009" s="2"/>
      <c r="Q2009" s="2"/>
    </row>
    <row r="2010" spans="1:17" ht="12.95" customHeight="1" x14ac:dyDescent="0.2">
      <c r="A2010" s="2" t="s">
        <v>81</v>
      </c>
      <c r="B2010" s="2" t="s">
        <v>42</v>
      </c>
      <c r="C2010" s="2"/>
      <c r="D2010" s="2"/>
      <c r="E2010" s="3"/>
      <c r="F2010" s="2"/>
      <c r="G2010" s="2"/>
      <c r="H2010" s="2"/>
      <c r="I2010" s="13"/>
      <c r="J2010" s="2"/>
      <c r="K2010" s="2"/>
      <c r="L2010" s="2"/>
      <c r="M2010" s="2"/>
      <c r="N2010" s="2"/>
      <c r="O2010" s="2" t="s">
        <v>214</v>
      </c>
      <c r="P2010" s="2"/>
      <c r="Q2010" s="2"/>
    </row>
    <row r="2011" spans="1:17" ht="12.95" customHeight="1" x14ac:dyDescent="0.2">
      <c r="A2011" s="4" t="s">
        <v>87</v>
      </c>
      <c r="B2011" s="4" t="s">
        <v>31</v>
      </c>
      <c r="C2011" s="4"/>
      <c r="D2011" s="4"/>
      <c r="E2011" s="3"/>
      <c r="F2011" s="4"/>
      <c r="G2011" s="4"/>
      <c r="H2011" s="4"/>
      <c r="I2011" s="35"/>
      <c r="J2011" s="4"/>
      <c r="K2011" s="4"/>
      <c r="L2011" s="4"/>
      <c r="M2011" s="4"/>
      <c r="N2011" s="4"/>
      <c r="O2011" s="4" t="s">
        <v>214</v>
      </c>
      <c r="P2011" s="4"/>
      <c r="Q2011" s="4"/>
    </row>
    <row r="2012" spans="1:17" ht="12.95" customHeight="1" x14ac:dyDescent="0.2">
      <c r="A2012" s="4" t="s">
        <v>88</v>
      </c>
      <c r="B2012" s="4" t="s">
        <v>31</v>
      </c>
      <c r="C2012" s="4"/>
      <c r="D2012" s="4"/>
      <c r="E2012" s="3"/>
      <c r="F2012" s="4"/>
      <c r="G2012" s="4"/>
      <c r="H2012" s="4"/>
      <c r="I2012" s="35"/>
      <c r="J2012" s="4"/>
      <c r="K2012" s="4"/>
      <c r="L2012" s="4"/>
      <c r="M2012" s="4"/>
      <c r="N2012" s="4"/>
      <c r="O2012" s="4" t="s">
        <v>214</v>
      </c>
      <c r="P2012" s="4"/>
      <c r="Q2012" s="4"/>
    </row>
    <row r="2013" spans="1:17" x14ac:dyDescent="0.2">
      <c r="A2013" s="4" t="s">
        <v>33</v>
      </c>
      <c r="B2013" s="4" t="s">
        <v>34</v>
      </c>
      <c r="C2013" s="4" t="s">
        <v>34</v>
      </c>
      <c r="D2013" s="4" t="s">
        <v>34</v>
      </c>
      <c r="E2013" s="4"/>
      <c r="F2013" s="4"/>
      <c r="G2013" s="4"/>
      <c r="H2013" s="4"/>
      <c r="I2013" s="35"/>
      <c r="J2013" s="4"/>
      <c r="K2013" s="4"/>
      <c r="L2013" s="4"/>
      <c r="M2013" s="4"/>
      <c r="N2013" s="4"/>
      <c r="O2013" s="4"/>
      <c r="P2013" s="4"/>
      <c r="Q2013" s="4"/>
    </row>
    <row r="2014" spans="1:17" ht="12.95" customHeight="1" x14ac:dyDescent="0.2">
      <c r="A2014" s="153" t="s">
        <v>97</v>
      </c>
      <c r="B2014" s="153" t="s">
        <v>42</v>
      </c>
      <c r="C2014" s="153" t="s">
        <v>754</v>
      </c>
      <c r="D2014" s="153" t="s">
        <v>667</v>
      </c>
      <c r="E2014" s="152" t="s">
        <v>1404</v>
      </c>
      <c r="F2014" s="153" t="s">
        <v>46</v>
      </c>
      <c r="G2014" s="153" t="s">
        <v>1405</v>
      </c>
      <c r="H2014" s="153"/>
      <c r="I2014" s="153"/>
      <c r="J2014" s="153" t="s">
        <v>48</v>
      </c>
      <c r="K2014" s="153" t="s">
        <v>272</v>
      </c>
      <c r="L2014" s="153" t="s">
        <v>146</v>
      </c>
      <c r="M2014" s="153"/>
      <c r="N2014" s="153"/>
      <c r="O2014" s="153" t="s">
        <v>214</v>
      </c>
      <c r="P2014" s="2"/>
      <c r="Q2014" s="2"/>
    </row>
    <row r="2015" spans="1:17" ht="12.95" customHeight="1" x14ac:dyDescent="0.2">
      <c r="A2015" s="153" t="s">
        <v>104</v>
      </c>
      <c r="B2015" s="153" t="s">
        <v>42</v>
      </c>
      <c r="C2015" s="153" t="s">
        <v>1406</v>
      </c>
      <c r="D2015" s="153" t="s">
        <v>689</v>
      </c>
      <c r="E2015" s="152" t="s">
        <v>1407</v>
      </c>
      <c r="F2015" s="153" t="s">
        <v>46</v>
      </c>
      <c r="G2015" s="153" t="s">
        <v>801</v>
      </c>
      <c r="H2015" s="153"/>
      <c r="I2015" s="153"/>
      <c r="J2015" s="153" t="s">
        <v>48</v>
      </c>
      <c r="K2015" s="153" t="s">
        <v>641</v>
      </c>
      <c r="L2015" s="153"/>
      <c r="M2015" s="153"/>
      <c r="N2015" s="153"/>
      <c r="O2015" s="153" t="s">
        <v>214</v>
      </c>
      <c r="P2015" s="2" t="s">
        <v>111</v>
      </c>
      <c r="Q2015" s="2"/>
    </row>
    <row r="2016" spans="1:17" ht="12.95" customHeight="1" x14ac:dyDescent="0.2">
      <c r="A2016" s="2" t="s">
        <v>112</v>
      </c>
      <c r="B2016" s="2" t="s">
        <v>22</v>
      </c>
      <c r="C2016" s="2" t="s">
        <v>288</v>
      </c>
      <c r="D2016" s="2" t="s">
        <v>1408</v>
      </c>
      <c r="E2016" s="3" t="s">
        <v>820</v>
      </c>
      <c r="F2016" s="2" t="s">
        <v>46</v>
      </c>
      <c r="G2016" s="2" t="s">
        <v>714</v>
      </c>
      <c r="H2016" s="2" t="s">
        <v>113</v>
      </c>
      <c r="I2016" s="111" t="s">
        <v>1409</v>
      </c>
      <c r="J2016" s="2" t="s">
        <v>714</v>
      </c>
      <c r="K2016" s="2"/>
      <c r="L2016" s="2"/>
      <c r="M2016" s="2"/>
      <c r="N2016" s="2"/>
      <c r="O2016" s="2" t="s">
        <v>24</v>
      </c>
      <c r="P2016" s="2"/>
      <c r="Q2016" s="2"/>
    </row>
    <row r="2017" spans="1:17" ht="12.95" customHeight="1" x14ac:dyDescent="0.2">
      <c r="A2017" s="2" t="s">
        <v>114</v>
      </c>
      <c r="B2017" s="2" t="s">
        <v>27</v>
      </c>
      <c r="C2017" s="2"/>
      <c r="D2017" s="2"/>
      <c r="E2017" s="3"/>
      <c r="F2017" s="2"/>
      <c r="G2017" s="2"/>
      <c r="H2017" s="2"/>
      <c r="I2017" s="13"/>
      <c r="J2017" s="2"/>
      <c r="K2017" s="2"/>
      <c r="L2017" s="2"/>
      <c r="M2017" s="2"/>
      <c r="N2017" s="2"/>
      <c r="O2017" s="2" t="s">
        <v>28</v>
      </c>
      <c r="P2017" s="2" t="s">
        <v>111</v>
      </c>
      <c r="Q2017" s="2"/>
    </row>
    <row r="2018" spans="1:17" ht="12.95" customHeight="1" x14ac:dyDescent="0.2">
      <c r="A2018" s="2" t="s">
        <v>115</v>
      </c>
      <c r="B2018" s="2" t="s">
        <v>42</v>
      </c>
      <c r="C2018" s="2" t="s">
        <v>570</v>
      </c>
      <c r="D2018" s="2" t="s">
        <v>1156</v>
      </c>
      <c r="E2018" s="3" t="s">
        <v>1410</v>
      </c>
      <c r="F2018" s="2" t="s">
        <v>46</v>
      </c>
      <c r="G2018" s="2" t="s">
        <v>310</v>
      </c>
      <c r="H2018" s="2" t="s">
        <v>48</v>
      </c>
      <c r="I2018" s="13"/>
      <c r="J2018" s="2" t="s">
        <v>48</v>
      </c>
      <c r="K2018" s="2" t="s">
        <v>272</v>
      </c>
      <c r="L2018" s="2" t="s">
        <v>66</v>
      </c>
      <c r="M2018" s="2" t="s">
        <v>548</v>
      </c>
      <c r="N2018" s="2"/>
      <c r="O2018" s="2"/>
      <c r="P2018" s="2"/>
      <c r="Q2018" s="2"/>
    </row>
    <row r="2019" spans="1:17" ht="12.95" customHeight="1" x14ac:dyDescent="0.2">
      <c r="A2019" s="4" t="s">
        <v>122</v>
      </c>
      <c r="B2019" s="4" t="s">
        <v>31</v>
      </c>
      <c r="C2019" s="4"/>
      <c r="D2019" s="4"/>
      <c r="E2019" s="3"/>
      <c r="F2019" s="4"/>
      <c r="G2019" s="4"/>
      <c r="H2019" s="4"/>
      <c r="I2019" s="35"/>
      <c r="J2019" s="4"/>
      <c r="K2019" s="4"/>
      <c r="L2019" s="4"/>
      <c r="M2019" s="4"/>
      <c r="N2019" s="4"/>
      <c r="O2019" s="4"/>
      <c r="P2019" s="4"/>
      <c r="Q2019" s="4"/>
    </row>
    <row r="2020" spans="1:17" ht="12.95" customHeight="1" x14ac:dyDescent="0.2">
      <c r="A2020" s="4" t="s">
        <v>123</v>
      </c>
      <c r="B2020" s="4" t="s">
        <v>31</v>
      </c>
      <c r="C2020" s="4"/>
      <c r="D2020" s="4"/>
      <c r="E2020" s="3"/>
      <c r="F2020" s="4"/>
      <c r="G2020" s="4"/>
      <c r="H2020" s="4"/>
      <c r="I2020" s="35"/>
      <c r="J2020" s="4"/>
      <c r="K2020" s="4"/>
      <c r="L2020" s="4"/>
      <c r="M2020" s="4"/>
      <c r="N2020" s="4"/>
      <c r="O2020" s="4"/>
      <c r="P2020" s="4"/>
      <c r="Q2020" s="4"/>
    </row>
    <row r="2021" spans="1:17" x14ac:dyDescent="0.2">
      <c r="A2021" s="4" t="s">
        <v>33</v>
      </c>
      <c r="B2021" s="4" t="s">
        <v>34</v>
      </c>
      <c r="C2021" s="4" t="s">
        <v>34</v>
      </c>
      <c r="D2021" s="4" t="s">
        <v>34</v>
      </c>
      <c r="E2021" s="4" t="s">
        <v>1411</v>
      </c>
      <c r="F2021" s="4" t="s">
        <v>272</v>
      </c>
      <c r="G2021" s="4" t="s">
        <v>1412</v>
      </c>
      <c r="H2021" s="4" t="s">
        <v>1359</v>
      </c>
      <c r="I2021" s="35" t="s">
        <v>1409</v>
      </c>
      <c r="J2021" s="4" t="s">
        <v>1413</v>
      </c>
      <c r="K2021" s="4" t="s">
        <v>1414</v>
      </c>
      <c r="L2021" s="4" t="s">
        <v>340</v>
      </c>
      <c r="M2021" s="4" t="s">
        <v>548</v>
      </c>
      <c r="N2021" s="4"/>
      <c r="O2021" s="4"/>
      <c r="P2021" s="4"/>
      <c r="Q2021" s="4"/>
    </row>
    <row r="2022" spans="1:17" ht="12.95" customHeight="1" x14ac:dyDescent="0.2">
      <c r="A2022" s="2" t="s">
        <v>131</v>
      </c>
      <c r="B2022" s="2" t="s">
        <v>42</v>
      </c>
      <c r="C2022" s="2" t="s">
        <v>754</v>
      </c>
      <c r="D2022" s="2" t="s">
        <v>743</v>
      </c>
      <c r="E2022" s="3" t="s">
        <v>1002</v>
      </c>
      <c r="F2022" s="2" t="s">
        <v>46</v>
      </c>
      <c r="G2022" s="2" t="s">
        <v>1003</v>
      </c>
      <c r="H2022" s="2" t="s">
        <v>48</v>
      </c>
      <c r="I2022" s="13"/>
      <c r="J2022" s="2" t="s">
        <v>48</v>
      </c>
      <c r="K2022" s="2" t="s">
        <v>272</v>
      </c>
      <c r="L2022" s="2" t="s">
        <v>249</v>
      </c>
      <c r="M2022" s="2" t="s">
        <v>793</v>
      </c>
      <c r="N2022" s="2"/>
      <c r="O2022" s="2"/>
      <c r="P2022" s="2"/>
      <c r="Q2022" s="2"/>
    </row>
    <row r="2023" spans="1:17" ht="12.95" customHeight="1" x14ac:dyDescent="0.2">
      <c r="A2023" s="2" t="s">
        <v>138</v>
      </c>
      <c r="B2023" s="2" t="s">
        <v>42</v>
      </c>
      <c r="C2023" s="2" t="s">
        <v>885</v>
      </c>
      <c r="D2023" s="2" t="s">
        <v>187</v>
      </c>
      <c r="E2023" s="3" t="s">
        <v>1002</v>
      </c>
      <c r="F2023" s="2" t="s">
        <v>46</v>
      </c>
      <c r="G2023" s="2" t="s">
        <v>1003</v>
      </c>
      <c r="H2023" s="2" t="s">
        <v>48</v>
      </c>
      <c r="I2023" s="13"/>
      <c r="J2023" s="2" t="s">
        <v>48</v>
      </c>
      <c r="K2023" s="2" t="s">
        <v>272</v>
      </c>
      <c r="L2023" s="2" t="s">
        <v>249</v>
      </c>
      <c r="M2023" s="2" t="s">
        <v>793</v>
      </c>
      <c r="N2023" s="2"/>
      <c r="O2023" s="2"/>
      <c r="P2023" s="2"/>
      <c r="Q2023" s="2"/>
    </row>
    <row r="2024" spans="1:17" ht="12.95" customHeight="1" x14ac:dyDescent="0.2">
      <c r="A2024" s="2" t="s">
        <v>143</v>
      </c>
      <c r="B2024" s="2" t="s">
        <v>42</v>
      </c>
      <c r="C2024" s="2"/>
      <c r="D2024" s="2"/>
      <c r="E2024" s="3"/>
      <c r="F2024" s="2"/>
      <c r="G2024" s="2"/>
      <c r="H2024" s="2"/>
      <c r="I2024" s="13"/>
      <c r="J2024" s="2"/>
      <c r="K2024" s="2"/>
      <c r="L2024" s="2"/>
      <c r="M2024" s="2"/>
      <c r="N2024" s="2"/>
      <c r="O2024" s="2" t="s">
        <v>214</v>
      </c>
      <c r="P2024" s="2"/>
      <c r="Q2024" s="2"/>
    </row>
    <row r="2025" spans="1:17" ht="12.95" customHeight="1" x14ac:dyDescent="0.2">
      <c r="A2025" s="153" t="s">
        <v>148</v>
      </c>
      <c r="B2025" s="153" t="s">
        <v>42</v>
      </c>
      <c r="C2025" s="153" t="s">
        <v>1406</v>
      </c>
      <c r="D2025" s="153" t="s">
        <v>1291</v>
      </c>
      <c r="E2025" s="152" t="s">
        <v>270</v>
      </c>
      <c r="F2025" s="153" t="s">
        <v>46</v>
      </c>
      <c r="G2025" s="153" t="s">
        <v>271</v>
      </c>
      <c r="H2025" s="153"/>
      <c r="I2025" s="153"/>
      <c r="J2025" s="153" t="s">
        <v>48</v>
      </c>
      <c r="K2025" s="153" t="s">
        <v>272</v>
      </c>
      <c r="L2025" s="153" t="s">
        <v>273</v>
      </c>
      <c r="M2025" s="153"/>
      <c r="N2025" s="153"/>
      <c r="O2025" s="153" t="s">
        <v>214</v>
      </c>
      <c r="P2025" s="2"/>
      <c r="Q2025" s="2"/>
    </row>
    <row r="2026" spans="1:17" ht="12.95" customHeight="1" x14ac:dyDescent="0.2">
      <c r="A2026" s="153" t="s">
        <v>155</v>
      </c>
      <c r="B2026" s="153" t="s">
        <v>42</v>
      </c>
      <c r="C2026" s="153" t="s">
        <v>448</v>
      </c>
      <c r="D2026" s="153" t="s">
        <v>532</v>
      </c>
      <c r="E2026" s="152" t="s">
        <v>845</v>
      </c>
      <c r="F2026" s="153" t="s">
        <v>46</v>
      </c>
      <c r="G2026" s="153" t="s">
        <v>516</v>
      </c>
      <c r="H2026" s="153"/>
      <c r="I2026" s="153"/>
      <c r="J2026" s="153" t="s">
        <v>48</v>
      </c>
      <c r="K2026" s="153" t="s">
        <v>46</v>
      </c>
      <c r="L2026" s="153"/>
      <c r="M2026" s="153"/>
      <c r="N2026" s="153"/>
      <c r="O2026" s="153" t="s">
        <v>214</v>
      </c>
      <c r="P2026" s="2"/>
      <c r="Q2026" s="2"/>
    </row>
    <row r="2027" spans="1:17" ht="12.95" customHeight="1" x14ac:dyDescent="0.2">
      <c r="A2027" s="8" t="s">
        <v>161</v>
      </c>
      <c r="B2027" s="8"/>
      <c r="C2027" s="8"/>
      <c r="D2027" s="8"/>
      <c r="E2027" s="5" t="s">
        <v>1415</v>
      </c>
      <c r="F2027" s="5" t="s">
        <v>256</v>
      </c>
      <c r="G2027" s="5" t="s">
        <v>1416</v>
      </c>
      <c r="H2027" s="5" t="s">
        <v>1259</v>
      </c>
      <c r="I2027" s="36" t="s">
        <v>1409</v>
      </c>
      <c r="J2027" s="5" t="s">
        <v>1417</v>
      </c>
      <c r="K2027" s="5" t="s">
        <v>1418</v>
      </c>
      <c r="L2027" s="5" t="s">
        <v>594</v>
      </c>
      <c r="M2027" s="5" t="s">
        <v>825</v>
      </c>
      <c r="N2027" s="5" t="s">
        <v>296</v>
      </c>
      <c r="O2027" s="5"/>
      <c r="P2027" s="5"/>
      <c r="Q2027" s="5"/>
    </row>
    <row r="2028" spans="1:17" ht="12.95" customHeight="1" x14ac:dyDescent="0.2">
      <c r="A2028" s="8" t="s">
        <v>171</v>
      </c>
      <c r="B2028" s="8"/>
      <c r="C2028" s="8"/>
      <c r="D2028" s="8"/>
      <c r="E2028" s="5" t="s">
        <v>1415</v>
      </c>
      <c r="F2028" s="5" t="s">
        <v>256</v>
      </c>
      <c r="G2028" s="5" t="s">
        <v>1416</v>
      </c>
      <c r="H2028" s="5" t="s">
        <v>1259</v>
      </c>
      <c r="I2028" s="36" t="s">
        <v>296</v>
      </c>
      <c r="J2028" s="5" t="s">
        <v>1417</v>
      </c>
      <c r="K2028" s="5" t="s">
        <v>1418</v>
      </c>
      <c r="L2028" s="5" t="s">
        <v>594</v>
      </c>
      <c r="M2028" s="5" t="s">
        <v>825</v>
      </c>
      <c r="N2028" s="5" t="s">
        <v>296</v>
      </c>
      <c r="O2028" s="5"/>
      <c r="P2028" s="5"/>
      <c r="Q2028" s="5"/>
    </row>
    <row r="2029" spans="1:17" ht="12.95" customHeight="1" x14ac:dyDescent="0.2">
      <c r="A2029" s="8" t="s">
        <v>173</v>
      </c>
      <c r="B2029" s="8"/>
      <c r="C2029" s="8"/>
      <c r="D2029" s="8"/>
      <c r="E2029" s="5">
        <v>82.48</v>
      </c>
      <c r="F2029" s="5">
        <v>4</v>
      </c>
      <c r="G2029" s="5">
        <v>78.48</v>
      </c>
      <c r="H2029" s="5">
        <v>32.6</v>
      </c>
      <c r="I2029" s="36">
        <v>0</v>
      </c>
      <c r="J2029" s="5">
        <v>64.58</v>
      </c>
      <c r="K2029" s="5">
        <v>12.41</v>
      </c>
      <c r="L2029" s="5">
        <v>1.48</v>
      </c>
      <c r="M2029" s="5">
        <v>6.86</v>
      </c>
      <c r="N2029" s="5">
        <v>0</v>
      </c>
      <c r="O2029" s="5"/>
      <c r="P2029" s="5"/>
      <c r="Q2029" s="5"/>
    </row>
    <row r="2030" spans="1:17" x14ac:dyDescent="0.2">
      <c r="I2030" s="37"/>
    </row>
    <row r="2031" spans="1:17" ht="12.95" customHeight="1" x14ac:dyDescent="0.2">
      <c r="A2031" s="9" t="s">
        <v>174</v>
      </c>
      <c r="B2031" s="9"/>
      <c r="C2031" s="9"/>
      <c r="E2031" s="9" t="s">
        <v>180</v>
      </c>
      <c r="F2031" s="9"/>
      <c r="G2031" s="9"/>
      <c r="I2031" s="9" t="s">
        <v>181</v>
      </c>
      <c r="J2031" s="9"/>
      <c r="K2031" s="9"/>
    </row>
    <row r="2032" spans="1:17" ht="12.95" customHeight="1" x14ac:dyDescent="0.2">
      <c r="A2032" s="10" t="s">
        <v>175</v>
      </c>
      <c r="B2032" s="10"/>
      <c r="C2032" s="6">
        <v>8</v>
      </c>
      <c r="E2032" s="10" t="s">
        <v>14</v>
      </c>
      <c r="F2032" s="10"/>
      <c r="G2032" s="6">
        <v>64.58</v>
      </c>
      <c r="I2032" s="10" t="s">
        <v>265</v>
      </c>
      <c r="J2032" s="10"/>
      <c r="K2032" s="6">
        <v>23</v>
      </c>
    </row>
    <row r="2033" spans="1:17" ht="12.95" customHeight="1" x14ac:dyDescent="0.2">
      <c r="A2033" s="10" t="s">
        <v>1531</v>
      </c>
      <c r="B2033" s="10"/>
      <c r="C2033" s="6">
        <v>22</v>
      </c>
      <c r="E2033" s="10" t="s">
        <v>15</v>
      </c>
      <c r="F2033" s="10"/>
      <c r="G2033" s="6">
        <v>12.41</v>
      </c>
      <c r="I2033" s="10" t="s">
        <v>27</v>
      </c>
      <c r="J2033" s="10"/>
      <c r="K2033" s="26">
        <v>3</v>
      </c>
    </row>
    <row r="2034" spans="1:17" ht="12.95" customHeight="1" x14ac:dyDescent="0.2">
      <c r="A2034" s="10" t="s">
        <v>176</v>
      </c>
      <c r="B2034" s="10"/>
      <c r="C2034" s="6">
        <v>82.48</v>
      </c>
      <c r="E2034" s="10" t="s">
        <v>267</v>
      </c>
      <c r="F2034" s="10"/>
      <c r="G2034" s="6">
        <v>1.48</v>
      </c>
      <c r="I2034" s="39" t="s">
        <v>1591</v>
      </c>
      <c r="J2034" s="19"/>
      <c r="K2034" s="20">
        <v>0</v>
      </c>
    </row>
    <row r="2035" spans="1:17" ht="12.95" customHeight="1" x14ac:dyDescent="0.2">
      <c r="A2035" s="10" t="s">
        <v>177</v>
      </c>
      <c r="B2035" s="10"/>
      <c r="C2035" s="6">
        <v>32.6</v>
      </c>
      <c r="I2035" s="39" t="s">
        <v>1592</v>
      </c>
      <c r="J2035" s="19"/>
      <c r="K2035" s="20">
        <v>0</v>
      </c>
    </row>
    <row r="2036" spans="1:17" ht="12.95" customHeight="1" x14ac:dyDescent="0.25">
      <c r="A2036" s="10" t="s">
        <v>11</v>
      </c>
      <c r="B2036" s="10"/>
      <c r="C2036" s="6">
        <v>78.48</v>
      </c>
      <c r="I2036" s="41" t="s">
        <v>1593</v>
      </c>
      <c r="J2036" s="40"/>
      <c r="K2036" s="42">
        <f>K2034+K2035</f>
        <v>0</v>
      </c>
    </row>
    <row r="2037" spans="1:17" ht="12.95" customHeight="1" x14ac:dyDescent="0.2">
      <c r="A2037" s="10" t="s">
        <v>178</v>
      </c>
      <c r="B2037" s="10"/>
      <c r="C2037" s="6">
        <v>1.61</v>
      </c>
    </row>
    <row r="2038" spans="1:17" ht="12.95" customHeight="1" x14ac:dyDescent="0.2">
      <c r="A2038" s="10" t="s">
        <v>17</v>
      </c>
      <c r="B2038" s="10"/>
      <c r="C2038" s="113">
        <v>-1.62</v>
      </c>
    </row>
    <row r="2039" spans="1:17" ht="12.95" customHeight="1" x14ac:dyDescent="0.2">
      <c r="A2039" s="10" t="s">
        <v>179</v>
      </c>
      <c r="B2039" s="10"/>
      <c r="C2039" s="6">
        <v>0</v>
      </c>
    </row>
    <row r="2040" spans="1:17" x14ac:dyDescent="0.2">
      <c r="A2040" s="10" t="s">
        <v>10</v>
      </c>
      <c r="B2040" s="10"/>
      <c r="C2040" s="6">
        <v>4</v>
      </c>
    </row>
    <row r="2041" spans="1:17" ht="15" x14ac:dyDescent="0.25">
      <c r="A2041" s="154" t="s">
        <v>1615</v>
      </c>
      <c r="B2041" s="154"/>
      <c r="C2041" s="154" cm="1">
        <f t="array" ref="C2041">IFERROR(SUMPRODUCT(ISNUMBER(SEARCH("מילואים",O1993:O2030))*(C1993:C2030&lt;&gt;"")*(J1993:J2030+0))*24,0)</f>
        <v>33.599999999999994</v>
      </c>
    </row>
    <row r="2042" spans="1:17" ht="12.95" customHeight="1" x14ac:dyDescent="0.2">
      <c r="A2042" s="7" t="s">
        <v>1419</v>
      </c>
      <c r="B2042" s="7"/>
      <c r="C2042" s="7"/>
      <c r="D2042" s="7" t="s">
        <v>1</v>
      </c>
      <c r="E2042" s="7"/>
      <c r="F2042" s="7"/>
      <c r="G2042" s="7"/>
      <c r="H2042" s="7" t="s">
        <v>1237</v>
      </c>
      <c r="I2042" s="7"/>
      <c r="J2042" s="7"/>
      <c r="K2042" s="7"/>
      <c r="L2042" s="7"/>
      <c r="M2042" s="7"/>
      <c r="N2042" s="7"/>
      <c r="O2042" s="7"/>
      <c r="P2042" s="7"/>
      <c r="Q2042" s="7"/>
    </row>
    <row r="2043" spans="1:17" ht="12.95" customHeight="1" x14ac:dyDescent="0.2">
      <c r="A2043" s="7" t="s">
        <v>3</v>
      </c>
      <c r="B2043" s="7"/>
      <c r="C2043" s="7"/>
      <c r="D2043" s="7"/>
      <c r="E2043" s="7"/>
      <c r="F2043" s="7">
        <v>97</v>
      </c>
      <c r="G2043" s="7"/>
      <c r="H2043" s="7" t="s">
        <v>4</v>
      </c>
      <c r="I2043" s="7"/>
      <c r="J2043" s="7"/>
      <c r="K2043" s="7"/>
      <c r="L2043" s="7"/>
      <c r="M2043" s="7"/>
      <c r="N2043" s="7"/>
      <c r="O2043" s="7"/>
      <c r="P2043" s="7"/>
      <c r="Q2043" s="7"/>
    </row>
    <row r="2044" spans="1:17" ht="22.5" customHeight="1" x14ac:dyDescent="0.2">
      <c r="A2044" s="1" t="s">
        <v>5</v>
      </c>
      <c r="B2044" s="1" t="s">
        <v>6</v>
      </c>
      <c r="C2044" s="1" t="s">
        <v>7</v>
      </c>
      <c r="D2044" s="1" t="s">
        <v>8</v>
      </c>
      <c r="E2044" s="1" t="s">
        <v>9</v>
      </c>
      <c r="F2044" s="1" t="s">
        <v>10</v>
      </c>
      <c r="G2044" s="1" t="s">
        <v>11</v>
      </c>
      <c r="H2044" s="1" t="s">
        <v>12</v>
      </c>
      <c r="I2044" s="1" t="s">
        <v>13</v>
      </c>
      <c r="J2044" s="1" t="s">
        <v>14</v>
      </c>
      <c r="K2044" s="1" t="s">
        <v>15</v>
      </c>
      <c r="L2044" s="1" t="s">
        <v>267</v>
      </c>
      <c r="M2044" s="1" t="s">
        <v>16</v>
      </c>
      <c r="N2044" s="1" t="s">
        <v>17</v>
      </c>
      <c r="O2044" s="1" t="s">
        <v>18</v>
      </c>
      <c r="P2044" s="1" t="s">
        <v>19</v>
      </c>
      <c r="Q2044" s="1" t="s">
        <v>20</v>
      </c>
    </row>
    <row r="2045" spans="1:17" ht="12.95" customHeight="1" x14ac:dyDescent="0.2">
      <c r="A2045" s="2" t="s">
        <v>21</v>
      </c>
      <c r="B2045" s="2" t="s">
        <v>22</v>
      </c>
      <c r="C2045" s="2" t="s">
        <v>1420</v>
      </c>
      <c r="D2045" s="2" t="s">
        <v>1421</v>
      </c>
      <c r="E2045" s="3" t="s">
        <v>1089</v>
      </c>
      <c r="F2045" s="2" t="s">
        <v>46</v>
      </c>
      <c r="G2045" s="2" t="s">
        <v>1422</v>
      </c>
      <c r="H2045" s="2" t="s">
        <v>23</v>
      </c>
      <c r="I2045" s="13"/>
      <c r="J2045" s="2" t="s">
        <v>1422</v>
      </c>
      <c r="K2045" s="2"/>
      <c r="L2045" s="2"/>
      <c r="M2045" s="2" t="s">
        <v>1423</v>
      </c>
      <c r="N2045" s="2"/>
      <c r="O2045" s="2" t="s">
        <v>24</v>
      </c>
      <c r="P2045" s="2" t="s">
        <v>25</v>
      </c>
      <c r="Q2045" s="2"/>
    </row>
    <row r="2046" spans="1:17" ht="12.95" customHeight="1" x14ac:dyDescent="0.2">
      <c r="A2046" s="2" t="s">
        <v>26</v>
      </c>
      <c r="B2046" s="2" t="s">
        <v>27</v>
      </c>
      <c r="C2046" s="2"/>
      <c r="D2046" s="2"/>
      <c r="E2046" s="3"/>
      <c r="F2046" s="2"/>
      <c r="G2046" s="2"/>
      <c r="H2046" s="2"/>
      <c r="I2046" s="13"/>
      <c r="J2046" s="2"/>
      <c r="K2046" s="2"/>
      <c r="L2046" s="2"/>
      <c r="M2046" s="2"/>
      <c r="N2046" s="2"/>
      <c r="O2046" s="2" t="s">
        <v>214</v>
      </c>
      <c r="P2046" s="2" t="s">
        <v>29</v>
      </c>
      <c r="Q2046" s="2"/>
    </row>
    <row r="2047" spans="1:17" ht="12.95" customHeight="1" x14ac:dyDescent="0.2">
      <c r="A2047" s="4" t="s">
        <v>30</v>
      </c>
      <c r="B2047" s="4" t="s">
        <v>31</v>
      </c>
      <c r="C2047" s="4"/>
      <c r="D2047" s="4"/>
      <c r="E2047" s="3"/>
      <c r="F2047" s="4"/>
      <c r="G2047" s="4"/>
      <c r="H2047" s="4"/>
      <c r="I2047" s="35"/>
      <c r="J2047" s="4"/>
      <c r="K2047" s="4"/>
      <c r="L2047" s="4"/>
      <c r="M2047" s="4"/>
      <c r="N2047" s="4"/>
      <c r="O2047" s="4" t="s">
        <v>214</v>
      </c>
      <c r="P2047" s="4"/>
      <c r="Q2047" s="4"/>
    </row>
    <row r="2048" spans="1:17" ht="12.95" customHeight="1" x14ac:dyDescent="0.2">
      <c r="A2048" s="4" t="s">
        <v>32</v>
      </c>
      <c r="B2048" s="4" t="s">
        <v>31</v>
      </c>
      <c r="C2048" s="4"/>
      <c r="D2048" s="4"/>
      <c r="E2048" s="3"/>
      <c r="F2048" s="4"/>
      <c r="G2048" s="4"/>
      <c r="H2048" s="4"/>
      <c r="I2048" s="35"/>
      <c r="J2048" s="4"/>
      <c r="K2048" s="4"/>
      <c r="L2048" s="4"/>
      <c r="M2048" s="4"/>
      <c r="N2048" s="4"/>
      <c r="O2048" s="4" t="s">
        <v>214</v>
      </c>
      <c r="P2048" s="4"/>
      <c r="Q2048" s="4"/>
    </row>
    <row r="2049" spans="1:17" x14ac:dyDescent="0.2">
      <c r="A2049" s="4" t="s">
        <v>33</v>
      </c>
      <c r="B2049" s="4" t="s">
        <v>34</v>
      </c>
      <c r="C2049" s="4" t="s">
        <v>34</v>
      </c>
      <c r="D2049" s="4" t="s">
        <v>34</v>
      </c>
      <c r="E2049" s="4" t="s">
        <v>1089</v>
      </c>
      <c r="F2049" s="4" t="s">
        <v>46</v>
      </c>
      <c r="G2049" s="4" t="s">
        <v>1422</v>
      </c>
      <c r="H2049" s="4" t="s">
        <v>23</v>
      </c>
      <c r="I2049" s="35"/>
      <c r="J2049" s="4" t="s">
        <v>1422</v>
      </c>
      <c r="K2049" s="4"/>
      <c r="L2049" s="4"/>
      <c r="M2049" s="4" t="s">
        <v>1423</v>
      </c>
      <c r="N2049" s="4"/>
      <c r="O2049" s="4"/>
      <c r="P2049" s="4"/>
      <c r="Q2049" s="4"/>
    </row>
    <row r="2050" spans="1:17" ht="12.95" customHeight="1" x14ac:dyDescent="0.2">
      <c r="A2050" s="2" t="s">
        <v>35</v>
      </c>
      <c r="B2050" s="2" t="s">
        <v>36</v>
      </c>
      <c r="C2050" s="2"/>
      <c r="D2050" s="2"/>
      <c r="E2050" s="3"/>
      <c r="F2050" s="2"/>
      <c r="G2050" s="2"/>
      <c r="H2050" s="2"/>
      <c r="I2050" s="13"/>
      <c r="J2050" s="2"/>
      <c r="K2050" s="2"/>
      <c r="L2050" s="2"/>
      <c r="M2050" s="2"/>
      <c r="N2050" s="2"/>
      <c r="O2050" s="2" t="s">
        <v>214</v>
      </c>
      <c r="P2050" s="2"/>
      <c r="Q2050" s="2"/>
    </row>
    <row r="2051" spans="1:17" ht="12.95" customHeight="1" x14ac:dyDescent="0.2">
      <c r="A2051" s="2" t="s">
        <v>38</v>
      </c>
      <c r="B2051" s="2" t="s">
        <v>36</v>
      </c>
      <c r="C2051" s="2"/>
      <c r="D2051" s="2"/>
      <c r="E2051" s="3"/>
      <c r="F2051" s="2"/>
      <c r="G2051" s="2"/>
      <c r="H2051" s="2"/>
      <c r="I2051" s="13"/>
      <c r="J2051" s="2"/>
      <c r="K2051" s="2"/>
      <c r="L2051" s="2"/>
      <c r="M2051" s="2"/>
      <c r="N2051" s="2"/>
      <c r="O2051" s="2" t="s">
        <v>194</v>
      </c>
      <c r="P2051" s="2"/>
      <c r="Q2051" s="2"/>
    </row>
    <row r="2052" spans="1:17" ht="12.95" customHeight="1" x14ac:dyDescent="0.2">
      <c r="A2052" s="2" t="s">
        <v>39</v>
      </c>
      <c r="B2052" s="2" t="s">
        <v>22</v>
      </c>
      <c r="C2052" s="2" t="s">
        <v>274</v>
      </c>
      <c r="D2052" s="2" t="s">
        <v>1384</v>
      </c>
      <c r="E2052" s="3" t="s">
        <v>503</v>
      </c>
      <c r="F2052" s="2" t="s">
        <v>46</v>
      </c>
      <c r="G2052" s="2" t="s">
        <v>570</v>
      </c>
      <c r="H2052" s="2" t="s">
        <v>23</v>
      </c>
      <c r="I2052" s="13"/>
      <c r="J2052" s="2" t="s">
        <v>570</v>
      </c>
      <c r="K2052" s="2"/>
      <c r="L2052" s="2"/>
      <c r="M2052" s="2" t="s">
        <v>1320</v>
      </c>
      <c r="N2052" s="2"/>
      <c r="O2052" s="2" t="s">
        <v>24</v>
      </c>
      <c r="P2052" s="2" t="s">
        <v>25</v>
      </c>
      <c r="Q2052" s="2"/>
    </row>
    <row r="2053" spans="1:17" ht="12.95" customHeight="1" x14ac:dyDescent="0.2">
      <c r="A2053" s="2" t="s">
        <v>40</v>
      </c>
      <c r="B2053" s="2" t="s">
        <v>27</v>
      </c>
      <c r="C2053" s="2"/>
      <c r="D2053" s="2"/>
      <c r="E2053" s="3"/>
      <c r="F2053" s="2"/>
      <c r="G2053" s="2"/>
      <c r="H2053" s="2"/>
      <c r="I2053" s="13"/>
      <c r="J2053" s="2"/>
      <c r="K2053" s="2"/>
      <c r="L2053" s="2"/>
      <c r="M2053" s="2"/>
      <c r="N2053" s="2"/>
      <c r="O2053" s="2" t="s">
        <v>214</v>
      </c>
      <c r="P2053" s="2" t="s">
        <v>25</v>
      </c>
      <c r="Q2053" s="2"/>
    </row>
    <row r="2054" spans="1:17" ht="12.95" customHeight="1" x14ac:dyDescent="0.2">
      <c r="A2054" s="2" t="s">
        <v>41</v>
      </c>
      <c r="B2054" s="2" t="s">
        <v>42</v>
      </c>
      <c r="C2054" s="2"/>
      <c r="D2054" s="2"/>
      <c r="E2054" s="3"/>
      <c r="F2054" s="2"/>
      <c r="G2054" s="2"/>
      <c r="H2054" s="2"/>
      <c r="I2054" s="13"/>
      <c r="J2054" s="2"/>
      <c r="K2054" s="2"/>
      <c r="L2054" s="2"/>
      <c r="M2054" s="2"/>
      <c r="N2054" s="2"/>
      <c r="O2054" s="2" t="s">
        <v>214</v>
      </c>
      <c r="P2054" s="2"/>
      <c r="Q2054" s="2"/>
    </row>
    <row r="2055" spans="1:17" ht="12.95" customHeight="1" x14ac:dyDescent="0.2">
      <c r="A2055" s="4" t="s">
        <v>51</v>
      </c>
      <c r="B2055" s="4" t="s">
        <v>31</v>
      </c>
      <c r="C2055" s="4"/>
      <c r="D2055" s="4"/>
      <c r="E2055" s="3"/>
      <c r="F2055" s="4"/>
      <c r="G2055" s="4"/>
      <c r="H2055" s="4"/>
      <c r="I2055" s="35"/>
      <c r="J2055" s="4"/>
      <c r="K2055" s="4"/>
      <c r="L2055" s="4"/>
      <c r="M2055" s="4"/>
      <c r="N2055" s="4"/>
      <c r="O2055" s="4"/>
      <c r="P2055" s="4"/>
      <c r="Q2055" s="4"/>
    </row>
    <row r="2056" spans="1:17" ht="12.95" customHeight="1" x14ac:dyDescent="0.2">
      <c r="A2056" s="4" t="s">
        <v>52</v>
      </c>
      <c r="B2056" s="4" t="s">
        <v>31</v>
      </c>
      <c r="C2056" s="4"/>
      <c r="D2056" s="4"/>
      <c r="E2056" s="3"/>
      <c r="F2056" s="4"/>
      <c r="G2056" s="4"/>
      <c r="H2056" s="4"/>
      <c r="I2056" s="35"/>
      <c r="J2056" s="4"/>
      <c r="K2056" s="4"/>
      <c r="L2056" s="4"/>
      <c r="M2056" s="4"/>
      <c r="N2056" s="4"/>
      <c r="O2056" s="4"/>
      <c r="P2056" s="4"/>
      <c r="Q2056" s="4"/>
    </row>
    <row r="2057" spans="1:17" x14ac:dyDescent="0.2">
      <c r="A2057" s="4" t="s">
        <v>33</v>
      </c>
      <c r="B2057" s="4" t="s">
        <v>34</v>
      </c>
      <c r="C2057" s="4" t="s">
        <v>34</v>
      </c>
      <c r="D2057" s="4" t="s">
        <v>34</v>
      </c>
      <c r="E2057" s="4" t="s">
        <v>503</v>
      </c>
      <c r="F2057" s="4" t="s">
        <v>46</v>
      </c>
      <c r="G2057" s="4" t="s">
        <v>570</v>
      </c>
      <c r="H2057" s="4" t="s">
        <v>23</v>
      </c>
      <c r="I2057" s="35"/>
      <c r="J2057" s="4" t="s">
        <v>570</v>
      </c>
      <c r="K2057" s="4"/>
      <c r="L2057" s="4"/>
      <c r="M2057" s="4" t="s">
        <v>1320</v>
      </c>
      <c r="N2057" s="4"/>
      <c r="O2057" s="4"/>
      <c r="P2057" s="4"/>
      <c r="Q2057" s="4"/>
    </row>
    <row r="2058" spans="1:17" ht="12.95" customHeight="1" x14ac:dyDescent="0.2">
      <c r="A2058" s="2" t="s">
        <v>54</v>
      </c>
      <c r="B2058" s="2" t="s">
        <v>42</v>
      </c>
      <c r="C2058" s="2" t="s">
        <v>1424</v>
      </c>
      <c r="D2058" s="2" t="s">
        <v>1078</v>
      </c>
      <c r="E2058" s="3" t="s">
        <v>157</v>
      </c>
      <c r="F2058" s="2" t="s">
        <v>46</v>
      </c>
      <c r="G2058" s="2" t="s">
        <v>158</v>
      </c>
      <c r="H2058" s="2" t="s">
        <v>48</v>
      </c>
      <c r="I2058" s="13"/>
      <c r="J2058" s="2" t="s">
        <v>48</v>
      </c>
      <c r="K2058" s="2" t="s">
        <v>159</v>
      </c>
      <c r="L2058" s="2"/>
      <c r="M2058" s="2" t="s">
        <v>159</v>
      </c>
      <c r="N2058" s="2"/>
      <c r="O2058" s="2"/>
      <c r="P2058" s="2"/>
      <c r="Q2058" s="2"/>
    </row>
    <row r="2059" spans="1:17" ht="12.95" customHeight="1" x14ac:dyDescent="0.2">
      <c r="A2059" s="2" t="s">
        <v>61</v>
      </c>
      <c r="B2059" s="2" t="s">
        <v>42</v>
      </c>
      <c r="C2059" s="2" t="s">
        <v>1425</v>
      </c>
      <c r="D2059" s="2" t="s">
        <v>1078</v>
      </c>
      <c r="E2059" s="3" t="s">
        <v>404</v>
      </c>
      <c r="F2059" s="2" t="s">
        <v>46</v>
      </c>
      <c r="G2059" s="2" t="s">
        <v>827</v>
      </c>
      <c r="H2059" s="2" t="s">
        <v>48</v>
      </c>
      <c r="I2059" s="13"/>
      <c r="J2059" s="2" t="s">
        <v>48</v>
      </c>
      <c r="K2059" s="2" t="s">
        <v>490</v>
      </c>
      <c r="L2059" s="2"/>
      <c r="M2059" s="2" t="s">
        <v>490</v>
      </c>
      <c r="N2059" s="2" t="s">
        <v>512</v>
      </c>
      <c r="O2059" s="2"/>
      <c r="P2059" s="2"/>
      <c r="Q2059" s="2"/>
    </row>
    <row r="2060" spans="1:17" ht="12.95" customHeight="1" x14ac:dyDescent="0.2">
      <c r="A2060" s="2" t="s">
        <v>68</v>
      </c>
      <c r="B2060" s="2" t="s">
        <v>42</v>
      </c>
      <c r="C2060" s="2" t="s">
        <v>1420</v>
      </c>
      <c r="D2060" s="2" t="s">
        <v>1078</v>
      </c>
      <c r="E2060" s="3" t="s">
        <v>145</v>
      </c>
      <c r="F2060" s="2" t="s">
        <v>46</v>
      </c>
      <c r="G2060" s="2" t="s">
        <v>134</v>
      </c>
      <c r="H2060" s="2" t="s">
        <v>48</v>
      </c>
      <c r="I2060" s="13"/>
      <c r="J2060" s="2" t="s">
        <v>48</v>
      </c>
      <c r="K2060" s="2" t="s">
        <v>146</v>
      </c>
      <c r="L2060" s="2"/>
      <c r="M2060" s="2" t="s">
        <v>146</v>
      </c>
      <c r="N2060" s="2"/>
      <c r="O2060" s="2"/>
      <c r="P2060" s="2"/>
      <c r="Q2060" s="2"/>
    </row>
    <row r="2061" spans="1:17" ht="12.95" customHeight="1" x14ac:dyDescent="0.2">
      <c r="A2061" s="2" t="s">
        <v>75</v>
      </c>
      <c r="B2061" s="2" t="s">
        <v>42</v>
      </c>
      <c r="C2061" s="2" t="s">
        <v>1420</v>
      </c>
      <c r="D2061" s="2" t="s">
        <v>1426</v>
      </c>
      <c r="E2061" s="3" t="s">
        <v>157</v>
      </c>
      <c r="F2061" s="2" t="s">
        <v>46</v>
      </c>
      <c r="G2061" s="2" t="s">
        <v>158</v>
      </c>
      <c r="H2061" s="2" t="s">
        <v>48</v>
      </c>
      <c r="I2061" s="13"/>
      <c r="J2061" s="2" t="s">
        <v>48</v>
      </c>
      <c r="K2061" s="2" t="s">
        <v>159</v>
      </c>
      <c r="L2061" s="2"/>
      <c r="M2061" s="2" t="s">
        <v>159</v>
      </c>
      <c r="N2061" s="2"/>
      <c r="O2061" s="2"/>
      <c r="P2061" s="2"/>
      <c r="Q2061" s="2"/>
    </row>
    <row r="2062" spans="1:17" ht="12.95" customHeight="1" x14ac:dyDescent="0.2">
      <c r="A2062" s="2" t="s">
        <v>81</v>
      </c>
      <c r="B2062" s="2" t="s">
        <v>42</v>
      </c>
      <c r="C2062" s="2" t="s">
        <v>1425</v>
      </c>
      <c r="D2062" s="2" t="s">
        <v>1427</v>
      </c>
      <c r="E2062" s="3" t="s">
        <v>359</v>
      </c>
      <c r="F2062" s="2" t="s">
        <v>46</v>
      </c>
      <c r="G2062" s="2" t="s">
        <v>878</v>
      </c>
      <c r="H2062" s="2" t="s">
        <v>48</v>
      </c>
      <c r="I2062" s="13"/>
      <c r="J2062" s="2" t="s">
        <v>48</v>
      </c>
      <c r="K2062" s="2" t="s">
        <v>249</v>
      </c>
      <c r="L2062" s="2"/>
      <c r="M2062" s="2" t="s">
        <v>249</v>
      </c>
      <c r="N2062" s="2" t="s">
        <v>512</v>
      </c>
      <c r="O2062" s="2"/>
      <c r="P2062" s="2"/>
      <c r="Q2062" s="2"/>
    </row>
    <row r="2063" spans="1:17" ht="12.95" customHeight="1" x14ac:dyDescent="0.2">
      <c r="A2063" s="4" t="s">
        <v>87</v>
      </c>
      <c r="B2063" s="4" t="s">
        <v>31</v>
      </c>
      <c r="C2063" s="4"/>
      <c r="D2063" s="4"/>
      <c r="E2063" s="3"/>
      <c r="F2063" s="4"/>
      <c r="G2063" s="4"/>
      <c r="H2063" s="4"/>
      <c r="I2063" s="35"/>
      <c r="J2063" s="4"/>
      <c r="K2063" s="4"/>
      <c r="L2063" s="4"/>
      <c r="M2063" s="4"/>
      <c r="N2063" s="4"/>
      <c r="O2063" s="4"/>
      <c r="P2063" s="4"/>
      <c r="Q2063" s="4"/>
    </row>
    <row r="2064" spans="1:17" ht="12.95" customHeight="1" x14ac:dyDescent="0.2">
      <c r="A2064" s="4" t="s">
        <v>88</v>
      </c>
      <c r="B2064" s="4" t="s">
        <v>31</v>
      </c>
      <c r="C2064" s="4"/>
      <c r="D2064" s="4"/>
      <c r="E2064" s="3"/>
      <c r="F2064" s="4"/>
      <c r="G2064" s="4"/>
      <c r="H2064" s="4"/>
      <c r="I2064" s="35"/>
      <c r="J2064" s="4"/>
      <c r="K2064" s="4"/>
      <c r="L2064" s="4"/>
      <c r="M2064" s="4"/>
      <c r="N2064" s="4"/>
      <c r="O2064" s="4"/>
      <c r="P2064" s="4"/>
      <c r="Q2064" s="4"/>
    </row>
    <row r="2065" spans="1:17" x14ac:dyDescent="0.2">
      <c r="A2065" s="4" t="s">
        <v>33</v>
      </c>
      <c r="B2065" s="4" t="s">
        <v>34</v>
      </c>
      <c r="C2065" s="4" t="s">
        <v>34</v>
      </c>
      <c r="D2065" s="4" t="s">
        <v>34</v>
      </c>
      <c r="E2065" s="4" t="s">
        <v>1428</v>
      </c>
      <c r="F2065" s="4" t="s">
        <v>90</v>
      </c>
      <c r="G2065" s="4" t="s">
        <v>1429</v>
      </c>
      <c r="H2065" s="4" t="s">
        <v>92</v>
      </c>
      <c r="I2065" s="35"/>
      <c r="J2065" s="4" t="s">
        <v>92</v>
      </c>
      <c r="K2065" s="4" t="s">
        <v>272</v>
      </c>
      <c r="L2065" s="4"/>
      <c r="M2065" s="4" t="s">
        <v>272</v>
      </c>
      <c r="N2065" s="4" t="s">
        <v>66</v>
      </c>
      <c r="O2065" s="4"/>
      <c r="P2065" s="4"/>
      <c r="Q2065" s="4"/>
    </row>
    <row r="2066" spans="1:17" ht="12.95" customHeight="1" x14ac:dyDescent="0.2">
      <c r="A2066" s="2" t="s">
        <v>97</v>
      </c>
      <c r="B2066" s="2" t="s">
        <v>42</v>
      </c>
      <c r="C2066" s="2" t="s">
        <v>1425</v>
      </c>
      <c r="D2066" s="2" t="s">
        <v>1078</v>
      </c>
      <c r="E2066" s="3" t="s">
        <v>404</v>
      </c>
      <c r="F2066" s="2" t="s">
        <v>46</v>
      </c>
      <c r="G2066" s="2" t="s">
        <v>827</v>
      </c>
      <c r="H2066" s="2" t="s">
        <v>48</v>
      </c>
      <c r="I2066" s="13"/>
      <c r="J2066" s="2" t="s">
        <v>48</v>
      </c>
      <c r="K2066" s="2" t="s">
        <v>490</v>
      </c>
      <c r="L2066" s="2"/>
      <c r="M2066" s="2" t="s">
        <v>490</v>
      </c>
      <c r="N2066" s="2" t="s">
        <v>512</v>
      </c>
      <c r="O2066" s="2"/>
      <c r="P2066" s="2"/>
      <c r="Q2066" s="2"/>
    </row>
    <row r="2067" spans="1:17" ht="12.95" customHeight="1" x14ac:dyDescent="0.2">
      <c r="A2067" s="2" t="s">
        <v>104</v>
      </c>
      <c r="B2067" s="2" t="s">
        <v>42</v>
      </c>
      <c r="C2067" s="2" t="s">
        <v>1420</v>
      </c>
      <c r="D2067" s="2" t="s">
        <v>1078</v>
      </c>
      <c r="E2067" s="3" t="s">
        <v>145</v>
      </c>
      <c r="F2067" s="2" t="s">
        <v>46</v>
      </c>
      <c r="G2067" s="2" t="s">
        <v>134</v>
      </c>
      <c r="H2067" s="2" t="s">
        <v>108</v>
      </c>
      <c r="I2067" s="13"/>
      <c r="J2067" s="2" t="s">
        <v>48</v>
      </c>
      <c r="K2067" s="2" t="s">
        <v>146</v>
      </c>
      <c r="L2067" s="2"/>
      <c r="M2067" s="2" t="s">
        <v>592</v>
      </c>
      <c r="N2067" s="2"/>
      <c r="O2067" s="2"/>
      <c r="P2067" s="2" t="s">
        <v>111</v>
      </c>
      <c r="Q2067" s="2"/>
    </row>
    <row r="2068" spans="1:17" ht="12.95" customHeight="1" x14ac:dyDescent="0.2">
      <c r="A2068" s="2" t="s">
        <v>112</v>
      </c>
      <c r="B2068" s="2" t="s">
        <v>22</v>
      </c>
      <c r="C2068" s="2" t="s">
        <v>723</v>
      </c>
      <c r="D2068" s="2" t="s">
        <v>1426</v>
      </c>
      <c r="E2068" s="3" t="s">
        <v>404</v>
      </c>
      <c r="F2068" s="2" t="s">
        <v>46</v>
      </c>
      <c r="G2068" s="2" t="s">
        <v>827</v>
      </c>
      <c r="H2068" s="2" t="s">
        <v>113</v>
      </c>
      <c r="I2068" s="13"/>
      <c r="J2068" s="2" t="s">
        <v>113</v>
      </c>
      <c r="K2068" s="2" t="s">
        <v>679</v>
      </c>
      <c r="L2068" s="2"/>
      <c r="M2068" s="2" t="s">
        <v>679</v>
      </c>
      <c r="N2068" s="2"/>
      <c r="O2068" s="2" t="s">
        <v>24</v>
      </c>
      <c r="P2068" s="2"/>
      <c r="Q2068" s="2"/>
    </row>
    <row r="2069" spans="1:17" ht="12.95" customHeight="1" x14ac:dyDescent="0.2">
      <c r="A2069" s="2" t="s">
        <v>114</v>
      </c>
      <c r="B2069" s="2" t="s">
        <v>27</v>
      </c>
      <c r="C2069" s="2"/>
      <c r="D2069" s="2"/>
      <c r="E2069" s="3"/>
      <c r="F2069" s="2"/>
      <c r="G2069" s="2"/>
      <c r="H2069" s="2"/>
      <c r="I2069" s="13"/>
      <c r="J2069" s="2"/>
      <c r="K2069" s="2"/>
      <c r="L2069" s="2"/>
      <c r="M2069" s="2"/>
      <c r="N2069" s="2"/>
      <c r="O2069" s="2" t="s">
        <v>28</v>
      </c>
      <c r="P2069" s="2" t="s">
        <v>111</v>
      </c>
      <c r="Q2069" s="2"/>
    </row>
    <row r="2070" spans="1:17" ht="12.95" customHeight="1" x14ac:dyDescent="0.2">
      <c r="A2070" s="2" t="s">
        <v>115</v>
      </c>
      <c r="B2070" s="2" t="s">
        <v>42</v>
      </c>
      <c r="C2070" s="2" t="s">
        <v>1420</v>
      </c>
      <c r="D2070" s="2" t="s">
        <v>1426</v>
      </c>
      <c r="E2070" s="3" t="s">
        <v>157</v>
      </c>
      <c r="F2070" s="2" t="s">
        <v>46</v>
      </c>
      <c r="G2070" s="2" t="s">
        <v>158</v>
      </c>
      <c r="H2070" s="2" t="s">
        <v>48</v>
      </c>
      <c r="I2070" s="13"/>
      <c r="J2070" s="2" t="s">
        <v>48</v>
      </c>
      <c r="K2070" s="2" t="s">
        <v>159</v>
      </c>
      <c r="L2070" s="2"/>
      <c r="M2070" s="2" t="s">
        <v>159</v>
      </c>
      <c r="N2070" s="2"/>
      <c r="O2070" s="2"/>
      <c r="P2070" s="2"/>
      <c r="Q2070" s="2"/>
    </row>
    <row r="2071" spans="1:17" ht="12.95" customHeight="1" x14ac:dyDescent="0.2">
      <c r="A2071" s="4" t="s">
        <v>122</v>
      </c>
      <c r="B2071" s="4" t="s">
        <v>31</v>
      </c>
      <c r="C2071" s="4"/>
      <c r="D2071" s="4"/>
      <c r="E2071" s="3"/>
      <c r="F2071" s="4"/>
      <c r="G2071" s="4"/>
      <c r="H2071" s="4"/>
      <c r="I2071" s="35"/>
      <c r="J2071" s="4"/>
      <c r="K2071" s="4"/>
      <c r="L2071" s="4"/>
      <c r="M2071" s="4"/>
      <c r="N2071" s="4"/>
      <c r="O2071" s="4"/>
      <c r="P2071" s="4"/>
      <c r="Q2071" s="4"/>
    </row>
    <row r="2072" spans="1:17" ht="12.95" customHeight="1" x14ac:dyDescent="0.2">
      <c r="A2072" s="4" t="s">
        <v>123</v>
      </c>
      <c r="B2072" s="4" t="s">
        <v>31</v>
      </c>
      <c r="C2072" s="4"/>
      <c r="D2072" s="4"/>
      <c r="E2072" s="3"/>
      <c r="F2072" s="4"/>
      <c r="G2072" s="4"/>
      <c r="H2072" s="4"/>
      <c r="I2072" s="35"/>
      <c r="J2072" s="4"/>
      <c r="K2072" s="4"/>
      <c r="L2072" s="4"/>
      <c r="M2072" s="4"/>
      <c r="N2072" s="4"/>
      <c r="O2072" s="4"/>
      <c r="P2072" s="4"/>
      <c r="Q2072" s="4"/>
    </row>
    <row r="2073" spans="1:17" x14ac:dyDescent="0.2">
      <c r="A2073" s="4" t="s">
        <v>33</v>
      </c>
      <c r="B2073" s="4" t="s">
        <v>34</v>
      </c>
      <c r="C2073" s="4" t="s">
        <v>34</v>
      </c>
      <c r="D2073" s="4" t="s">
        <v>34</v>
      </c>
      <c r="E2073" s="4" t="s">
        <v>1430</v>
      </c>
      <c r="F2073" s="4" t="s">
        <v>272</v>
      </c>
      <c r="G2073" s="4" t="s">
        <v>1431</v>
      </c>
      <c r="H2073" s="4" t="s">
        <v>127</v>
      </c>
      <c r="I2073" s="35"/>
      <c r="J2073" s="4" t="s">
        <v>1259</v>
      </c>
      <c r="K2073" s="4" t="s">
        <v>1106</v>
      </c>
      <c r="L2073" s="4"/>
      <c r="M2073" s="4" t="s">
        <v>657</v>
      </c>
      <c r="N2073" s="4" t="s">
        <v>512</v>
      </c>
      <c r="O2073" s="4"/>
      <c r="P2073" s="4"/>
      <c r="Q2073" s="4"/>
    </row>
    <row r="2074" spans="1:17" ht="12.95" customHeight="1" x14ac:dyDescent="0.2">
      <c r="A2074" s="2" t="s">
        <v>131</v>
      </c>
      <c r="B2074" s="2" t="s">
        <v>42</v>
      </c>
      <c r="C2074" s="2" t="s">
        <v>1424</v>
      </c>
      <c r="D2074" s="2" t="s">
        <v>1426</v>
      </c>
      <c r="E2074" s="3" t="s">
        <v>359</v>
      </c>
      <c r="F2074" s="2" t="s">
        <v>46</v>
      </c>
      <c r="G2074" s="2" t="s">
        <v>878</v>
      </c>
      <c r="H2074" s="2" t="s">
        <v>48</v>
      </c>
      <c r="I2074" s="13"/>
      <c r="J2074" s="2" t="s">
        <v>48</v>
      </c>
      <c r="K2074" s="2" t="s">
        <v>249</v>
      </c>
      <c r="L2074" s="2"/>
      <c r="M2074" s="2" t="s">
        <v>249</v>
      </c>
      <c r="N2074" s="2"/>
      <c r="O2074" s="2"/>
      <c r="P2074" s="2"/>
      <c r="Q2074" s="2"/>
    </row>
    <row r="2075" spans="1:17" ht="12.95" customHeight="1" x14ac:dyDescent="0.2">
      <c r="A2075" s="2" t="s">
        <v>138</v>
      </c>
      <c r="B2075" s="2" t="s">
        <v>42</v>
      </c>
      <c r="C2075" s="2" t="s">
        <v>1420</v>
      </c>
      <c r="D2075" s="2" t="s">
        <v>1426</v>
      </c>
      <c r="E2075" s="3" t="s">
        <v>157</v>
      </c>
      <c r="F2075" s="2" t="s">
        <v>46</v>
      </c>
      <c r="G2075" s="2" t="s">
        <v>158</v>
      </c>
      <c r="H2075" s="2" t="s">
        <v>48</v>
      </c>
      <c r="I2075" s="13"/>
      <c r="J2075" s="2" t="s">
        <v>48</v>
      </c>
      <c r="K2075" s="2" t="s">
        <v>159</v>
      </c>
      <c r="L2075" s="2"/>
      <c r="M2075" s="2" t="s">
        <v>159</v>
      </c>
      <c r="N2075" s="2"/>
      <c r="O2075" s="2"/>
      <c r="P2075" s="2"/>
      <c r="Q2075" s="2"/>
    </row>
    <row r="2076" spans="1:17" ht="12.95" customHeight="1" x14ac:dyDescent="0.2">
      <c r="A2076" s="2" t="s">
        <v>143</v>
      </c>
      <c r="B2076" s="2" t="s">
        <v>42</v>
      </c>
      <c r="C2076" s="2" t="s">
        <v>723</v>
      </c>
      <c r="D2076" s="2" t="s">
        <v>1261</v>
      </c>
      <c r="E2076" s="3" t="s">
        <v>1209</v>
      </c>
      <c r="F2076" s="2" t="s">
        <v>46</v>
      </c>
      <c r="G2076" s="2" t="s">
        <v>991</v>
      </c>
      <c r="H2076" s="2" t="s">
        <v>48</v>
      </c>
      <c r="I2076" s="13"/>
      <c r="J2076" s="2" t="s">
        <v>48</v>
      </c>
      <c r="K2076" s="2" t="s">
        <v>686</v>
      </c>
      <c r="L2076" s="2"/>
      <c r="M2076" s="2" t="s">
        <v>686</v>
      </c>
      <c r="N2076" s="2"/>
      <c r="O2076" s="2"/>
      <c r="P2076" s="2"/>
      <c r="Q2076" s="2"/>
    </row>
    <row r="2077" spans="1:17" ht="12.95" customHeight="1" x14ac:dyDescent="0.2">
      <c r="A2077" s="2" t="s">
        <v>148</v>
      </c>
      <c r="B2077" s="2" t="s">
        <v>42</v>
      </c>
      <c r="C2077" s="2" t="s">
        <v>1424</v>
      </c>
      <c r="D2077" s="2" t="s">
        <v>1078</v>
      </c>
      <c r="E2077" s="3" t="s">
        <v>157</v>
      </c>
      <c r="F2077" s="2" t="s">
        <v>46</v>
      </c>
      <c r="G2077" s="2" t="s">
        <v>158</v>
      </c>
      <c r="H2077" s="2" t="s">
        <v>48</v>
      </c>
      <c r="I2077" s="13"/>
      <c r="J2077" s="2" t="s">
        <v>48</v>
      </c>
      <c r="K2077" s="2" t="s">
        <v>159</v>
      </c>
      <c r="L2077" s="2"/>
      <c r="M2077" s="2" t="s">
        <v>159</v>
      </c>
      <c r="N2077" s="2"/>
      <c r="O2077" s="2"/>
      <c r="P2077" s="2"/>
      <c r="Q2077" s="2"/>
    </row>
    <row r="2078" spans="1:17" ht="12.95" customHeight="1" x14ac:dyDescent="0.2">
      <c r="A2078" s="2" t="s">
        <v>155</v>
      </c>
      <c r="B2078" s="2" t="s">
        <v>42</v>
      </c>
      <c r="C2078" s="2" t="s">
        <v>1424</v>
      </c>
      <c r="D2078" s="2" t="s">
        <v>1432</v>
      </c>
      <c r="E2078" s="3" t="s">
        <v>435</v>
      </c>
      <c r="F2078" s="2" t="s">
        <v>46</v>
      </c>
      <c r="G2078" s="2" t="s">
        <v>270</v>
      </c>
      <c r="H2078" s="2" t="s">
        <v>48</v>
      </c>
      <c r="I2078" s="13"/>
      <c r="J2078" s="2" t="s">
        <v>48</v>
      </c>
      <c r="K2078" s="2" t="s">
        <v>272</v>
      </c>
      <c r="L2078" s="2" t="s">
        <v>308</v>
      </c>
      <c r="M2078" s="2" t="s">
        <v>831</v>
      </c>
      <c r="N2078" s="2"/>
      <c r="O2078" s="2"/>
      <c r="P2078" s="2"/>
      <c r="Q2078" s="2"/>
    </row>
    <row r="2079" spans="1:17" ht="12.95" customHeight="1" x14ac:dyDescent="0.2">
      <c r="A2079" s="8" t="s">
        <v>161</v>
      </c>
      <c r="B2079" s="8"/>
      <c r="C2079" s="8"/>
      <c r="D2079" s="8"/>
      <c r="E2079" s="5" t="s">
        <v>1433</v>
      </c>
      <c r="F2079" s="5" t="s">
        <v>810</v>
      </c>
      <c r="G2079" s="5" t="s">
        <v>1434</v>
      </c>
      <c r="H2079" s="5" t="s">
        <v>980</v>
      </c>
      <c r="I2079" s="36" t="s">
        <v>296</v>
      </c>
      <c r="J2079" s="5" t="s">
        <v>1435</v>
      </c>
      <c r="K2079" s="5" t="s">
        <v>327</v>
      </c>
      <c r="L2079" s="5" t="s">
        <v>308</v>
      </c>
      <c r="M2079" s="5" t="s">
        <v>1436</v>
      </c>
      <c r="N2079" s="5" t="s">
        <v>459</v>
      </c>
      <c r="O2079" s="5"/>
      <c r="P2079" s="5"/>
      <c r="Q2079" s="5"/>
    </row>
    <row r="2080" spans="1:17" ht="12.95" customHeight="1" x14ac:dyDescent="0.2">
      <c r="A2080" s="8" t="s">
        <v>171</v>
      </c>
      <c r="B2080" s="8"/>
      <c r="C2080" s="8"/>
      <c r="D2080" s="8"/>
      <c r="E2080" s="5" t="s">
        <v>1433</v>
      </c>
      <c r="F2080" s="5" t="s">
        <v>810</v>
      </c>
      <c r="G2080" s="5" t="s">
        <v>1434</v>
      </c>
      <c r="H2080" s="5" t="s">
        <v>980</v>
      </c>
      <c r="I2080" s="36" t="s">
        <v>296</v>
      </c>
      <c r="J2080" s="5" t="s">
        <v>1435</v>
      </c>
      <c r="K2080" s="5" t="s">
        <v>327</v>
      </c>
      <c r="L2080" s="5" t="s">
        <v>308</v>
      </c>
      <c r="M2080" s="5" t="s">
        <v>1436</v>
      </c>
      <c r="N2080" s="5" t="s">
        <v>459</v>
      </c>
      <c r="O2080" s="5"/>
      <c r="P2080" s="5"/>
      <c r="Q2080" s="5"/>
    </row>
    <row r="2081" spans="1:17" ht="12.95" customHeight="1" x14ac:dyDescent="0.2">
      <c r="A2081" s="8" t="s">
        <v>173</v>
      </c>
      <c r="B2081" s="8"/>
      <c r="C2081" s="8"/>
      <c r="D2081" s="8"/>
      <c r="E2081" s="5">
        <v>145.43</v>
      </c>
      <c r="F2081" s="5">
        <v>8</v>
      </c>
      <c r="G2081" s="5">
        <v>137.43</v>
      </c>
      <c r="H2081" s="5">
        <v>110.4</v>
      </c>
      <c r="I2081" s="36">
        <v>0</v>
      </c>
      <c r="J2081" s="5">
        <v>127.76</v>
      </c>
      <c r="K2081" s="5">
        <v>9.06</v>
      </c>
      <c r="L2081" s="5">
        <v>0.6</v>
      </c>
      <c r="M2081" s="5">
        <v>27.03</v>
      </c>
      <c r="N2081" s="5">
        <v>0.25</v>
      </c>
      <c r="O2081" s="5"/>
      <c r="P2081" s="5"/>
      <c r="Q2081" s="5"/>
    </row>
    <row r="2082" spans="1:17" x14ac:dyDescent="0.2">
      <c r="I2082" s="37"/>
    </row>
    <row r="2083" spans="1:17" ht="12.95" customHeight="1" x14ac:dyDescent="0.2">
      <c r="A2083" s="9" t="s">
        <v>174</v>
      </c>
      <c r="B2083" s="9"/>
      <c r="C2083" s="9"/>
      <c r="E2083" s="9" t="s">
        <v>180</v>
      </c>
      <c r="F2083" s="9"/>
      <c r="G2083" s="9"/>
      <c r="I2083" s="9" t="s">
        <v>181</v>
      </c>
      <c r="J2083" s="9"/>
      <c r="K2083" s="9"/>
    </row>
    <row r="2084" spans="1:17" ht="12.95" customHeight="1" x14ac:dyDescent="0.2">
      <c r="A2084" s="10" t="s">
        <v>175</v>
      </c>
      <c r="B2084" s="10"/>
      <c r="C2084" s="6">
        <v>16</v>
      </c>
      <c r="E2084" s="10" t="s">
        <v>14</v>
      </c>
      <c r="F2084" s="10"/>
      <c r="G2084" s="6">
        <v>127.76</v>
      </c>
      <c r="I2084" s="10" t="s">
        <v>264</v>
      </c>
      <c r="J2084" s="10"/>
      <c r="K2084" s="43">
        <v>1</v>
      </c>
    </row>
    <row r="2085" spans="1:17" ht="12.95" customHeight="1" x14ac:dyDescent="0.2">
      <c r="A2085" s="10" t="s">
        <v>1531</v>
      </c>
      <c r="B2085" s="10"/>
      <c r="C2085" s="6">
        <v>22</v>
      </c>
      <c r="E2085" s="10" t="s">
        <v>15</v>
      </c>
      <c r="F2085" s="10"/>
      <c r="G2085" s="6">
        <v>9.06</v>
      </c>
      <c r="I2085" s="10" t="s">
        <v>265</v>
      </c>
      <c r="J2085" s="10"/>
      <c r="K2085" s="6">
        <v>6</v>
      </c>
    </row>
    <row r="2086" spans="1:17" ht="12.95" customHeight="1" x14ac:dyDescent="0.2">
      <c r="A2086" s="10" t="s">
        <v>176</v>
      </c>
      <c r="B2086" s="10"/>
      <c r="C2086" s="6">
        <v>145.43</v>
      </c>
      <c r="E2086" s="10" t="s">
        <v>267</v>
      </c>
      <c r="F2086" s="10"/>
      <c r="G2086" s="6">
        <v>0.6</v>
      </c>
      <c r="I2086" s="10" t="s">
        <v>27</v>
      </c>
      <c r="J2086" s="10"/>
      <c r="K2086" s="26">
        <v>3</v>
      </c>
    </row>
    <row r="2087" spans="1:17" ht="12.95" customHeight="1" x14ac:dyDescent="0.2">
      <c r="A2087" s="10" t="s">
        <v>177</v>
      </c>
      <c r="B2087" s="10"/>
      <c r="C2087" s="6">
        <v>110.4</v>
      </c>
      <c r="I2087" s="10" t="s">
        <v>22</v>
      </c>
      <c r="J2087" s="10"/>
      <c r="K2087" s="26">
        <v>0</v>
      </c>
    </row>
    <row r="2088" spans="1:17" ht="12.95" customHeight="1" x14ac:dyDescent="0.2">
      <c r="A2088" s="10" t="s">
        <v>11</v>
      </c>
      <c r="B2088" s="10"/>
      <c r="C2088" s="6">
        <v>137.43</v>
      </c>
      <c r="I2088" s="39" t="s">
        <v>1591</v>
      </c>
      <c r="J2088" s="19"/>
      <c r="K2088" s="20">
        <v>0</v>
      </c>
    </row>
    <row r="2089" spans="1:17" ht="12.95" customHeight="1" x14ac:dyDescent="0.2">
      <c r="A2089" s="10" t="s">
        <v>178</v>
      </c>
      <c r="B2089" s="10"/>
      <c r="C2089" s="6">
        <v>0</v>
      </c>
      <c r="I2089" s="39" t="s">
        <v>1592</v>
      </c>
      <c r="J2089" s="19"/>
      <c r="K2089" s="20">
        <v>0</v>
      </c>
    </row>
    <row r="2090" spans="1:17" ht="12.95" customHeight="1" x14ac:dyDescent="0.25">
      <c r="A2090" s="10" t="s">
        <v>17</v>
      </c>
      <c r="B2090" s="10"/>
      <c r="C2090" s="6">
        <v>0.25</v>
      </c>
      <c r="I2090" s="41" t="s">
        <v>1593</v>
      </c>
      <c r="J2090" s="40"/>
      <c r="K2090" s="42">
        <f>K2084+K2088+K2089</f>
        <v>1</v>
      </c>
    </row>
    <row r="2091" spans="1:17" ht="12.95" customHeight="1" x14ac:dyDescent="0.2">
      <c r="A2091" s="10" t="s">
        <v>179</v>
      </c>
      <c r="B2091" s="10"/>
      <c r="C2091" s="6">
        <v>0</v>
      </c>
    </row>
    <row r="2092" spans="1:17" x14ac:dyDescent="0.2">
      <c r="A2092" s="10" t="s">
        <v>10</v>
      </c>
      <c r="B2092" s="10"/>
      <c r="C2092" s="6">
        <v>8</v>
      </c>
    </row>
    <row r="2093" spans="1:17" x14ac:dyDescent="0.2">
      <c r="A2093" t="s">
        <v>1615</v>
      </c>
      <c r="C2093" cm="1">
        <f t="array" ref="C2093">IFERROR(SUMPRODUCT(ISNUMBER(SEARCH("מילואים",O2045:O2082))*(C2045:C2082&lt;&gt;"")*(J2045:J2082+0))*24,0)</f>
        <v>0</v>
      </c>
    </row>
    <row r="2094" spans="1:17" ht="12.95" customHeight="1" x14ac:dyDescent="0.2">
      <c r="A2094" s="7" t="s">
        <v>1437</v>
      </c>
      <c r="B2094" s="7"/>
      <c r="C2094" s="7"/>
      <c r="D2094" s="7" t="s">
        <v>1</v>
      </c>
      <c r="E2094" s="7"/>
      <c r="F2094" s="7"/>
      <c r="G2094" s="7"/>
      <c r="H2094" s="7" t="s">
        <v>1237</v>
      </c>
      <c r="I2094" s="7"/>
      <c r="J2094" s="7"/>
      <c r="K2094" s="7"/>
      <c r="L2094" s="7"/>
      <c r="M2094" s="7"/>
      <c r="N2094" s="7"/>
      <c r="O2094" s="7"/>
      <c r="P2094" s="7"/>
      <c r="Q2094" s="7"/>
    </row>
    <row r="2095" spans="1:17" ht="12.95" customHeight="1" x14ac:dyDescent="0.2">
      <c r="A2095" s="7" t="s">
        <v>3</v>
      </c>
      <c r="B2095" s="7"/>
      <c r="C2095" s="7"/>
      <c r="D2095" s="7"/>
      <c r="E2095" s="7"/>
      <c r="F2095" s="7">
        <v>109</v>
      </c>
      <c r="G2095" s="7"/>
      <c r="H2095" s="7" t="s">
        <v>4</v>
      </c>
      <c r="I2095" s="7"/>
      <c r="J2095" s="7"/>
      <c r="K2095" s="7"/>
      <c r="L2095" s="7"/>
      <c r="M2095" s="7"/>
      <c r="N2095" s="7"/>
      <c r="O2095" s="7"/>
      <c r="P2095" s="7"/>
      <c r="Q2095" s="7"/>
    </row>
    <row r="2096" spans="1:17" ht="22.5" customHeight="1" x14ac:dyDescent="0.2">
      <c r="A2096" s="1" t="s">
        <v>5</v>
      </c>
      <c r="B2096" s="1" t="s">
        <v>6</v>
      </c>
      <c r="C2096" s="1" t="s">
        <v>7</v>
      </c>
      <c r="D2096" s="1" t="s">
        <v>8</v>
      </c>
      <c r="E2096" s="1" t="s">
        <v>9</v>
      </c>
      <c r="F2096" s="1" t="s">
        <v>10</v>
      </c>
      <c r="G2096" s="1" t="s">
        <v>11</v>
      </c>
      <c r="H2096" s="1" t="s">
        <v>12</v>
      </c>
      <c r="I2096" s="1" t="s">
        <v>13</v>
      </c>
      <c r="J2096" s="1" t="s">
        <v>14</v>
      </c>
      <c r="K2096" s="1" t="s">
        <v>15</v>
      </c>
      <c r="L2096" s="1" t="s">
        <v>267</v>
      </c>
      <c r="M2096" s="1" t="s">
        <v>16</v>
      </c>
      <c r="N2096" s="1" t="s">
        <v>17</v>
      </c>
      <c r="O2096" s="1" t="s">
        <v>18</v>
      </c>
      <c r="P2096" s="1" t="s">
        <v>19</v>
      </c>
      <c r="Q2096" s="1" t="s">
        <v>20</v>
      </c>
    </row>
    <row r="2097" spans="1:17" ht="12.95" customHeight="1" x14ac:dyDescent="0.2">
      <c r="A2097" s="2" t="s">
        <v>21</v>
      </c>
      <c r="B2097" s="2" t="s">
        <v>22</v>
      </c>
      <c r="C2097" s="2"/>
      <c r="D2097" s="2"/>
      <c r="E2097" s="3"/>
      <c r="F2097" s="2"/>
      <c r="G2097" s="2"/>
      <c r="H2097" s="2" t="s">
        <v>23</v>
      </c>
      <c r="I2097" s="12" t="s">
        <v>23</v>
      </c>
      <c r="J2097" s="2"/>
      <c r="K2097" s="2"/>
      <c r="L2097" s="2"/>
      <c r="M2097" s="2"/>
      <c r="N2097" s="2"/>
      <c r="O2097" s="2" t="s">
        <v>24</v>
      </c>
      <c r="P2097" s="2" t="s">
        <v>25</v>
      </c>
      <c r="Q2097" s="2"/>
    </row>
    <row r="2098" spans="1:17" ht="12.95" customHeight="1" x14ac:dyDescent="0.2">
      <c r="A2098" s="2" t="s">
        <v>26</v>
      </c>
      <c r="B2098" s="2" t="s">
        <v>27</v>
      </c>
      <c r="C2098" s="2"/>
      <c r="D2098" s="2"/>
      <c r="E2098" s="3"/>
      <c r="F2098" s="2"/>
      <c r="G2098" s="2"/>
      <c r="H2098" s="2"/>
      <c r="I2098" s="13"/>
      <c r="J2098" s="2"/>
      <c r="K2098" s="2"/>
      <c r="L2098" s="2"/>
      <c r="M2098" s="2"/>
      <c r="N2098" s="2"/>
      <c r="O2098" s="2" t="s">
        <v>28</v>
      </c>
      <c r="P2098" s="2" t="s">
        <v>29</v>
      </c>
      <c r="Q2098" s="2"/>
    </row>
    <row r="2099" spans="1:17" ht="12.95" customHeight="1" x14ac:dyDescent="0.2">
      <c r="A2099" s="4" t="s">
        <v>30</v>
      </c>
      <c r="B2099" s="4" t="s">
        <v>31</v>
      </c>
      <c r="C2099" s="4"/>
      <c r="D2099" s="4"/>
      <c r="E2099" s="3"/>
      <c r="F2099" s="4"/>
      <c r="G2099" s="4"/>
      <c r="H2099" s="4"/>
      <c r="I2099" s="35"/>
      <c r="J2099" s="4"/>
      <c r="K2099" s="4"/>
      <c r="L2099" s="4"/>
      <c r="M2099" s="4"/>
      <c r="N2099" s="4"/>
      <c r="O2099" s="4"/>
      <c r="P2099" s="4"/>
      <c r="Q2099" s="4"/>
    </row>
    <row r="2100" spans="1:17" ht="12.95" customHeight="1" x14ac:dyDescent="0.2">
      <c r="A2100" s="4" t="s">
        <v>32</v>
      </c>
      <c r="B2100" s="4" t="s">
        <v>31</v>
      </c>
      <c r="C2100" s="4"/>
      <c r="D2100" s="4"/>
      <c r="E2100" s="3"/>
      <c r="F2100" s="4"/>
      <c r="G2100" s="4"/>
      <c r="H2100" s="4"/>
      <c r="I2100" s="35"/>
      <c r="J2100" s="4"/>
      <c r="K2100" s="4"/>
      <c r="L2100" s="4"/>
      <c r="M2100" s="4"/>
      <c r="N2100" s="4"/>
      <c r="O2100" s="4"/>
      <c r="P2100" s="4"/>
      <c r="Q2100" s="4"/>
    </row>
    <row r="2101" spans="1:17" x14ac:dyDescent="0.2">
      <c r="A2101" s="4" t="s">
        <v>33</v>
      </c>
      <c r="B2101" s="4" t="s">
        <v>34</v>
      </c>
      <c r="C2101" s="4" t="s">
        <v>34</v>
      </c>
      <c r="D2101" s="4" t="s">
        <v>34</v>
      </c>
      <c r="E2101" s="4"/>
      <c r="F2101" s="4"/>
      <c r="G2101" s="4"/>
      <c r="H2101" s="4" t="s">
        <v>23</v>
      </c>
      <c r="I2101" s="35" t="s">
        <v>23</v>
      </c>
      <c r="J2101" s="4"/>
      <c r="K2101" s="4"/>
      <c r="L2101" s="4"/>
      <c r="M2101" s="4"/>
      <c r="N2101" s="4"/>
      <c r="O2101" s="4"/>
      <c r="P2101" s="4"/>
      <c r="Q2101" s="4"/>
    </row>
    <row r="2102" spans="1:17" ht="12.95" customHeight="1" x14ac:dyDescent="0.2">
      <c r="A2102" s="2" t="s">
        <v>35</v>
      </c>
      <c r="B2102" s="2" t="s">
        <v>36</v>
      </c>
      <c r="C2102" s="2"/>
      <c r="D2102" s="2"/>
      <c r="E2102" s="3"/>
      <c r="F2102" s="2"/>
      <c r="G2102" s="2"/>
      <c r="H2102" s="2"/>
      <c r="I2102" s="13"/>
      <c r="J2102" s="2"/>
      <c r="K2102" s="2"/>
      <c r="L2102" s="2"/>
      <c r="M2102" s="2"/>
      <c r="N2102" s="2"/>
      <c r="O2102" s="2" t="s">
        <v>37</v>
      </c>
      <c r="P2102" s="2"/>
      <c r="Q2102" s="2"/>
    </row>
    <row r="2103" spans="1:17" ht="12.95" customHeight="1" x14ac:dyDescent="0.2">
      <c r="A2103" s="2" t="s">
        <v>38</v>
      </c>
      <c r="B2103" s="2" t="s">
        <v>36</v>
      </c>
      <c r="C2103" s="2"/>
      <c r="D2103" s="2"/>
      <c r="E2103" s="3"/>
      <c r="F2103" s="2"/>
      <c r="G2103" s="2"/>
      <c r="H2103" s="2"/>
      <c r="I2103" s="13"/>
      <c r="J2103" s="2"/>
      <c r="K2103" s="2"/>
      <c r="L2103" s="2"/>
      <c r="M2103" s="2"/>
      <c r="N2103" s="2"/>
      <c r="O2103" s="2" t="s">
        <v>37</v>
      </c>
      <c r="P2103" s="2"/>
      <c r="Q2103" s="2"/>
    </row>
    <row r="2104" spans="1:17" ht="12.95" customHeight="1" x14ac:dyDescent="0.2">
      <c r="A2104" s="2" t="s">
        <v>39</v>
      </c>
      <c r="B2104" s="2" t="s">
        <v>22</v>
      </c>
      <c r="C2104" s="2"/>
      <c r="D2104" s="2"/>
      <c r="E2104" s="3"/>
      <c r="F2104" s="2"/>
      <c r="G2104" s="2"/>
      <c r="H2104" s="2" t="s">
        <v>23</v>
      </c>
      <c r="I2104" s="12" t="s">
        <v>23</v>
      </c>
      <c r="J2104" s="2"/>
      <c r="K2104" s="2"/>
      <c r="L2104" s="2"/>
      <c r="M2104" s="2"/>
      <c r="N2104" s="2"/>
      <c r="O2104" s="2" t="s">
        <v>24</v>
      </c>
      <c r="P2104" s="2" t="s">
        <v>25</v>
      </c>
      <c r="Q2104" s="2"/>
    </row>
    <row r="2105" spans="1:17" ht="12.95" customHeight="1" x14ac:dyDescent="0.2">
      <c r="A2105" s="2" t="s">
        <v>40</v>
      </c>
      <c r="B2105" s="2" t="s">
        <v>27</v>
      </c>
      <c r="C2105" s="2"/>
      <c r="D2105" s="2"/>
      <c r="E2105" s="3"/>
      <c r="F2105" s="2"/>
      <c r="G2105" s="2"/>
      <c r="H2105" s="2"/>
      <c r="I2105" s="13"/>
      <c r="J2105" s="2"/>
      <c r="K2105" s="2"/>
      <c r="L2105" s="2"/>
      <c r="M2105" s="2"/>
      <c r="N2105" s="2"/>
      <c r="O2105" s="2" t="s">
        <v>28</v>
      </c>
      <c r="P2105" s="2" t="s">
        <v>25</v>
      </c>
      <c r="Q2105" s="2"/>
    </row>
    <row r="2106" spans="1:17" ht="12.95" customHeight="1" x14ac:dyDescent="0.2">
      <c r="A2106" s="2" t="s">
        <v>41</v>
      </c>
      <c r="B2106" s="2" t="s">
        <v>42</v>
      </c>
      <c r="C2106" s="2" t="s">
        <v>1395</v>
      </c>
      <c r="D2106" s="2" t="s">
        <v>1438</v>
      </c>
      <c r="E2106" s="3" t="s">
        <v>543</v>
      </c>
      <c r="F2106" s="2" t="s">
        <v>46</v>
      </c>
      <c r="G2106" s="2" t="s">
        <v>544</v>
      </c>
      <c r="H2106" s="2" t="s">
        <v>48</v>
      </c>
      <c r="I2106" s="13"/>
      <c r="J2106" s="2" t="s">
        <v>48</v>
      </c>
      <c r="K2106" s="2" t="s">
        <v>397</v>
      </c>
      <c r="L2106" s="2"/>
      <c r="M2106" s="2" t="s">
        <v>397</v>
      </c>
      <c r="N2106" s="2" t="s">
        <v>125</v>
      </c>
      <c r="O2106" s="2"/>
      <c r="P2106" s="2"/>
      <c r="Q2106" s="2"/>
    </row>
    <row r="2107" spans="1:17" ht="12.95" customHeight="1" x14ac:dyDescent="0.2">
      <c r="A2107" s="4" t="s">
        <v>51</v>
      </c>
      <c r="B2107" s="4" t="s">
        <v>31</v>
      </c>
      <c r="C2107" s="4"/>
      <c r="D2107" s="4"/>
      <c r="E2107" s="3"/>
      <c r="F2107" s="4"/>
      <c r="G2107" s="4"/>
      <c r="H2107" s="4"/>
      <c r="I2107" s="35"/>
      <c r="J2107" s="4"/>
      <c r="K2107" s="4"/>
      <c r="L2107" s="4"/>
      <c r="M2107" s="4"/>
      <c r="N2107" s="4"/>
      <c r="O2107" s="4"/>
      <c r="P2107" s="4"/>
      <c r="Q2107" s="4"/>
    </row>
    <row r="2108" spans="1:17" ht="12.95" customHeight="1" x14ac:dyDescent="0.2">
      <c r="A2108" s="4" t="s">
        <v>52</v>
      </c>
      <c r="B2108" s="4" t="s">
        <v>31</v>
      </c>
      <c r="C2108" s="4"/>
      <c r="D2108" s="4"/>
      <c r="E2108" s="3"/>
      <c r="F2108" s="4"/>
      <c r="G2108" s="4"/>
      <c r="H2108" s="4"/>
      <c r="I2108" s="35"/>
      <c r="J2108" s="4"/>
      <c r="K2108" s="4"/>
      <c r="L2108" s="4"/>
      <c r="M2108" s="4"/>
      <c r="N2108" s="4"/>
      <c r="O2108" s="4"/>
      <c r="P2108" s="4"/>
      <c r="Q2108" s="4"/>
    </row>
    <row r="2109" spans="1:17" x14ac:dyDescent="0.2">
      <c r="A2109" s="4" t="s">
        <v>33</v>
      </c>
      <c r="B2109" s="4" t="s">
        <v>34</v>
      </c>
      <c r="C2109" s="4" t="s">
        <v>34</v>
      </c>
      <c r="D2109" s="4" t="s">
        <v>34</v>
      </c>
      <c r="E2109" s="4" t="s">
        <v>543</v>
      </c>
      <c r="F2109" s="4" t="s">
        <v>46</v>
      </c>
      <c r="G2109" s="4" t="s">
        <v>544</v>
      </c>
      <c r="H2109" s="4" t="s">
        <v>53</v>
      </c>
      <c r="I2109" s="35" t="s">
        <v>23</v>
      </c>
      <c r="J2109" s="4" t="s">
        <v>48</v>
      </c>
      <c r="K2109" s="4" t="s">
        <v>397</v>
      </c>
      <c r="L2109" s="4"/>
      <c r="M2109" s="4" t="s">
        <v>397</v>
      </c>
      <c r="N2109" s="4" t="s">
        <v>125</v>
      </c>
      <c r="O2109" s="4"/>
      <c r="P2109" s="4"/>
      <c r="Q2109" s="4"/>
    </row>
    <row r="2110" spans="1:17" ht="12.95" customHeight="1" x14ac:dyDescent="0.2">
      <c r="A2110" s="2" t="s">
        <v>54</v>
      </c>
      <c r="B2110" s="2" t="s">
        <v>42</v>
      </c>
      <c r="C2110" s="2" t="s">
        <v>1159</v>
      </c>
      <c r="D2110" s="2" t="s">
        <v>1164</v>
      </c>
      <c r="E2110" s="3" t="s">
        <v>277</v>
      </c>
      <c r="F2110" s="2" t="s">
        <v>46</v>
      </c>
      <c r="G2110" s="2" t="s">
        <v>382</v>
      </c>
      <c r="H2110" s="2" t="s">
        <v>48</v>
      </c>
      <c r="I2110" s="13" t="s">
        <v>249</v>
      </c>
      <c r="J2110" s="2" t="s">
        <v>382</v>
      </c>
      <c r="K2110" s="2"/>
      <c r="L2110" s="2"/>
      <c r="M2110" s="2"/>
      <c r="N2110" s="2" t="s">
        <v>153</v>
      </c>
      <c r="O2110" s="2"/>
      <c r="P2110" s="2"/>
      <c r="Q2110" s="2"/>
    </row>
    <row r="2111" spans="1:17" ht="12.95" customHeight="1" x14ac:dyDescent="0.2">
      <c r="A2111" s="2" t="s">
        <v>61</v>
      </c>
      <c r="B2111" s="2" t="s">
        <v>42</v>
      </c>
      <c r="C2111" s="2" t="s">
        <v>1439</v>
      </c>
      <c r="D2111" s="2" t="s">
        <v>1219</v>
      </c>
      <c r="E2111" s="3" t="s">
        <v>1440</v>
      </c>
      <c r="F2111" s="2" t="s">
        <v>46</v>
      </c>
      <c r="G2111" s="2" t="s">
        <v>358</v>
      </c>
      <c r="H2111" s="2" t="s">
        <v>48</v>
      </c>
      <c r="I2111" s="13"/>
      <c r="J2111" s="2" t="s">
        <v>48</v>
      </c>
      <c r="K2111" s="2" t="s">
        <v>74</v>
      </c>
      <c r="L2111" s="2"/>
      <c r="M2111" s="2" t="s">
        <v>74</v>
      </c>
      <c r="N2111" s="2" t="s">
        <v>60</v>
      </c>
      <c r="O2111" s="2"/>
      <c r="P2111" s="2"/>
      <c r="Q2111" s="2"/>
    </row>
    <row r="2112" spans="1:17" ht="12.95" customHeight="1" x14ac:dyDescent="0.2">
      <c r="A2112" s="2" t="s">
        <v>68</v>
      </c>
      <c r="B2112" s="2" t="s">
        <v>42</v>
      </c>
      <c r="C2112" s="2" t="s">
        <v>98</v>
      </c>
      <c r="D2112" s="2" t="s">
        <v>501</v>
      </c>
      <c r="E2112" s="3" t="s">
        <v>616</v>
      </c>
      <c r="F2112" s="2" t="s">
        <v>46</v>
      </c>
      <c r="G2112" s="2" t="s">
        <v>1127</v>
      </c>
      <c r="H2112" s="2" t="s">
        <v>48</v>
      </c>
      <c r="I2112" s="13"/>
      <c r="J2112" s="2" t="s">
        <v>48</v>
      </c>
      <c r="K2112" s="2" t="s">
        <v>396</v>
      </c>
      <c r="L2112" s="2"/>
      <c r="M2112" s="2" t="s">
        <v>396</v>
      </c>
      <c r="N2112" s="2" t="s">
        <v>103</v>
      </c>
      <c r="O2112" s="2"/>
      <c r="P2112" s="2"/>
      <c r="Q2112" s="2"/>
    </row>
    <row r="2113" spans="1:17" ht="12.95" customHeight="1" x14ac:dyDescent="0.2">
      <c r="A2113" s="2" t="s">
        <v>75</v>
      </c>
      <c r="B2113" s="2" t="s">
        <v>42</v>
      </c>
      <c r="C2113" s="2" t="s">
        <v>1441</v>
      </c>
      <c r="D2113" s="2" t="s">
        <v>638</v>
      </c>
      <c r="E2113" s="3" t="s">
        <v>734</v>
      </c>
      <c r="F2113" s="2" t="s">
        <v>46</v>
      </c>
      <c r="G2113" s="2" t="s">
        <v>262</v>
      </c>
      <c r="H2113" s="2" t="s">
        <v>48</v>
      </c>
      <c r="I2113" s="13"/>
      <c r="J2113" s="2" t="s">
        <v>48</v>
      </c>
      <c r="K2113" s="2" t="s">
        <v>272</v>
      </c>
      <c r="L2113" s="2" t="s">
        <v>290</v>
      </c>
      <c r="M2113" s="2" t="s">
        <v>851</v>
      </c>
      <c r="N2113" s="2" t="s">
        <v>368</v>
      </c>
      <c r="O2113" s="2"/>
      <c r="P2113" s="2"/>
      <c r="Q2113" s="2"/>
    </row>
    <row r="2114" spans="1:17" ht="12.95" customHeight="1" x14ac:dyDescent="0.2">
      <c r="A2114" s="2" t="s">
        <v>81</v>
      </c>
      <c r="B2114" s="2" t="s">
        <v>42</v>
      </c>
      <c r="C2114" s="2" t="s">
        <v>107</v>
      </c>
      <c r="D2114" s="2" t="s">
        <v>989</v>
      </c>
      <c r="E2114" s="3" t="s">
        <v>48</v>
      </c>
      <c r="F2114" s="2" t="s">
        <v>46</v>
      </c>
      <c r="G2114" s="2" t="s">
        <v>890</v>
      </c>
      <c r="H2114" s="2" t="s">
        <v>48</v>
      </c>
      <c r="I2114" s="13" t="s">
        <v>46</v>
      </c>
      <c r="J2114" s="2" t="s">
        <v>890</v>
      </c>
      <c r="K2114" s="2"/>
      <c r="L2114" s="2"/>
      <c r="M2114" s="2"/>
      <c r="N2114" s="2" t="s">
        <v>232</v>
      </c>
      <c r="O2114" s="2"/>
      <c r="P2114" s="2"/>
      <c r="Q2114" s="2"/>
    </row>
    <row r="2115" spans="1:17" ht="12.95" customHeight="1" x14ac:dyDescent="0.2">
      <c r="A2115" s="4" t="s">
        <v>87</v>
      </c>
      <c r="B2115" s="4" t="s">
        <v>31</v>
      </c>
      <c r="C2115" s="4"/>
      <c r="D2115" s="4"/>
      <c r="E2115" s="3"/>
      <c r="F2115" s="4"/>
      <c r="G2115" s="4"/>
      <c r="H2115" s="4"/>
      <c r="I2115" s="35"/>
      <c r="J2115" s="4"/>
      <c r="K2115" s="4"/>
      <c r="L2115" s="4"/>
      <c r="M2115" s="4"/>
      <c r="N2115" s="4"/>
      <c r="O2115" s="4"/>
      <c r="P2115" s="4"/>
      <c r="Q2115" s="4"/>
    </row>
    <row r="2116" spans="1:17" ht="12.95" customHeight="1" x14ac:dyDescent="0.2">
      <c r="A2116" s="4" t="s">
        <v>88</v>
      </c>
      <c r="B2116" s="4" t="s">
        <v>31</v>
      </c>
      <c r="C2116" s="4"/>
      <c r="D2116" s="4"/>
      <c r="E2116" s="3"/>
      <c r="F2116" s="4"/>
      <c r="G2116" s="4"/>
      <c r="H2116" s="4"/>
      <c r="I2116" s="35"/>
      <c r="J2116" s="4"/>
      <c r="K2116" s="4"/>
      <c r="L2116" s="4"/>
      <c r="M2116" s="4"/>
      <c r="N2116" s="4"/>
      <c r="O2116" s="4"/>
      <c r="P2116" s="4"/>
      <c r="Q2116" s="4"/>
    </row>
    <row r="2117" spans="1:17" x14ac:dyDescent="0.2">
      <c r="A2117" s="4" t="s">
        <v>33</v>
      </c>
      <c r="B2117" s="4" t="s">
        <v>34</v>
      </c>
      <c r="C2117" s="4" t="s">
        <v>34</v>
      </c>
      <c r="D2117" s="4" t="s">
        <v>34</v>
      </c>
      <c r="E2117" s="4" t="s">
        <v>1442</v>
      </c>
      <c r="F2117" s="4" t="s">
        <v>90</v>
      </c>
      <c r="G2117" s="4" t="s">
        <v>1443</v>
      </c>
      <c r="H2117" s="4" t="s">
        <v>92</v>
      </c>
      <c r="I2117" s="35" t="s">
        <v>360</v>
      </c>
      <c r="J2117" s="4" t="s">
        <v>1444</v>
      </c>
      <c r="K2117" s="4" t="s">
        <v>755</v>
      </c>
      <c r="L2117" s="4" t="s">
        <v>290</v>
      </c>
      <c r="M2117" s="4" t="s">
        <v>297</v>
      </c>
      <c r="N2117" s="4" t="s">
        <v>936</v>
      </c>
      <c r="O2117" s="4"/>
      <c r="P2117" s="4"/>
      <c r="Q2117" s="4"/>
    </row>
    <row r="2118" spans="1:17" ht="12.95" customHeight="1" x14ac:dyDescent="0.2">
      <c r="A2118" s="2" t="s">
        <v>97</v>
      </c>
      <c r="B2118" s="2" t="s">
        <v>42</v>
      </c>
      <c r="C2118" s="2" t="s">
        <v>1445</v>
      </c>
      <c r="D2118" s="2" t="s">
        <v>1446</v>
      </c>
      <c r="E2118" s="3" t="s">
        <v>682</v>
      </c>
      <c r="F2118" s="2" t="s">
        <v>46</v>
      </c>
      <c r="G2118" s="2" t="s">
        <v>233</v>
      </c>
      <c r="H2118" s="2" t="s">
        <v>48</v>
      </c>
      <c r="I2118" s="13"/>
      <c r="J2118" s="2" t="s">
        <v>48</v>
      </c>
      <c r="K2118" s="2" t="s">
        <v>314</v>
      </c>
      <c r="L2118" s="2"/>
      <c r="M2118" s="2" t="s">
        <v>314</v>
      </c>
      <c r="N2118" s="2" t="s">
        <v>517</v>
      </c>
      <c r="O2118" s="2"/>
      <c r="P2118" s="2"/>
      <c r="Q2118" s="2"/>
    </row>
    <row r="2119" spans="1:17" ht="12.95" customHeight="1" x14ac:dyDescent="0.2">
      <c r="A2119" s="2" t="s">
        <v>104</v>
      </c>
      <c r="B2119" s="2" t="s">
        <v>42</v>
      </c>
      <c r="C2119" s="2" t="s">
        <v>132</v>
      </c>
      <c r="D2119" s="2" t="s">
        <v>1447</v>
      </c>
      <c r="E2119" s="3" t="s">
        <v>345</v>
      </c>
      <c r="F2119" s="2" t="s">
        <v>46</v>
      </c>
      <c r="G2119" s="2" t="s">
        <v>346</v>
      </c>
      <c r="H2119" s="2" t="s">
        <v>48</v>
      </c>
      <c r="I2119" s="13"/>
      <c r="J2119" s="2" t="s">
        <v>48</v>
      </c>
      <c r="K2119" s="2" t="s">
        <v>103</v>
      </c>
      <c r="L2119" s="2"/>
      <c r="M2119" s="2" t="s">
        <v>103</v>
      </c>
      <c r="N2119" s="2" t="s">
        <v>137</v>
      </c>
      <c r="O2119" s="2"/>
      <c r="P2119" s="2" t="s">
        <v>111</v>
      </c>
      <c r="Q2119" s="2"/>
    </row>
    <row r="2120" spans="1:17" ht="12.95" customHeight="1" x14ac:dyDescent="0.2">
      <c r="A2120" s="2" t="s">
        <v>112</v>
      </c>
      <c r="B2120" s="2" t="s">
        <v>22</v>
      </c>
      <c r="C2120" s="2" t="s">
        <v>366</v>
      </c>
      <c r="D2120" s="2" t="s">
        <v>1448</v>
      </c>
      <c r="E2120" s="3" t="s">
        <v>832</v>
      </c>
      <c r="F2120" s="2" t="s">
        <v>46</v>
      </c>
      <c r="G2120" s="2" t="s">
        <v>1449</v>
      </c>
      <c r="H2120" s="2" t="s">
        <v>113</v>
      </c>
      <c r="I2120" s="111" t="s">
        <v>1317</v>
      </c>
      <c r="J2120" s="2" t="s">
        <v>1449</v>
      </c>
      <c r="K2120" s="2"/>
      <c r="L2120" s="2"/>
      <c r="M2120" s="2"/>
      <c r="N2120" s="2"/>
      <c r="O2120" s="2" t="s">
        <v>24</v>
      </c>
      <c r="P2120" s="2"/>
      <c r="Q2120" s="2"/>
    </row>
    <row r="2121" spans="1:17" ht="12.95" customHeight="1" x14ac:dyDescent="0.2">
      <c r="A2121" s="2" t="s">
        <v>114</v>
      </c>
      <c r="B2121" s="2" t="s">
        <v>27</v>
      </c>
      <c r="C2121" s="2"/>
      <c r="D2121" s="2"/>
      <c r="E2121" s="3"/>
      <c r="F2121" s="2"/>
      <c r="G2121" s="2"/>
      <c r="H2121" s="2"/>
      <c r="I2121" s="13"/>
      <c r="J2121" s="2"/>
      <c r="K2121" s="2"/>
      <c r="L2121" s="2"/>
      <c r="M2121" s="2"/>
      <c r="N2121" s="2"/>
      <c r="O2121" s="2" t="s">
        <v>28</v>
      </c>
      <c r="P2121" s="2" t="s">
        <v>111</v>
      </c>
      <c r="Q2121" s="2"/>
    </row>
    <row r="2122" spans="1:17" ht="12.95" customHeight="1" x14ac:dyDescent="0.2">
      <c r="A2122" s="2" t="s">
        <v>115</v>
      </c>
      <c r="B2122" s="2" t="s">
        <v>42</v>
      </c>
      <c r="C2122" s="2" t="s">
        <v>1450</v>
      </c>
      <c r="D2122" s="2" t="s">
        <v>1451</v>
      </c>
      <c r="E2122" s="3" t="s">
        <v>725</v>
      </c>
      <c r="F2122" s="2" t="s">
        <v>46</v>
      </c>
      <c r="G2122" s="2" t="s">
        <v>726</v>
      </c>
      <c r="H2122" s="2" t="s">
        <v>48</v>
      </c>
      <c r="I2122" s="13"/>
      <c r="J2122" s="2" t="s">
        <v>48</v>
      </c>
      <c r="K2122" s="2" t="s">
        <v>154</v>
      </c>
      <c r="L2122" s="2"/>
      <c r="M2122" s="2" t="s">
        <v>154</v>
      </c>
      <c r="N2122" s="2" t="s">
        <v>261</v>
      </c>
      <c r="O2122" s="2"/>
      <c r="P2122" s="2"/>
      <c r="Q2122" s="2"/>
    </row>
    <row r="2123" spans="1:17" ht="12.95" customHeight="1" x14ac:dyDescent="0.2">
      <c r="A2123" s="4" t="s">
        <v>122</v>
      </c>
      <c r="B2123" s="4" t="s">
        <v>31</v>
      </c>
      <c r="C2123" s="4"/>
      <c r="D2123" s="4"/>
      <c r="E2123" s="3"/>
      <c r="F2123" s="4"/>
      <c r="G2123" s="4"/>
      <c r="H2123" s="4"/>
      <c r="I2123" s="35"/>
      <c r="J2123" s="4"/>
      <c r="K2123" s="4"/>
      <c r="L2123" s="4"/>
      <c r="M2123" s="4"/>
      <c r="N2123" s="4"/>
      <c r="O2123" s="4"/>
      <c r="P2123" s="4"/>
      <c r="Q2123" s="4"/>
    </row>
    <row r="2124" spans="1:17" ht="12.95" customHeight="1" x14ac:dyDescent="0.2">
      <c r="A2124" s="4" t="s">
        <v>123</v>
      </c>
      <c r="B2124" s="4" t="s">
        <v>31</v>
      </c>
      <c r="C2124" s="4"/>
      <c r="D2124" s="4"/>
      <c r="E2124" s="3"/>
      <c r="F2124" s="4"/>
      <c r="G2124" s="4"/>
      <c r="H2124" s="4"/>
      <c r="I2124" s="35"/>
      <c r="J2124" s="4"/>
      <c r="K2124" s="4"/>
      <c r="L2124" s="4"/>
      <c r="M2124" s="4"/>
      <c r="N2124" s="4"/>
      <c r="O2124" s="4"/>
      <c r="P2124" s="4"/>
      <c r="Q2124" s="4"/>
    </row>
    <row r="2125" spans="1:17" x14ac:dyDescent="0.2">
      <c r="A2125" s="4" t="s">
        <v>33</v>
      </c>
      <c r="B2125" s="4" t="s">
        <v>34</v>
      </c>
      <c r="C2125" s="4" t="s">
        <v>34</v>
      </c>
      <c r="D2125" s="4" t="s">
        <v>34</v>
      </c>
      <c r="E2125" s="4" t="s">
        <v>1452</v>
      </c>
      <c r="F2125" s="4" t="s">
        <v>272</v>
      </c>
      <c r="G2125" s="4" t="s">
        <v>1453</v>
      </c>
      <c r="H2125" s="4" t="s">
        <v>1259</v>
      </c>
      <c r="I2125" s="35" t="s">
        <v>1317</v>
      </c>
      <c r="J2125" s="4" t="s">
        <v>1454</v>
      </c>
      <c r="K2125" s="4" t="s">
        <v>1455</v>
      </c>
      <c r="L2125" s="4"/>
      <c r="M2125" s="4" t="s">
        <v>1455</v>
      </c>
      <c r="N2125" s="4" t="s">
        <v>598</v>
      </c>
      <c r="O2125" s="4"/>
      <c r="P2125" s="4"/>
      <c r="Q2125" s="4"/>
    </row>
    <row r="2126" spans="1:17" ht="12.95" customHeight="1" x14ac:dyDescent="0.2">
      <c r="A2126" s="2" t="s">
        <v>131</v>
      </c>
      <c r="B2126" s="2" t="s">
        <v>42</v>
      </c>
      <c r="C2126" s="2" t="s">
        <v>1456</v>
      </c>
      <c r="D2126" s="2" t="s">
        <v>1201</v>
      </c>
      <c r="E2126" s="3" t="s">
        <v>1457</v>
      </c>
      <c r="F2126" s="2" t="s">
        <v>46</v>
      </c>
      <c r="G2126" s="2" t="s">
        <v>1139</v>
      </c>
      <c r="H2126" s="2" t="s">
        <v>48</v>
      </c>
      <c r="I2126" s="13"/>
      <c r="J2126" s="2" t="s">
        <v>48</v>
      </c>
      <c r="K2126" s="2" t="s">
        <v>272</v>
      </c>
      <c r="L2126" s="2"/>
      <c r="M2126" s="2" t="s">
        <v>272</v>
      </c>
      <c r="N2126" s="2" t="s">
        <v>360</v>
      </c>
      <c r="O2126" s="2"/>
      <c r="P2126" s="2"/>
      <c r="Q2126" s="2"/>
    </row>
    <row r="2127" spans="1:17" ht="12.95" customHeight="1" x14ac:dyDescent="0.2">
      <c r="A2127" s="2" t="s">
        <v>138</v>
      </c>
      <c r="B2127" s="2" t="s">
        <v>42</v>
      </c>
      <c r="C2127" s="2" t="s">
        <v>599</v>
      </c>
      <c r="D2127" s="2" t="s">
        <v>614</v>
      </c>
      <c r="E2127" s="3" t="s">
        <v>1458</v>
      </c>
      <c r="F2127" s="2" t="s">
        <v>46</v>
      </c>
      <c r="G2127" s="2" t="s">
        <v>166</v>
      </c>
      <c r="H2127" s="2" t="s">
        <v>48</v>
      </c>
      <c r="I2127" s="13"/>
      <c r="J2127" s="2" t="s">
        <v>48</v>
      </c>
      <c r="K2127" s="2" t="s">
        <v>272</v>
      </c>
      <c r="L2127" s="2" t="s">
        <v>73</v>
      </c>
      <c r="M2127" s="2" t="s">
        <v>237</v>
      </c>
      <c r="N2127" s="2" t="s">
        <v>142</v>
      </c>
      <c r="O2127" s="2"/>
      <c r="P2127" s="2"/>
      <c r="Q2127" s="2"/>
    </row>
    <row r="2128" spans="1:17" ht="12.95" customHeight="1" x14ac:dyDescent="0.2">
      <c r="A2128" s="2" t="s">
        <v>143</v>
      </c>
      <c r="B2128" s="2" t="s">
        <v>42</v>
      </c>
      <c r="C2128" s="2" t="s">
        <v>1439</v>
      </c>
      <c r="D2128" s="2" t="s">
        <v>671</v>
      </c>
      <c r="E2128" s="3" t="s">
        <v>1375</v>
      </c>
      <c r="F2128" s="2" t="s">
        <v>46</v>
      </c>
      <c r="G2128" s="2" t="s">
        <v>758</v>
      </c>
      <c r="H2128" s="2" t="s">
        <v>48</v>
      </c>
      <c r="I2128" s="13"/>
      <c r="J2128" s="2" t="s">
        <v>48</v>
      </c>
      <c r="K2128" s="2" t="s">
        <v>414</v>
      </c>
      <c r="L2128" s="2"/>
      <c r="M2128" s="2" t="s">
        <v>414</v>
      </c>
      <c r="N2128" s="2" t="s">
        <v>60</v>
      </c>
      <c r="O2128" s="2"/>
      <c r="P2128" s="2"/>
      <c r="Q2128" s="2"/>
    </row>
    <row r="2129" spans="1:17" ht="12.95" customHeight="1" x14ac:dyDescent="0.2">
      <c r="A2129" s="2" t="s">
        <v>148</v>
      </c>
      <c r="B2129" s="2" t="s">
        <v>42</v>
      </c>
      <c r="C2129" s="2" t="s">
        <v>1459</v>
      </c>
      <c r="D2129" s="2" t="s">
        <v>1460</v>
      </c>
      <c r="E2129" s="3" t="s">
        <v>186</v>
      </c>
      <c r="F2129" s="2" t="s">
        <v>46</v>
      </c>
      <c r="G2129" s="2" t="s">
        <v>1062</v>
      </c>
      <c r="H2129" s="2" t="s">
        <v>48</v>
      </c>
      <c r="I2129" s="13"/>
      <c r="J2129" s="2" t="s">
        <v>48</v>
      </c>
      <c r="K2129" s="2" t="s">
        <v>272</v>
      </c>
      <c r="L2129" s="2" t="s">
        <v>278</v>
      </c>
      <c r="M2129" s="2" t="s">
        <v>460</v>
      </c>
      <c r="N2129" s="2" t="s">
        <v>319</v>
      </c>
      <c r="O2129" s="2"/>
      <c r="P2129" s="2"/>
      <c r="Q2129" s="2"/>
    </row>
    <row r="2130" spans="1:17" ht="12.95" customHeight="1" x14ac:dyDescent="0.2">
      <c r="A2130" s="2" t="s">
        <v>155</v>
      </c>
      <c r="B2130" s="2" t="s">
        <v>42</v>
      </c>
      <c r="C2130" s="2" t="s">
        <v>1001</v>
      </c>
      <c r="D2130" s="2" t="s">
        <v>386</v>
      </c>
      <c r="E2130" s="3" t="s">
        <v>238</v>
      </c>
      <c r="F2130" s="2" t="s">
        <v>46</v>
      </c>
      <c r="G2130" s="2" t="s">
        <v>69</v>
      </c>
      <c r="H2130" s="2" t="s">
        <v>48</v>
      </c>
      <c r="I2130" s="13" t="s">
        <v>120</v>
      </c>
      <c r="J2130" s="2" t="s">
        <v>69</v>
      </c>
      <c r="K2130" s="2"/>
      <c r="L2130" s="2"/>
      <c r="M2130" s="2"/>
      <c r="N2130" s="2" t="s">
        <v>328</v>
      </c>
      <c r="O2130" s="2"/>
      <c r="P2130" s="2"/>
      <c r="Q2130" s="2"/>
    </row>
    <row r="2131" spans="1:17" ht="12.95" customHeight="1" x14ac:dyDescent="0.2">
      <c r="A2131" s="8" t="s">
        <v>161</v>
      </c>
      <c r="B2131" s="8"/>
      <c r="C2131" s="8"/>
      <c r="D2131" s="8"/>
      <c r="E2131" s="5" t="s">
        <v>1461</v>
      </c>
      <c r="F2131" s="5" t="s">
        <v>227</v>
      </c>
      <c r="G2131" s="5" t="s">
        <v>1462</v>
      </c>
      <c r="H2131" s="5" t="s">
        <v>1399</v>
      </c>
      <c r="I2131" s="36" t="s">
        <v>963</v>
      </c>
      <c r="J2131" s="5" t="s">
        <v>1463</v>
      </c>
      <c r="K2131" s="5" t="s">
        <v>1464</v>
      </c>
      <c r="L2131" s="5" t="s">
        <v>250</v>
      </c>
      <c r="M2131" s="5" t="s">
        <v>1465</v>
      </c>
      <c r="N2131" s="5" t="s">
        <v>1466</v>
      </c>
      <c r="O2131" s="5"/>
      <c r="P2131" s="5"/>
      <c r="Q2131" s="5"/>
    </row>
    <row r="2132" spans="1:17" ht="12.95" customHeight="1" x14ac:dyDescent="0.2">
      <c r="A2132" s="8" t="s">
        <v>171</v>
      </c>
      <c r="B2132" s="8"/>
      <c r="C2132" s="8"/>
      <c r="D2132" s="8"/>
      <c r="E2132" s="5" t="s">
        <v>1461</v>
      </c>
      <c r="F2132" s="5" t="s">
        <v>227</v>
      </c>
      <c r="G2132" s="5" t="s">
        <v>1462</v>
      </c>
      <c r="H2132" s="5" t="s">
        <v>1399</v>
      </c>
      <c r="I2132" s="36" t="s">
        <v>296</v>
      </c>
      <c r="J2132" s="5" t="s">
        <v>1463</v>
      </c>
      <c r="K2132" s="5" t="s">
        <v>1464</v>
      </c>
      <c r="L2132" s="5" t="s">
        <v>250</v>
      </c>
      <c r="M2132" s="5" t="s">
        <v>1465</v>
      </c>
      <c r="N2132" s="5" t="s">
        <v>1466</v>
      </c>
      <c r="O2132" s="5"/>
      <c r="P2132" s="5"/>
      <c r="Q2132" s="5"/>
    </row>
    <row r="2133" spans="1:17" ht="12.95" customHeight="1" x14ac:dyDescent="0.2">
      <c r="A2133" s="8" t="s">
        <v>173</v>
      </c>
      <c r="B2133" s="8"/>
      <c r="C2133" s="8"/>
      <c r="D2133" s="8"/>
      <c r="E2133" s="5">
        <v>145.72999999999999</v>
      </c>
      <c r="F2133" s="5">
        <v>7.5</v>
      </c>
      <c r="G2133" s="5">
        <v>138.22999999999999</v>
      </c>
      <c r="H2133" s="5">
        <v>125.8</v>
      </c>
      <c r="I2133" s="36">
        <v>0</v>
      </c>
      <c r="J2133" s="5">
        <v>122.38</v>
      </c>
      <c r="K2133" s="5">
        <v>15.4</v>
      </c>
      <c r="L2133" s="5">
        <v>0.45</v>
      </c>
      <c r="M2133" s="5">
        <v>15.85</v>
      </c>
      <c r="N2133" s="5">
        <v>11.95</v>
      </c>
      <c r="O2133" s="5"/>
      <c r="P2133" s="5"/>
      <c r="Q2133" s="5"/>
    </row>
    <row r="2134" spans="1:17" x14ac:dyDescent="0.2">
      <c r="I2134" s="37"/>
    </row>
    <row r="2135" spans="1:17" ht="12.95" customHeight="1" x14ac:dyDescent="0.2">
      <c r="A2135" s="9" t="s">
        <v>174</v>
      </c>
      <c r="B2135" s="9"/>
      <c r="C2135" s="9"/>
      <c r="E2135" s="9" t="s">
        <v>180</v>
      </c>
      <c r="F2135" s="9"/>
      <c r="G2135" s="9"/>
      <c r="I2135" s="9" t="s">
        <v>181</v>
      </c>
      <c r="J2135" s="9"/>
      <c r="K2135" s="9"/>
    </row>
    <row r="2136" spans="1:17" ht="12.95" customHeight="1" x14ac:dyDescent="0.2">
      <c r="A2136" s="10" t="s">
        <v>175</v>
      </c>
      <c r="B2136" s="10"/>
      <c r="C2136" s="6">
        <v>15</v>
      </c>
      <c r="E2136" s="10" t="s">
        <v>14</v>
      </c>
      <c r="F2136" s="10"/>
      <c r="G2136" s="6">
        <v>122.38</v>
      </c>
      <c r="I2136" s="10" t="s">
        <v>27</v>
      </c>
      <c r="J2136" s="10"/>
      <c r="K2136" s="26">
        <v>3</v>
      </c>
    </row>
    <row r="2137" spans="1:17" ht="12.95" customHeight="1" x14ac:dyDescent="0.2">
      <c r="A2137" s="10" t="s">
        <v>1531</v>
      </c>
      <c r="B2137" s="10"/>
      <c r="C2137" s="6">
        <v>22</v>
      </c>
      <c r="E2137" s="10" t="s">
        <v>15</v>
      </c>
      <c r="F2137" s="10"/>
      <c r="G2137" s="6">
        <v>15.4</v>
      </c>
      <c r="I2137" s="10" t="s">
        <v>22</v>
      </c>
      <c r="J2137" s="10"/>
      <c r="K2137" s="26">
        <v>2</v>
      </c>
    </row>
    <row r="2138" spans="1:17" ht="12.95" customHeight="1" x14ac:dyDescent="0.2">
      <c r="A2138" s="10" t="s">
        <v>176</v>
      </c>
      <c r="B2138" s="10"/>
      <c r="C2138" s="6">
        <v>145.72999999999999</v>
      </c>
      <c r="E2138" s="10" t="s">
        <v>267</v>
      </c>
      <c r="F2138" s="10"/>
      <c r="G2138" s="6">
        <v>0.45</v>
      </c>
      <c r="I2138" s="10" t="s">
        <v>36</v>
      </c>
      <c r="J2138" s="10"/>
      <c r="K2138" s="26">
        <v>2</v>
      </c>
    </row>
    <row r="2139" spans="1:17" ht="12.95" customHeight="1" x14ac:dyDescent="0.2">
      <c r="A2139" s="10" t="s">
        <v>177</v>
      </c>
      <c r="B2139" s="10"/>
      <c r="C2139" s="6">
        <v>125.8</v>
      </c>
      <c r="I2139" s="39" t="s">
        <v>1591</v>
      </c>
      <c r="J2139" s="19"/>
      <c r="K2139" s="20">
        <v>1</v>
      </c>
    </row>
    <row r="2140" spans="1:17" ht="12.95" customHeight="1" x14ac:dyDescent="0.2">
      <c r="A2140" s="10" t="s">
        <v>11</v>
      </c>
      <c r="B2140" s="10"/>
      <c r="C2140" s="6">
        <v>138.22999999999999</v>
      </c>
      <c r="I2140" s="39" t="s">
        <v>1592</v>
      </c>
      <c r="J2140" s="19"/>
      <c r="K2140" s="38">
        <v>2</v>
      </c>
    </row>
    <row r="2141" spans="1:17" ht="12.95" customHeight="1" x14ac:dyDescent="0.25">
      <c r="A2141" s="10" t="s">
        <v>178</v>
      </c>
      <c r="B2141" s="10"/>
      <c r="C2141" s="30">
        <v>3.41</v>
      </c>
      <c r="I2141" s="41" t="s">
        <v>1593</v>
      </c>
      <c r="J2141" s="40"/>
      <c r="K2141" s="42">
        <f>K2139+K2140</f>
        <v>3</v>
      </c>
    </row>
    <row r="2142" spans="1:17" ht="12.95" customHeight="1" x14ac:dyDescent="0.2">
      <c r="A2142" s="28" t="s">
        <v>1571</v>
      </c>
      <c r="B2142" s="27"/>
      <c r="C2142" s="112">
        <v>-2.52</v>
      </c>
    </row>
    <row r="2143" spans="1:17" ht="12.95" customHeight="1" x14ac:dyDescent="0.2">
      <c r="A2143" s="29" t="s">
        <v>1572</v>
      </c>
      <c r="B2143" s="29"/>
      <c r="C2143" s="32">
        <f>C2141+C2142</f>
        <v>0.89000000000000012</v>
      </c>
    </row>
    <row r="2144" spans="1:17" x14ac:dyDescent="0.2">
      <c r="A2144" s="10" t="s">
        <v>10</v>
      </c>
      <c r="B2144" s="10"/>
      <c r="C2144" s="6">
        <v>7.5</v>
      </c>
    </row>
    <row r="2145" spans="1:16" x14ac:dyDescent="0.2">
      <c r="A2145" t="s">
        <v>1615</v>
      </c>
      <c r="C2145" cm="1">
        <f t="array" ref="C2145">IFERROR(SUMPRODUCT(ISNUMBER(SEARCH("מילואים",O2097:O2134))*(C2097:C2134&lt;&gt;"")*(J2097:J2134+0))*24,0)</f>
        <v>0</v>
      </c>
    </row>
    <row r="2146" spans="1:16" ht="12.95" customHeight="1" x14ac:dyDescent="0.2">
      <c r="A2146" s="7" t="s">
        <v>1467</v>
      </c>
      <c r="B2146" s="7"/>
      <c r="C2146" s="7"/>
      <c r="D2146" s="7" t="s">
        <v>1</v>
      </c>
      <c r="E2146" s="7"/>
      <c r="F2146" s="7"/>
      <c r="G2146" s="7"/>
      <c r="H2146" s="7" t="s">
        <v>1237</v>
      </c>
      <c r="I2146" s="7"/>
      <c r="J2146" s="7"/>
      <c r="K2146" s="7"/>
      <c r="L2146" s="7"/>
      <c r="M2146" s="7"/>
      <c r="N2146" s="7"/>
      <c r="O2146" s="7"/>
      <c r="P2146" s="7"/>
    </row>
    <row r="2147" spans="1:16" ht="12.95" customHeight="1" x14ac:dyDescent="0.2">
      <c r="A2147" s="7" t="s">
        <v>3</v>
      </c>
      <c r="B2147" s="7"/>
      <c r="C2147" s="7"/>
      <c r="D2147" s="7"/>
      <c r="E2147" s="7"/>
      <c r="F2147" s="7">
        <v>64</v>
      </c>
      <c r="G2147" s="7"/>
      <c r="H2147" s="7" t="s">
        <v>4</v>
      </c>
      <c r="I2147" s="7"/>
      <c r="J2147" s="7"/>
      <c r="K2147" s="7"/>
      <c r="L2147" s="7"/>
      <c r="M2147" s="7"/>
      <c r="N2147" s="7"/>
      <c r="O2147" s="7"/>
      <c r="P2147" s="7"/>
    </row>
    <row r="2148" spans="1:16" ht="22.5" customHeight="1" x14ac:dyDescent="0.2">
      <c r="A2148" s="1" t="s">
        <v>5</v>
      </c>
      <c r="B2148" s="1" t="s">
        <v>6</v>
      </c>
      <c r="C2148" s="1" t="s">
        <v>7</v>
      </c>
      <c r="D2148" s="1" t="s">
        <v>8</v>
      </c>
      <c r="E2148" s="1" t="s">
        <v>9</v>
      </c>
      <c r="F2148" s="1" t="s">
        <v>10</v>
      </c>
      <c r="G2148" s="1" t="s">
        <v>11</v>
      </c>
      <c r="H2148" s="1" t="s">
        <v>12</v>
      </c>
      <c r="I2148" s="1" t="s">
        <v>13</v>
      </c>
      <c r="J2148" s="1" t="s">
        <v>14</v>
      </c>
      <c r="K2148" s="1" t="s">
        <v>15</v>
      </c>
      <c r="L2148" s="1" t="s">
        <v>16</v>
      </c>
      <c r="M2148" s="1" t="s">
        <v>17</v>
      </c>
      <c r="N2148" s="1" t="s">
        <v>18</v>
      </c>
      <c r="O2148" s="1" t="s">
        <v>19</v>
      </c>
      <c r="P2148" s="1" t="s">
        <v>20</v>
      </c>
    </row>
    <row r="2149" spans="1:16" ht="12.95" customHeight="1" x14ac:dyDescent="0.2">
      <c r="A2149" s="2" t="s">
        <v>21</v>
      </c>
      <c r="B2149" s="2" t="s">
        <v>22</v>
      </c>
      <c r="C2149" s="2"/>
      <c r="D2149" s="2"/>
      <c r="E2149" s="3"/>
      <c r="F2149" s="2"/>
      <c r="G2149" s="2"/>
      <c r="H2149" s="2" t="s">
        <v>23</v>
      </c>
      <c r="I2149" s="12" t="s">
        <v>23</v>
      </c>
      <c r="J2149" s="2"/>
      <c r="K2149" s="2"/>
      <c r="L2149" s="2"/>
      <c r="M2149" s="2"/>
      <c r="N2149" s="2" t="s">
        <v>24</v>
      </c>
      <c r="O2149" s="2" t="s">
        <v>25</v>
      </c>
      <c r="P2149" s="2"/>
    </row>
    <row r="2150" spans="1:16" ht="12.95" customHeight="1" x14ac:dyDescent="0.2">
      <c r="A2150" s="2" t="s">
        <v>26</v>
      </c>
      <c r="B2150" s="2" t="s">
        <v>27</v>
      </c>
      <c r="C2150" s="2"/>
      <c r="D2150" s="2"/>
      <c r="E2150" s="3"/>
      <c r="F2150" s="2"/>
      <c r="G2150" s="2"/>
      <c r="H2150" s="2"/>
      <c r="I2150" s="13"/>
      <c r="J2150" s="2"/>
      <c r="K2150" s="2"/>
      <c r="L2150" s="2"/>
      <c r="M2150" s="2"/>
      <c r="N2150" s="2" t="s">
        <v>28</v>
      </c>
      <c r="O2150" s="2" t="s">
        <v>29</v>
      </c>
      <c r="P2150" s="2"/>
    </row>
    <row r="2151" spans="1:16" ht="12.95" customHeight="1" x14ac:dyDescent="0.2">
      <c r="A2151" s="4" t="s">
        <v>30</v>
      </c>
      <c r="B2151" s="4" t="s">
        <v>31</v>
      </c>
      <c r="C2151" s="4"/>
      <c r="D2151" s="4"/>
      <c r="E2151" s="3"/>
      <c r="F2151" s="4"/>
      <c r="G2151" s="4"/>
      <c r="H2151" s="4"/>
      <c r="I2151" s="35"/>
      <c r="J2151" s="4"/>
      <c r="K2151" s="4"/>
      <c r="L2151" s="4"/>
      <c r="M2151" s="4"/>
      <c r="N2151" s="4"/>
      <c r="O2151" s="4"/>
      <c r="P2151" s="4"/>
    </row>
    <row r="2152" spans="1:16" ht="12.95" customHeight="1" x14ac:dyDescent="0.2">
      <c r="A2152" s="4" t="s">
        <v>32</v>
      </c>
      <c r="B2152" s="4" t="s">
        <v>31</v>
      </c>
      <c r="C2152" s="4"/>
      <c r="D2152" s="4"/>
      <c r="E2152" s="3"/>
      <c r="F2152" s="4"/>
      <c r="G2152" s="4"/>
      <c r="H2152" s="4"/>
      <c r="I2152" s="35"/>
      <c r="J2152" s="4"/>
      <c r="K2152" s="4"/>
      <c r="L2152" s="4"/>
      <c r="M2152" s="4"/>
      <c r="N2152" s="4"/>
      <c r="O2152" s="4"/>
      <c r="P2152" s="4"/>
    </row>
    <row r="2153" spans="1:16" x14ac:dyDescent="0.2">
      <c r="A2153" s="4" t="s">
        <v>33</v>
      </c>
      <c r="B2153" s="4" t="s">
        <v>34</v>
      </c>
      <c r="C2153" s="4" t="s">
        <v>34</v>
      </c>
      <c r="D2153" s="4" t="s">
        <v>34</v>
      </c>
      <c r="E2153" s="4"/>
      <c r="F2153" s="4"/>
      <c r="G2153" s="4"/>
      <c r="H2153" s="4" t="s">
        <v>23</v>
      </c>
      <c r="I2153" s="35" t="s">
        <v>23</v>
      </c>
      <c r="J2153" s="4"/>
      <c r="K2153" s="4"/>
      <c r="L2153" s="4"/>
      <c r="M2153" s="4"/>
      <c r="N2153" s="4"/>
      <c r="O2153" s="4"/>
      <c r="P2153" s="4"/>
    </row>
    <row r="2154" spans="1:16" ht="12.95" customHeight="1" x14ac:dyDescent="0.2">
      <c r="A2154" s="2" t="s">
        <v>35</v>
      </c>
      <c r="B2154" s="2" t="s">
        <v>36</v>
      </c>
      <c r="C2154" s="2"/>
      <c r="D2154" s="2"/>
      <c r="E2154" s="3"/>
      <c r="F2154" s="2"/>
      <c r="G2154" s="2"/>
      <c r="H2154" s="2"/>
      <c r="I2154" s="13"/>
      <c r="J2154" s="2"/>
      <c r="K2154" s="2"/>
      <c r="L2154" s="2"/>
      <c r="M2154" s="2"/>
      <c r="N2154" s="2" t="s">
        <v>37</v>
      </c>
      <c r="O2154" s="2"/>
      <c r="P2154" s="2"/>
    </row>
    <row r="2155" spans="1:16" ht="12.95" customHeight="1" x14ac:dyDescent="0.2">
      <c r="A2155" s="2" t="s">
        <v>38</v>
      </c>
      <c r="B2155" s="2" t="s">
        <v>36</v>
      </c>
      <c r="C2155" s="2"/>
      <c r="D2155" s="2"/>
      <c r="E2155" s="3"/>
      <c r="F2155" s="2"/>
      <c r="G2155" s="2"/>
      <c r="H2155" s="2"/>
      <c r="I2155" s="13"/>
      <c r="J2155" s="2"/>
      <c r="K2155" s="2"/>
      <c r="L2155" s="2"/>
      <c r="M2155" s="2"/>
      <c r="N2155" s="2" t="s">
        <v>37</v>
      </c>
      <c r="O2155" s="2"/>
      <c r="P2155" s="2"/>
    </row>
    <row r="2156" spans="1:16" ht="12.95" customHeight="1" x14ac:dyDescent="0.2">
      <c r="A2156" s="2" t="s">
        <v>39</v>
      </c>
      <c r="B2156" s="2" t="s">
        <v>22</v>
      </c>
      <c r="C2156" s="2"/>
      <c r="D2156" s="2"/>
      <c r="E2156" s="3"/>
      <c r="F2156" s="2"/>
      <c r="G2156" s="2"/>
      <c r="H2156" s="2" t="s">
        <v>23</v>
      </c>
      <c r="I2156" s="12" t="s">
        <v>23</v>
      </c>
      <c r="J2156" s="2"/>
      <c r="K2156" s="2"/>
      <c r="L2156" s="2"/>
      <c r="M2156" s="2"/>
      <c r="N2156" s="2" t="s">
        <v>24</v>
      </c>
      <c r="O2156" s="2" t="s">
        <v>25</v>
      </c>
      <c r="P2156" s="2"/>
    </row>
    <row r="2157" spans="1:16" ht="12.95" customHeight="1" x14ac:dyDescent="0.2">
      <c r="A2157" s="2" t="s">
        <v>40</v>
      </c>
      <c r="B2157" s="2" t="s">
        <v>27</v>
      </c>
      <c r="C2157" s="2"/>
      <c r="D2157" s="2"/>
      <c r="E2157" s="3"/>
      <c r="F2157" s="2"/>
      <c r="G2157" s="2"/>
      <c r="H2157" s="2"/>
      <c r="I2157" s="13"/>
      <c r="J2157" s="2"/>
      <c r="K2157" s="2"/>
      <c r="L2157" s="2"/>
      <c r="M2157" s="2"/>
      <c r="N2157" s="2" t="s">
        <v>28</v>
      </c>
      <c r="O2157" s="2" t="s">
        <v>25</v>
      </c>
      <c r="P2157" s="2"/>
    </row>
    <row r="2158" spans="1:16" ht="12.95" customHeight="1" x14ac:dyDescent="0.2">
      <c r="A2158" s="2" t="s">
        <v>41</v>
      </c>
      <c r="B2158" s="2" t="s">
        <v>42</v>
      </c>
      <c r="C2158" s="2" t="s">
        <v>1456</v>
      </c>
      <c r="D2158" s="2" t="s">
        <v>1245</v>
      </c>
      <c r="E2158" s="3" t="s">
        <v>359</v>
      </c>
      <c r="F2158" s="2" t="s">
        <v>46</v>
      </c>
      <c r="G2158" s="2" t="s">
        <v>878</v>
      </c>
      <c r="H2158" s="2" t="s">
        <v>48</v>
      </c>
      <c r="I2158" s="13"/>
      <c r="J2158" s="2" t="s">
        <v>48</v>
      </c>
      <c r="K2158" s="2" t="s">
        <v>249</v>
      </c>
      <c r="L2158" s="2" t="s">
        <v>249</v>
      </c>
      <c r="M2158" s="2" t="s">
        <v>360</v>
      </c>
      <c r="N2158" s="2"/>
      <c r="O2158" s="2"/>
      <c r="P2158" s="2"/>
    </row>
    <row r="2159" spans="1:16" ht="12.95" customHeight="1" x14ac:dyDescent="0.2">
      <c r="A2159" s="4" t="s">
        <v>51</v>
      </c>
      <c r="B2159" s="4" t="s">
        <v>31</v>
      </c>
      <c r="C2159" s="4"/>
      <c r="D2159" s="4"/>
      <c r="E2159" s="3"/>
      <c r="F2159" s="4"/>
      <c r="G2159" s="4"/>
      <c r="H2159" s="4"/>
      <c r="I2159" s="35"/>
      <c r="J2159" s="4"/>
      <c r="K2159" s="4"/>
      <c r="L2159" s="4"/>
      <c r="M2159" s="4"/>
      <c r="N2159" s="4"/>
      <c r="O2159" s="4"/>
      <c r="P2159" s="4"/>
    </row>
    <row r="2160" spans="1:16" ht="12.95" customHeight="1" x14ac:dyDescent="0.2">
      <c r="A2160" s="4" t="s">
        <v>52</v>
      </c>
      <c r="B2160" s="4" t="s">
        <v>31</v>
      </c>
      <c r="C2160" s="4"/>
      <c r="D2160" s="4"/>
      <c r="E2160" s="3"/>
      <c r="F2160" s="4"/>
      <c r="G2160" s="4"/>
      <c r="H2160" s="4"/>
      <c r="I2160" s="35"/>
      <c r="J2160" s="4"/>
      <c r="K2160" s="4"/>
      <c r="L2160" s="4"/>
      <c r="M2160" s="4"/>
      <c r="N2160" s="4"/>
      <c r="O2160" s="4"/>
      <c r="P2160" s="4"/>
    </row>
    <row r="2161" spans="1:16" x14ac:dyDescent="0.2">
      <c r="A2161" s="4" t="s">
        <v>33</v>
      </c>
      <c r="B2161" s="4" t="s">
        <v>34</v>
      </c>
      <c r="C2161" s="4" t="s">
        <v>34</v>
      </c>
      <c r="D2161" s="4" t="s">
        <v>34</v>
      </c>
      <c r="E2161" s="4" t="s">
        <v>359</v>
      </c>
      <c r="F2161" s="4" t="s">
        <v>46</v>
      </c>
      <c r="G2161" s="4" t="s">
        <v>878</v>
      </c>
      <c r="H2161" s="4" t="s">
        <v>53</v>
      </c>
      <c r="I2161" s="35" t="s">
        <v>23</v>
      </c>
      <c r="J2161" s="4" t="s">
        <v>48</v>
      </c>
      <c r="K2161" s="4" t="s">
        <v>249</v>
      </c>
      <c r="L2161" s="4" t="s">
        <v>249</v>
      </c>
      <c r="M2161" s="4" t="s">
        <v>360</v>
      </c>
      <c r="N2161" s="4"/>
      <c r="O2161" s="4"/>
      <c r="P2161" s="4"/>
    </row>
    <row r="2162" spans="1:16" ht="12.95" customHeight="1" x14ac:dyDescent="0.2">
      <c r="A2162" s="2" t="s">
        <v>54</v>
      </c>
      <c r="B2162" s="2" t="s">
        <v>42</v>
      </c>
      <c r="C2162" s="2" t="s">
        <v>1383</v>
      </c>
      <c r="D2162" s="2" t="s">
        <v>724</v>
      </c>
      <c r="E2162" s="3" t="s">
        <v>303</v>
      </c>
      <c r="F2162" s="2" t="s">
        <v>46</v>
      </c>
      <c r="G2162" s="2" t="s">
        <v>201</v>
      </c>
      <c r="H2162" s="2" t="s">
        <v>48</v>
      </c>
      <c r="I2162" s="13"/>
      <c r="J2162" s="2" t="s">
        <v>48</v>
      </c>
      <c r="K2162" s="2" t="s">
        <v>273</v>
      </c>
      <c r="L2162" s="2" t="s">
        <v>273</v>
      </c>
      <c r="M2162" s="2" t="s">
        <v>95</v>
      </c>
      <c r="N2162" s="2"/>
      <c r="O2162" s="2"/>
      <c r="P2162" s="2"/>
    </row>
    <row r="2163" spans="1:16" ht="12.95" customHeight="1" x14ac:dyDescent="0.2">
      <c r="A2163" s="2" t="s">
        <v>61</v>
      </c>
      <c r="B2163" s="2" t="s">
        <v>42</v>
      </c>
      <c r="C2163" s="2" t="s">
        <v>1383</v>
      </c>
      <c r="D2163" s="2" t="s">
        <v>1468</v>
      </c>
      <c r="E2163" s="3" t="s">
        <v>404</v>
      </c>
      <c r="F2163" s="2" t="s">
        <v>46</v>
      </c>
      <c r="G2163" s="2" t="s">
        <v>827</v>
      </c>
      <c r="H2163" s="2" t="s">
        <v>48</v>
      </c>
      <c r="I2163" s="13"/>
      <c r="J2163" s="2" t="s">
        <v>48</v>
      </c>
      <c r="K2163" s="2" t="s">
        <v>490</v>
      </c>
      <c r="L2163" s="2" t="s">
        <v>490</v>
      </c>
      <c r="M2163" s="2" t="s">
        <v>95</v>
      </c>
      <c r="N2163" s="2"/>
      <c r="O2163" s="2"/>
      <c r="P2163" s="2"/>
    </row>
    <row r="2164" spans="1:16" ht="12.95" customHeight="1" x14ac:dyDescent="0.2">
      <c r="A2164" s="2" t="s">
        <v>68</v>
      </c>
      <c r="B2164" s="2" t="s">
        <v>42</v>
      </c>
      <c r="C2164" s="2" t="s">
        <v>1469</v>
      </c>
      <c r="D2164" s="2" t="s">
        <v>1268</v>
      </c>
      <c r="E2164" s="3" t="s">
        <v>140</v>
      </c>
      <c r="F2164" s="2" t="s">
        <v>46</v>
      </c>
      <c r="G2164" s="2" t="s">
        <v>141</v>
      </c>
      <c r="H2164" s="2" t="s">
        <v>48</v>
      </c>
      <c r="I2164" s="13"/>
      <c r="J2164" s="2" t="s">
        <v>48</v>
      </c>
      <c r="K2164" s="2" t="s">
        <v>142</v>
      </c>
      <c r="L2164" s="2" t="s">
        <v>142</v>
      </c>
      <c r="M2164" s="2" t="s">
        <v>137</v>
      </c>
      <c r="N2164" s="2"/>
      <c r="O2164" s="2"/>
      <c r="P2164" s="2"/>
    </row>
    <row r="2165" spans="1:16" ht="12.95" customHeight="1" x14ac:dyDescent="0.2">
      <c r="A2165" s="2" t="s">
        <v>75</v>
      </c>
      <c r="B2165" s="2" t="s">
        <v>42</v>
      </c>
      <c r="C2165" s="2"/>
      <c r="D2165" s="2"/>
      <c r="E2165" s="3"/>
      <c r="F2165" s="2"/>
      <c r="G2165" s="2"/>
      <c r="H2165" s="2"/>
      <c r="I2165" s="13"/>
      <c r="J2165" s="2"/>
      <c r="K2165" s="2"/>
      <c r="L2165" s="2"/>
      <c r="M2165" s="2"/>
      <c r="N2165" s="2" t="s">
        <v>1011</v>
      </c>
      <c r="O2165" s="2"/>
      <c r="P2165" s="2"/>
    </row>
    <row r="2166" spans="1:16" ht="12.95" customHeight="1" x14ac:dyDescent="0.2">
      <c r="A2166" s="2" t="s">
        <v>81</v>
      </c>
      <c r="B2166" s="2" t="s">
        <v>42</v>
      </c>
      <c r="C2166" s="2"/>
      <c r="D2166" s="2"/>
      <c r="E2166" s="3"/>
      <c r="F2166" s="2"/>
      <c r="G2166" s="2"/>
      <c r="H2166" s="2"/>
      <c r="I2166" s="13"/>
      <c r="J2166" s="2"/>
      <c r="K2166" s="2"/>
      <c r="L2166" s="2"/>
      <c r="M2166" s="2"/>
      <c r="N2166" s="2" t="s">
        <v>1011</v>
      </c>
      <c r="O2166" s="2"/>
      <c r="P2166" s="2"/>
    </row>
    <row r="2167" spans="1:16" ht="12.95" customHeight="1" x14ac:dyDescent="0.2">
      <c r="A2167" s="4" t="s">
        <v>87</v>
      </c>
      <c r="B2167" s="4" t="s">
        <v>31</v>
      </c>
      <c r="C2167" s="4"/>
      <c r="D2167" s="4"/>
      <c r="E2167" s="3"/>
      <c r="F2167" s="4"/>
      <c r="G2167" s="4"/>
      <c r="H2167" s="4"/>
      <c r="I2167" s="35"/>
      <c r="J2167" s="4"/>
      <c r="K2167" s="4"/>
      <c r="L2167" s="4"/>
      <c r="M2167" s="4"/>
      <c r="N2167" s="4"/>
      <c r="O2167" s="4"/>
      <c r="P2167" s="4"/>
    </row>
    <row r="2168" spans="1:16" ht="12.95" customHeight="1" x14ac:dyDescent="0.2">
      <c r="A2168" s="4" t="s">
        <v>88</v>
      </c>
      <c r="B2168" s="4" t="s">
        <v>31</v>
      </c>
      <c r="C2168" s="4"/>
      <c r="D2168" s="4"/>
      <c r="E2168" s="3"/>
      <c r="F2168" s="4"/>
      <c r="G2168" s="4"/>
      <c r="H2168" s="4"/>
      <c r="I2168" s="35"/>
      <c r="J2168" s="4"/>
      <c r="K2168" s="4"/>
      <c r="L2168" s="4"/>
      <c r="M2168" s="4"/>
      <c r="N2168" s="4"/>
      <c r="O2168" s="4"/>
      <c r="P2168" s="4"/>
    </row>
    <row r="2169" spans="1:16" x14ac:dyDescent="0.2">
      <c r="A2169" s="4" t="s">
        <v>33</v>
      </c>
      <c r="B2169" s="4" t="s">
        <v>34</v>
      </c>
      <c r="C2169" s="4" t="s">
        <v>34</v>
      </c>
      <c r="D2169" s="4" t="s">
        <v>34</v>
      </c>
      <c r="E2169" s="4" t="s">
        <v>1470</v>
      </c>
      <c r="F2169" s="4" t="s">
        <v>125</v>
      </c>
      <c r="G2169" s="4" t="s">
        <v>1471</v>
      </c>
      <c r="H2169" s="4" t="s">
        <v>352</v>
      </c>
      <c r="I2169" s="35"/>
      <c r="J2169" s="4" t="s">
        <v>352</v>
      </c>
      <c r="K2169" s="4" t="s">
        <v>282</v>
      </c>
      <c r="L2169" s="4" t="s">
        <v>282</v>
      </c>
      <c r="M2169" s="4" t="s">
        <v>1472</v>
      </c>
      <c r="N2169" s="4"/>
      <c r="O2169" s="4"/>
      <c r="P2169" s="4"/>
    </row>
    <row r="2170" spans="1:16" ht="12.95" customHeight="1" x14ac:dyDescent="0.2">
      <c r="A2170" s="2" t="s">
        <v>97</v>
      </c>
      <c r="B2170" s="2" t="s">
        <v>42</v>
      </c>
      <c r="C2170" s="2" t="s">
        <v>617</v>
      </c>
      <c r="D2170" s="2" t="s">
        <v>1473</v>
      </c>
      <c r="E2170" s="3" t="s">
        <v>358</v>
      </c>
      <c r="F2170" s="2" t="s">
        <v>46</v>
      </c>
      <c r="G2170" s="2" t="s">
        <v>359</v>
      </c>
      <c r="H2170" s="2" t="s">
        <v>48</v>
      </c>
      <c r="I2170" s="13"/>
      <c r="J2170" s="2" t="s">
        <v>48</v>
      </c>
      <c r="K2170" s="2" t="s">
        <v>360</v>
      </c>
      <c r="L2170" s="2" t="s">
        <v>360</v>
      </c>
      <c r="M2170" s="2" t="s">
        <v>302</v>
      </c>
      <c r="N2170" s="2"/>
      <c r="O2170" s="2"/>
      <c r="P2170" s="2"/>
    </row>
    <row r="2171" spans="1:16" ht="12.95" customHeight="1" x14ac:dyDescent="0.2">
      <c r="A2171" s="2" t="s">
        <v>104</v>
      </c>
      <c r="B2171" s="2" t="s">
        <v>42</v>
      </c>
      <c r="C2171" s="2" t="s">
        <v>1474</v>
      </c>
      <c r="D2171" s="2" t="s">
        <v>1393</v>
      </c>
      <c r="E2171" s="3" t="s">
        <v>327</v>
      </c>
      <c r="F2171" s="2" t="s">
        <v>46</v>
      </c>
      <c r="G2171" s="2" t="s">
        <v>1165</v>
      </c>
      <c r="H2171" s="2" t="s">
        <v>108</v>
      </c>
      <c r="I2171" s="13"/>
      <c r="J2171" s="2" t="s">
        <v>48</v>
      </c>
      <c r="K2171" s="2" t="s">
        <v>66</v>
      </c>
      <c r="L2171" s="2" t="s">
        <v>1141</v>
      </c>
      <c r="M2171" s="2" t="s">
        <v>414</v>
      </c>
      <c r="N2171" s="2"/>
      <c r="O2171" s="2"/>
      <c r="P2171" s="2"/>
    </row>
    <row r="2172" spans="1:16" ht="12.95" customHeight="1" x14ac:dyDescent="0.2">
      <c r="A2172" s="2" t="s">
        <v>112</v>
      </c>
      <c r="B2172" s="2" t="s">
        <v>22</v>
      </c>
      <c r="C2172" s="2" t="s">
        <v>1383</v>
      </c>
      <c r="D2172" s="2" t="s">
        <v>724</v>
      </c>
      <c r="E2172" s="3" t="s">
        <v>303</v>
      </c>
      <c r="F2172" s="2" t="s">
        <v>46</v>
      </c>
      <c r="G2172" s="2" t="s">
        <v>201</v>
      </c>
      <c r="H2172" s="2" t="s">
        <v>113</v>
      </c>
      <c r="I2172" s="13"/>
      <c r="J2172" s="2" t="s">
        <v>113</v>
      </c>
      <c r="K2172" s="2" t="s">
        <v>154</v>
      </c>
      <c r="L2172" s="2" t="s">
        <v>154</v>
      </c>
      <c r="M2172" s="2"/>
      <c r="N2172" s="2" t="s">
        <v>24</v>
      </c>
      <c r="O2172" s="2" t="s">
        <v>111</v>
      </c>
      <c r="P2172" s="2"/>
    </row>
    <row r="2173" spans="1:16" ht="12.95" customHeight="1" x14ac:dyDescent="0.2">
      <c r="A2173" s="2" t="s">
        <v>114</v>
      </c>
      <c r="B2173" s="2" t="s">
        <v>27</v>
      </c>
      <c r="C2173" s="2"/>
      <c r="D2173" s="2"/>
      <c r="E2173" s="3"/>
      <c r="F2173" s="2"/>
      <c r="G2173" s="2"/>
      <c r="H2173" s="2"/>
      <c r="I2173" s="13"/>
      <c r="J2173" s="2"/>
      <c r="K2173" s="2"/>
      <c r="L2173" s="2"/>
      <c r="M2173" s="2"/>
      <c r="N2173" s="2" t="s">
        <v>28</v>
      </c>
      <c r="O2173" s="2" t="s">
        <v>111</v>
      </c>
      <c r="P2173" s="2"/>
    </row>
    <row r="2174" spans="1:16" ht="12.95" customHeight="1" x14ac:dyDescent="0.2">
      <c r="A2174" s="2" t="s">
        <v>115</v>
      </c>
      <c r="B2174" s="2" t="s">
        <v>42</v>
      </c>
      <c r="C2174" s="2" t="s">
        <v>1475</v>
      </c>
      <c r="D2174" s="2" t="s">
        <v>1476</v>
      </c>
      <c r="E2174" s="3" t="s">
        <v>184</v>
      </c>
      <c r="F2174" s="2" t="s">
        <v>46</v>
      </c>
      <c r="G2174" s="2" t="s">
        <v>53</v>
      </c>
      <c r="H2174" s="2" t="s">
        <v>48</v>
      </c>
      <c r="I2174" s="13"/>
      <c r="J2174" s="2" t="s">
        <v>48</v>
      </c>
      <c r="K2174" s="2" t="s">
        <v>23</v>
      </c>
      <c r="L2174" s="2" t="s">
        <v>23</v>
      </c>
      <c r="M2174" s="2" t="s">
        <v>475</v>
      </c>
      <c r="N2174" s="2"/>
      <c r="O2174" s="2"/>
      <c r="P2174" s="2"/>
    </row>
    <row r="2175" spans="1:16" ht="12.95" customHeight="1" x14ac:dyDescent="0.2">
      <c r="A2175" s="4" t="s">
        <v>122</v>
      </c>
      <c r="B2175" s="4" t="s">
        <v>31</v>
      </c>
      <c r="C2175" s="4"/>
      <c r="D2175" s="4"/>
      <c r="E2175" s="3"/>
      <c r="F2175" s="4"/>
      <c r="G2175" s="4"/>
      <c r="H2175" s="4"/>
      <c r="I2175" s="35"/>
      <c r="J2175" s="4"/>
      <c r="K2175" s="4"/>
      <c r="L2175" s="4"/>
      <c r="M2175" s="4"/>
      <c r="N2175" s="4"/>
      <c r="O2175" s="4"/>
      <c r="P2175" s="4"/>
    </row>
    <row r="2176" spans="1:16" ht="12.95" customHeight="1" x14ac:dyDescent="0.2">
      <c r="A2176" s="4" t="s">
        <v>123</v>
      </c>
      <c r="B2176" s="4" t="s">
        <v>31</v>
      </c>
      <c r="C2176" s="4"/>
      <c r="D2176" s="4"/>
      <c r="E2176" s="3"/>
      <c r="F2176" s="4"/>
      <c r="G2176" s="4"/>
      <c r="H2176" s="4"/>
      <c r="I2176" s="35"/>
      <c r="J2176" s="4"/>
      <c r="K2176" s="4"/>
      <c r="L2176" s="4"/>
      <c r="M2176" s="4"/>
      <c r="N2176" s="4"/>
      <c r="O2176" s="4"/>
      <c r="P2176" s="4"/>
    </row>
    <row r="2177" spans="1:16" x14ac:dyDescent="0.2">
      <c r="A2177" s="4" t="s">
        <v>33</v>
      </c>
      <c r="B2177" s="4" t="s">
        <v>34</v>
      </c>
      <c r="C2177" s="4" t="s">
        <v>34</v>
      </c>
      <c r="D2177" s="4" t="s">
        <v>34</v>
      </c>
      <c r="E2177" s="4" t="s">
        <v>1477</v>
      </c>
      <c r="F2177" s="4" t="s">
        <v>272</v>
      </c>
      <c r="G2177" s="4" t="s">
        <v>1478</v>
      </c>
      <c r="H2177" s="4" t="s">
        <v>127</v>
      </c>
      <c r="I2177" s="35"/>
      <c r="J2177" s="4" t="s">
        <v>1259</v>
      </c>
      <c r="K2177" s="4" t="s">
        <v>650</v>
      </c>
      <c r="L2177" s="4" t="s">
        <v>1254</v>
      </c>
      <c r="M2177" s="4" t="s">
        <v>1389</v>
      </c>
      <c r="N2177" s="4"/>
      <c r="O2177" s="4"/>
      <c r="P2177" s="4"/>
    </row>
    <row r="2178" spans="1:16" ht="12.95" customHeight="1" x14ac:dyDescent="0.2">
      <c r="A2178" s="2" t="s">
        <v>131</v>
      </c>
      <c r="B2178" s="2" t="s">
        <v>42</v>
      </c>
      <c r="C2178" s="2" t="s">
        <v>1383</v>
      </c>
      <c r="D2178" s="2" t="s">
        <v>724</v>
      </c>
      <c r="E2178" s="3" t="s">
        <v>303</v>
      </c>
      <c r="F2178" s="2" t="s">
        <v>46</v>
      </c>
      <c r="G2178" s="2" t="s">
        <v>201</v>
      </c>
      <c r="H2178" s="2" t="s">
        <v>48</v>
      </c>
      <c r="I2178" s="13"/>
      <c r="J2178" s="2" t="s">
        <v>48</v>
      </c>
      <c r="K2178" s="2" t="s">
        <v>273</v>
      </c>
      <c r="L2178" s="2" t="s">
        <v>273</v>
      </c>
      <c r="M2178" s="2" t="s">
        <v>95</v>
      </c>
      <c r="N2178" s="2"/>
      <c r="O2178" s="2"/>
      <c r="P2178" s="2"/>
    </row>
    <row r="2179" spans="1:16" ht="12.95" customHeight="1" x14ac:dyDescent="0.2">
      <c r="A2179" s="2" t="s">
        <v>138</v>
      </c>
      <c r="B2179" s="2" t="s">
        <v>42</v>
      </c>
      <c r="C2179" s="2" t="s">
        <v>1479</v>
      </c>
      <c r="D2179" s="2" t="s">
        <v>618</v>
      </c>
      <c r="E2179" s="3" t="s">
        <v>151</v>
      </c>
      <c r="F2179" s="2" t="s">
        <v>46</v>
      </c>
      <c r="G2179" s="2" t="s">
        <v>152</v>
      </c>
      <c r="H2179" s="2" t="s">
        <v>48</v>
      </c>
      <c r="I2179" s="13"/>
      <c r="J2179" s="2" t="s">
        <v>48</v>
      </c>
      <c r="K2179" s="2" t="s">
        <v>153</v>
      </c>
      <c r="L2179" s="2" t="s">
        <v>153</v>
      </c>
      <c r="M2179" s="2" t="s">
        <v>658</v>
      </c>
      <c r="N2179" s="2"/>
      <c r="O2179" s="2"/>
      <c r="P2179" s="2"/>
    </row>
    <row r="2180" spans="1:16" ht="12.95" customHeight="1" x14ac:dyDescent="0.2">
      <c r="A2180" s="2" t="s">
        <v>143</v>
      </c>
      <c r="B2180" s="2" t="s">
        <v>42</v>
      </c>
      <c r="C2180" s="2" t="s">
        <v>617</v>
      </c>
      <c r="D2180" s="2" t="s">
        <v>1393</v>
      </c>
      <c r="E2180" s="3" t="s">
        <v>233</v>
      </c>
      <c r="F2180" s="2" t="s">
        <v>46</v>
      </c>
      <c r="G2180" s="2" t="s">
        <v>220</v>
      </c>
      <c r="H2180" s="2" t="s">
        <v>48</v>
      </c>
      <c r="I2180" s="13"/>
      <c r="J2180" s="2" t="s">
        <v>48</v>
      </c>
      <c r="K2180" s="2" t="s">
        <v>315</v>
      </c>
      <c r="L2180" s="2" t="s">
        <v>315</v>
      </c>
      <c r="M2180" s="2" t="s">
        <v>302</v>
      </c>
      <c r="N2180" s="2"/>
      <c r="O2180" s="2"/>
      <c r="P2180" s="2"/>
    </row>
    <row r="2181" spans="1:16" ht="12.95" customHeight="1" x14ac:dyDescent="0.2">
      <c r="A2181" s="2" t="s">
        <v>148</v>
      </c>
      <c r="B2181" s="2" t="s">
        <v>42</v>
      </c>
      <c r="C2181" s="2" t="s">
        <v>1480</v>
      </c>
      <c r="D2181" s="2" t="s">
        <v>1481</v>
      </c>
      <c r="E2181" s="3" t="s">
        <v>404</v>
      </c>
      <c r="F2181" s="2" t="s">
        <v>46</v>
      </c>
      <c r="G2181" s="2" t="s">
        <v>827</v>
      </c>
      <c r="H2181" s="2" t="s">
        <v>48</v>
      </c>
      <c r="I2181" s="13"/>
      <c r="J2181" s="2" t="s">
        <v>48</v>
      </c>
      <c r="K2181" s="2" t="s">
        <v>490</v>
      </c>
      <c r="L2181" s="2" t="s">
        <v>490</v>
      </c>
      <c r="M2181" s="2" t="s">
        <v>679</v>
      </c>
      <c r="N2181" s="2"/>
      <c r="O2181" s="2"/>
      <c r="P2181" s="2"/>
    </row>
    <row r="2182" spans="1:16" ht="12.95" customHeight="1" x14ac:dyDescent="0.2">
      <c r="A2182" s="2" t="s">
        <v>155</v>
      </c>
      <c r="B2182" s="2" t="s">
        <v>42</v>
      </c>
      <c r="C2182" s="2"/>
      <c r="D2182" s="2"/>
      <c r="E2182" s="3"/>
      <c r="F2182" s="2"/>
      <c r="G2182" s="2"/>
      <c r="H2182" s="2"/>
      <c r="I2182" s="13"/>
      <c r="J2182" s="2"/>
      <c r="K2182" s="2"/>
      <c r="L2182" s="2"/>
      <c r="M2182" s="2"/>
      <c r="N2182" s="2" t="s">
        <v>214</v>
      </c>
      <c r="O2182" s="2"/>
      <c r="P2182" s="2"/>
    </row>
    <row r="2183" spans="1:16" ht="12.95" customHeight="1" x14ac:dyDescent="0.2">
      <c r="A2183" s="8" t="s">
        <v>161</v>
      </c>
      <c r="B2183" s="8"/>
      <c r="C2183" s="8"/>
      <c r="D2183" s="8"/>
      <c r="E2183" s="5" t="s">
        <v>1482</v>
      </c>
      <c r="F2183" s="5" t="s">
        <v>503</v>
      </c>
      <c r="G2183" s="5" t="s">
        <v>1483</v>
      </c>
      <c r="H2183" s="5" t="s">
        <v>1484</v>
      </c>
      <c r="I2183" s="36" t="s">
        <v>319</v>
      </c>
      <c r="J2183" s="5" t="s">
        <v>1485</v>
      </c>
      <c r="K2183" s="5" t="s">
        <v>1486</v>
      </c>
      <c r="L2183" s="5" t="s">
        <v>864</v>
      </c>
      <c r="M2183" s="5" t="s">
        <v>1487</v>
      </c>
      <c r="N2183" s="5"/>
      <c r="O2183" s="5"/>
      <c r="P2183" s="5"/>
    </row>
    <row r="2184" spans="1:16" ht="12.95" customHeight="1" x14ac:dyDescent="0.2">
      <c r="A2184" s="8" t="s">
        <v>171</v>
      </c>
      <c r="B2184" s="8"/>
      <c r="C2184" s="8"/>
      <c r="D2184" s="8"/>
      <c r="E2184" s="5" t="s">
        <v>1482</v>
      </c>
      <c r="F2184" s="5" t="s">
        <v>503</v>
      </c>
      <c r="G2184" s="5" t="s">
        <v>1483</v>
      </c>
      <c r="H2184" s="5" t="s">
        <v>1484</v>
      </c>
      <c r="I2184" s="36" t="s">
        <v>296</v>
      </c>
      <c r="J2184" s="5" t="s">
        <v>1485</v>
      </c>
      <c r="K2184" s="5" t="s">
        <v>1486</v>
      </c>
      <c r="L2184" s="5" t="s">
        <v>864</v>
      </c>
      <c r="M2184" s="5" t="s">
        <v>1487</v>
      </c>
      <c r="N2184" s="5"/>
      <c r="O2184" s="5"/>
      <c r="P2184" s="5"/>
    </row>
    <row r="2185" spans="1:16" ht="12.95" customHeight="1" x14ac:dyDescent="0.2">
      <c r="A2185" s="8" t="s">
        <v>173</v>
      </c>
      <c r="B2185" s="8"/>
      <c r="C2185" s="8"/>
      <c r="D2185" s="8"/>
      <c r="E2185" s="5">
        <v>110.36</v>
      </c>
      <c r="F2185" s="5">
        <v>6</v>
      </c>
      <c r="G2185" s="5">
        <v>104.36</v>
      </c>
      <c r="H2185" s="5">
        <v>93.6</v>
      </c>
      <c r="I2185" s="36">
        <v>0</v>
      </c>
      <c r="J2185" s="5">
        <v>99.8</v>
      </c>
      <c r="K2185" s="5">
        <v>4.5599999999999996</v>
      </c>
      <c r="L2185" s="5">
        <v>11.56</v>
      </c>
      <c r="M2185" s="5">
        <v>12.81</v>
      </c>
      <c r="N2185" s="5"/>
      <c r="O2185" s="5"/>
      <c r="P2185" s="5"/>
    </row>
    <row r="2186" spans="1:16" x14ac:dyDescent="0.2">
      <c r="I2186" s="37"/>
    </row>
    <row r="2187" spans="1:16" ht="12.95" customHeight="1" x14ac:dyDescent="0.2">
      <c r="A2187" s="9" t="s">
        <v>174</v>
      </c>
      <c r="B2187" s="9"/>
      <c r="C2187" s="9"/>
      <c r="E2187" s="9" t="s">
        <v>180</v>
      </c>
      <c r="F2187" s="9"/>
      <c r="G2187" s="9"/>
      <c r="I2187" s="9" t="s">
        <v>181</v>
      </c>
      <c r="J2187" s="9"/>
      <c r="K2187" s="9"/>
    </row>
    <row r="2188" spans="1:16" ht="12.95" customHeight="1" x14ac:dyDescent="0.2">
      <c r="A2188" s="10" t="s">
        <v>175</v>
      </c>
      <c r="B2188" s="10"/>
      <c r="C2188" s="6">
        <v>12</v>
      </c>
      <c r="E2188" s="10" t="s">
        <v>14</v>
      </c>
      <c r="F2188" s="10"/>
      <c r="G2188" s="6">
        <v>99.8</v>
      </c>
      <c r="I2188" s="10" t="s">
        <v>1019</v>
      </c>
      <c r="J2188" s="10"/>
      <c r="K2188" s="6">
        <v>2</v>
      </c>
    </row>
    <row r="2189" spans="1:16" ht="12.95" customHeight="1" x14ac:dyDescent="0.2">
      <c r="A2189" s="10" t="s">
        <v>1531</v>
      </c>
      <c r="B2189" s="10"/>
      <c r="C2189" s="6">
        <v>20.5</v>
      </c>
      <c r="E2189" s="10" t="s">
        <v>15</v>
      </c>
      <c r="F2189" s="10"/>
      <c r="G2189" s="6">
        <v>4.5599999999999996</v>
      </c>
      <c r="I2189" s="10" t="s">
        <v>1768</v>
      </c>
      <c r="J2189" s="10"/>
      <c r="K2189" s="6">
        <v>1.5</v>
      </c>
    </row>
    <row r="2190" spans="1:16" ht="12.95" customHeight="1" x14ac:dyDescent="0.2">
      <c r="A2190" s="10" t="s">
        <v>176</v>
      </c>
      <c r="B2190" s="10"/>
      <c r="C2190" s="6">
        <v>110.36</v>
      </c>
      <c r="I2190" s="10" t="s">
        <v>265</v>
      </c>
      <c r="J2190" s="10"/>
      <c r="K2190" s="6">
        <v>1</v>
      </c>
    </row>
    <row r="2191" spans="1:16" ht="12.95" customHeight="1" x14ac:dyDescent="0.2">
      <c r="A2191" s="10" t="s">
        <v>177</v>
      </c>
      <c r="B2191" s="10"/>
      <c r="C2191" s="6">
        <v>93.6</v>
      </c>
      <c r="I2191" s="10" t="s">
        <v>27</v>
      </c>
      <c r="J2191" s="10"/>
      <c r="K2191" s="26">
        <v>3</v>
      </c>
    </row>
    <row r="2192" spans="1:16" ht="12.95" customHeight="1" x14ac:dyDescent="0.2">
      <c r="A2192" s="10" t="s">
        <v>11</v>
      </c>
      <c r="B2192" s="10"/>
      <c r="C2192" s="6">
        <v>104.36</v>
      </c>
      <c r="I2192" s="10" t="s">
        <v>22</v>
      </c>
      <c r="J2192" s="10"/>
      <c r="K2192" s="26">
        <v>2</v>
      </c>
    </row>
    <row r="2193" spans="1:17" ht="12.95" customHeight="1" x14ac:dyDescent="0.2">
      <c r="A2193" s="10" t="s">
        <v>178</v>
      </c>
      <c r="B2193" s="10"/>
      <c r="C2193" s="30">
        <v>0.8</v>
      </c>
      <c r="I2193" s="10" t="s">
        <v>36</v>
      </c>
      <c r="J2193" s="10"/>
      <c r="K2193" s="26">
        <v>2</v>
      </c>
    </row>
    <row r="2194" spans="1:17" ht="12.95" customHeight="1" x14ac:dyDescent="0.2">
      <c r="A2194" s="28" t="s">
        <v>1571</v>
      </c>
      <c r="B2194" s="27"/>
      <c r="C2194" s="31">
        <v>-0.8</v>
      </c>
      <c r="I2194" s="39" t="s">
        <v>1591</v>
      </c>
      <c r="J2194" s="19"/>
      <c r="K2194" s="20">
        <v>1</v>
      </c>
    </row>
    <row r="2195" spans="1:17" ht="12.95" customHeight="1" x14ac:dyDescent="0.2">
      <c r="A2195" s="29" t="s">
        <v>1572</v>
      </c>
      <c r="B2195" s="29"/>
      <c r="C2195" s="32">
        <f>C2193+C2194</f>
        <v>0</v>
      </c>
      <c r="I2195" s="39" t="s">
        <v>1592</v>
      </c>
      <c r="J2195" s="19"/>
      <c r="K2195" s="38">
        <v>2</v>
      </c>
    </row>
    <row r="2196" spans="1:17" ht="15" x14ac:dyDescent="0.25">
      <c r="A2196" s="10" t="s">
        <v>10</v>
      </c>
      <c r="B2196" s="10"/>
      <c r="C2196" s="6">
        <v>6</v>
      </c>
      <c r="I2196" s="41" t="s">
        <v>1593</v>
      </c>
      <c r="J2196" s="40"/>
      <c r="K2196" s="42">
        <f>K2194+K2195</f>
        <v>3</v>
      </c>
    </row>
    <row r="2197" spans="1:17" x14ac:dyDescent="0.2">
      <c r="A2197" t="s">
        <v>1615</v>
      </c>
      <c r="C2197" cm="1">
        <f t="array" ref="C2197">IFERROR(SUMPRODUCT((ISNUMBER(SEARCH("מילואים",N2149:N2186))+ISNUMBER(SEARCH("מילואים",O2149:O2186))&gt;0)*(C2149:C2186&lt;&gt;"")*(J2149:J2186+0))*24,0)</f>
        <v>0</v>
      </c>
    </row>
    <row r="2198" spans="1:17" ht="12.95" customHeight="1" x14ac:dyDescent="0.2">
      <c r="A2198" s="7" t="s">
        <v>1488</v>
      </c>
      <c r="B2198" s="7"/>
      <c r="C2198" s="7"/>
      <c r="D2198" s="7" t="s">
        <v>1</v>
      </c>
      <c r="E2198" s="7"/>
      <c r="F2198" s="7"/>
      <c r="G2198" s="7"/>
      <c r="H2198" s="7" t="s">
        <v>1489</v>
      </c>
      <c r="I2198" s="7"/>
      <c r="J2198" s="7"/>
      <c r="K2198" s="7"/>
      <c r="L2198" s="7"/>
      <c r="M2198" s="7"/>
      <c r="N2198" s="7"/>
      <c r="O2198" s="7"/>
      <c r="P2198" s="7"/>
      <c r="Q2198" s="7"/>
    </row>
    <row r="2199" spans="1:17" ht="12.95" customHeight="1" x14ac:dyDescent="0.2">
      <c r="A2199" s="7" t="s">
        <v>3</v>
      </c>
      <c r="B2199" s="7"/>
      <c r="C2199" s="7"/>
      <c r="D2199" s="7"/>
      <c r="E2199" s="7"/>
      <c r="F2199" s="7">
        <v>116</v>
      </c>
      <c r="G2199" s="7"/>
      <c r="H2199" s="7" t="s">
        <v>1489</v>
      </c>
      <c r="I2199" s="7"/>
      <c r="J2199" s="7"/>
      <c r="K2199" s="7"/>
      <c r="L2199" s="7"/>
      <c r="M2199" s="7"/>
      <c r="N2199" s="7"/>
      <c r="O2199" s="7"/>
      <c r="P2199" s="7"/>
      <c r="Q2199" s="7"/>
    </row>
    <row r="2200" spans="1:17" ht="22.5" customHeight="1" x14ac:dyDescent="0.2">
      <c r="A2200" s="1" t="s">
        <v>5</v>
      </c>
      <c r="B2200" s="1" t="s">
        <v>6</v>
      </c>
      <c r="C2200" s="1" t="s">
        <v>7</v>
      </c>
      <c r="D2200" s="1" t="s">
        <v>8</v>
      </c>
      <c r="E2200" s="1" t="s">
        <v>9</v>
      </c>
      <c r="F2200" s="1" t="s">
        <v>10</v>
      </c>
      <c r="G2200" s="1" t="s">
        <v>11</v>
      </c>
      <c r="H2200" s="1" t="s">
        <v>12</v>
      </c>
      <c r="I2200" s="1" t="s">
        <v>13</v>
      </c>
      <c r="J2200" s="1" t="s">
        <v>14</v>
      </c>
      <c r="K2200" s="1" t="s">
        <v>15</v>
      </c>
      <c r="L2200" s="1" t="s">
        <v>267</v>
      </c>
      <c r="M2200" s="1" t="s">
        <v>16</v>
      </c>
      <c r="N2200" s="1" t="s">
        <v>17</v>
      </c>
      <c r="O2200" s="1" t="s">
        <v>18</v>
      </c>
      <c r="P2200" s="1" t="s">
        <v>19</v>
      </c>
      <c r="Q2200" s="1" t="s">
        <v>20</v>
      </c>
    </row>
    <row r="2201" spans="1:17" ht="12.95" customHeight="1" x14ac:dyDescent="0.2">
      <c r="A2201" s="2" t="s">
        <v>21</v>
      </c>
      <c r="B2201" s="2" t="s">
        <v>22</v>
      </c>
      <c r="C2201" s="2"/>
      <c r="D2201" s="2"/>
      <c r="E2201" s="3"/>
      <c r="F2201" s="2"/>
      <c r="G2201" s="2"/>
      <c r="H2201" s="2"/>
      <c r="I2201" s="13"/>
      <c r="J2201" s="2"/>
      <c r="K2201" s="2"/>
      <c r="L2201" s="2"/>
      <c r="M2201" s="2"/>
      <c r="N2201" s="2"/>
      <c r="O2201" s="2" t="s">
        <v>24</v>
      </c>
      <c r="P2201" s="2" t="s">
        <v>25</v>
      </c>
      <c r="Q2201" s="2"/>
    </row>
    <row r="2202" spans="1:17" ht="12.95" customHeight="1" x14ac:dyDescent="0.2">
      <c r="A2202" s="2" t="s">
        <v>26</v>
      </c>
      <c r="B2202" s="2" t="s">
        <v>27</v>
      </c>
      <c r="C2202" s="2"/>
      <c r="D2202" s="2"/>
      <c r="E2202" s="3"/>
      <c r="F2202" s="2"/>
      <c r="G2202" s="2"/>
      <c r="H2202" s="2"/>
      <c r="I2202" s="13"/>
      <c r="J2202" s="2"/>
      <c r="K2202" s="2"/>
      <c r="L2202" s="2"/>
      <c r="M2202" s="2"/>
      <c r="N2202" s="2"/>
      <c r="O2202" s="2" t="s">
        <v>28</v>
      </c>
      <c r="P2202" s="2" t="s">
        <v>29</v>
      </c>
      <c r="Q2202" s="2"/>
    </row>
    <row r="2203" spans="1:17" ht="12.95" customHeight="1" x14ac:dyDescent="0.2">
      <c r="A2203" s="4" t="s">
        <v>30</v>
      </c>
      <c r="B2203" s="4" t="s">
        <v>31</v>
      </c>
      <c r="C2203" s="4"/>
      <c r="D2203" s="4"/>
      <c r="E2203" s="3"/>
      <c r="F2203" s="4"/>
      <c r="G2203" s="4"/>
      <c r="H2203" s="4"/>
      <c r="I2203" s="35"/>
      <c r="J2203" s="4"/>
      <c r="K2203" s="4"/>
      <c r="L2203" s="4"/>
      <c r="M2203" s="4"/>
      <c r="N2203" s="4"/>
      <c r="O2203" s="4"/>
      <c r="P2203" s="4"/>
      <c r="Q2203" s="4"/>
    </row>
    <row r="2204" spans="1:17" ht="12.95" customHeight="1" x14ac:dyDescent="0.2">
      <c r="A2204" s="4" t="s">
        <v>32</v>
      </c>
      <c r="B2204" s="4" t="s">
        <v>31</v>
      </c>
      <c r="C2204" s="4" t="s">
        <v>1490</v>
      </c>
      <c r="D2204" s="4" t="s">
        <v>1000</v>
      </c>
      <c r="E2204" s="3" t="s">
        <v>725</v>
      </c>
      <c r="F2204" s="4"/>
      <c r="G2204" s="4" t="s">
        <v>725</v>
      </c>
      <c r="H2204" s="4"/>
      <c r="I2204" s="35"/>
      <c r="J2204" s="4" t="s">
        <v>48</v>
      </c>
      <c r="K2204" s="4" t="s">
        <v>401</v>
      </c>
      <c r="L2204" s="4"/>
      <c r="M2204" s="4"/>
      <c r="N2204" s="4"/>
      <c r="O2204" s="4"/>
      <c r="P2204" s="4"/>
      <c r="Q2204" s="4"/>
    </row>
    <row r="2205" spans="1:17" x14ac:dyDescent="0.2">
      <c r="A2205" s="4" t="s">
        <v>33</v>
      </c>
      <c r="B2205" s="4" t="s">
        <v>34</v>
      </c>
      <c r="C2205" s="4" t="s">
        <v>34</v>
      </c>
      <c r="D2205" s="4" t="s">
        <v>34</v>
      </c>
      <c r="E2205" s="4" t="s">
        <v>725</v>
      </c>
      <c r="F2205" s="4"/>
      <c r="G2205" s="4" t="s">
        <v>725</v>
      </c>
      <c r="H2205" s="4" t="s">
        <v>730</v>
      </c>
      <c r="I2205" s="35"/>
      <c r="J2205" s="4" t="s">
        <v>48</v>
      </c>
      <c r="K2205" s="4" t="s">
        <v>401</v>
      </c>
      <c r="L2205" s="4"/>
      <c r="M2205" s="4"/>
      <c r="N2205" s="4"/>
      <c r="O2205" s="4"/>
      <c r="P2205" s="4"/>
      <c r="Q2205" s="4"/>
    </row>
    <row r="2206" spans="1:17" ht="12.95" customHeight="1" x14ac:dyDescent="0.2">
      <c r="A2206" s="2" t="s">
        <v>35</v>
      </c>
      <c r="B2206" s="2" t="s">
        <v>36</v>
      </c>
      <c r="C2206" s="2"/>
      <c r="D2206" s="2"/>
      <c r="E2206" s="3"/>
      <c r="F2206" s="2"/>
      <c r="G2206" s="2"/>
      <c r="H2206" s="2"/>
      <c r="I2206" s="13"/>
      <c r="J2206" s="2"/>
      <c r="K2206" s="2"/>
      <c r="L2206" s="2"/>
      <c r="M2206" s="2"/>
      <c r="N2206" s="2"/>
      <c r="O2206" s="2" t="s">
        <v>37</v>
      </c>
      <c r="P2206" s="2"/>
      <c r="Q2206" s="2"/>
    </row>
    <row r="2207" spans="1:17" ht="12.95" customHeight="1" x14ac:dyDescent="0.2">
      <c r="A2207" s="2" t="s">
        <v>38</v>
      </c>
      <c r="B2207" s="2" t="s">
        <v>36</v>
      </c>
      <c r="C2207" s="2"/>
      <c r="D2207" s="2"/>
      <c r="E2207" s="3"/>
      <c r="F2207" s="2"/>
      <c r="G2207" s="2"/>
      <c r="H2207" s="2"/>
      <c r="I2207" s="13"/>
      <c r="J2207" s="2"/>
      <c r="K2207" s="2"/>
      <c r="L2207" s="2"/>
      <c r="M2207" s="2"/>
      <c r="N2207" s="2"/>
      <c r="O2207" s="2" t="s">
        <v>37</v>
      </c>
      <c r="P2207" s="2"/>
      <c r="Q2207" s="2"/>
    </row>
    <row r="2208" spans="1:17" ht="12.95" customHeight="1" x14ac:dyDescent="0.2">
      <c r="A2208" s="2" t="s">
        <v>39</v>
      </c>
      <c r="B2208" s="2" t="s">
        <v>22</v>
      </c>
      <c r="C2208" s="2"/>
      <c r="D2208" s="2"/>
      <c r="E2208" s="3"/>
      <c r="F2208" s="2"/>
      <c r="G2208" s="2"/>
      <c r="H2208" s="2"/>
      <c r="I2208" s="13"/>
      <c r="J2208" s="2"/>
      <c r="K2208" s="2"/>
      <c r="L2208" s="2"/>
      <c r="M2208" s="2"/>
      <c r="N2208" s="2"/>
      <c r="O2208" s="2" t="s">
        <v>24</v>
      </c>
      <c r="P2208" s="2" t="s">
        <v>25</v>
      </c>
      <c r="Q2208" s="2"/>
    </row>
    <row r="2209" spans="1:17" ht="12.95" customHeight="1" x14ac:dyDescent="0.2">
      <c r="A2209" s="2" t="s">
        <v>40</v>
      </c>
      <c r="B2209" s="2" t="s">
        <v>27</v>
      </c>
      <c r="C2209" s="2"/>
      <c r="D2209" s="2"/>
      <c r="E2209" s="3"/>
      <c r="F2209" s="2"/>
      <c r="G2209" s="2"/>
      <c r="H2209" s="2"/>
      <c r="I2209" s="13"/>
      <c r="J2209" s="2"/>
      <c r="K2209" s="2"/>
      <c r="L2209" s="2"/>
      <c r="M2209" s="2"/>
      <c r="N2209" s="2"/>
      <c r="O2209" s="2" t="s">
        <v>28</v>
      </c>
      <c r="P2209" s="2" t="s">
        <v>25</v>
      </c>
      <c r="Q2209" s="2"/>
    </row>
    <row r="2210" spans="1:17" ht="12.95" customHeight="1" x14ac:dyDescent="0.2">
      <c r="A2210" s="2" t="s">
        <v>41</v>
      </c>
      <c r="B2210" s="2" t="s">
        <v>42</v>
      </c>
      <c r="C2210" s="2" t="s">
        <v>1491</v>
      </c>
      <c r="D2210" s="2" t="s">
        <v>1492</v>
      </c>
      <c r="E2210" s="3" t="s">
        <v>53</v>
      </c>
      <c r="F2210" s="2" t="s">
        <v>23</v>
      </c>
      <c r="G2210" s="2" t="s">
        <v>48</v>
      </c>
      <c r="H2210" s="2"/>
      <c r="I2210" s="13"/>
      <c r="J2210" s="2" t="s">
        <v>48</v>
      </c>
      <c r="K2210" s="2"/>
      <c r="L2210" s="2"/>
      <c r="M2210" s="2"/>
      <c r="N2210" s="2"/>
      <c r="O2210" s="2"/>
      <c r="P2210" s="2"/>
      <c r="Q2210" s="2"/>
    </row>
    <row r="2211" spans="1:17" ht="12.95" customHeight="1" x14ac:dyDescent="0.2">
      <c r="A2211" s="4" t="s">
        <v>51</v>
      </c>
      <c r="B2211" s="4" t="s">
        <v>31</v>
      </c>
      <c r="C2211" s="4"/>
      <c r="D2211" s="4"/>
      <c r="E2211" s="3"/>
      <c r="F2211" s="4"/>
      <c r="G2211" s="4"/>
      <c r="H2211" s="4"/>
      <c r="I2211" s="35"/>
      <c r="J2211" s="4"/>
      <c r="K2211" s="4"/>
      <c r="L2211" s="4"/>
      <c r="M2211" s="4"/>
      <c r="N2211" s="4"/>
      <c r="O2211" s="4"/>
      <c r="P2211" s="4"/>
      <c r="Q2211" s="4"/>
    </row>
    <row r="2212" spans="1:17" ht="12.95" customHeight="1" x14ac:dyDescent="0.2">
      <c r="A2212" s="4" t="s">
        <v>52</v>
      </c>
      <c r="B2212" s="4" t="s">
        <v>31</v>
      </c>
      <c r="C2212" s="4"/>
      <c r="D2212" s="4"/>
      <c r="E2212" s="3"/>
      <c r="F2212" s="4"/>
      <c r="G2212" s="4"/>
      <c r="H2212" s="4"/>
      <c r="I2212" s="35"/>
      <c r="J2212" s="4"/>
      <c r="K2212" s="4"/>
      <c r="L2212" s="4"/>
      <c r="M2212" s="4"/>
      <c r="N2212" s="4"/>
      <c r="O2212" s="4"/>
      <c r="P2212" s="4"/>
      <c r="Q2212" s="4"/>
    </row>
    <row r="2213" spans="1:17" x14ac:dyDescent="0.2">
      <c r="A2213" s="4" t="s">
        <v>33</v>
      </c>
      <c r="B2213" s="4" t="s">
        <v>34</v>
      </c>
      <c r="C2213" s="4" t="s">
        <v>34</v>
      </c>
      <c r="D2213" s="4" t="s">
        <v>34</v>
      </c>
      <c r="E2213" s="4" t="s">
        <v>53</v>
      </c>
      <c r="F2213" s="4" t="s">
        <v>23</v>
      </c>
      <c r="G2213" s="4" t="s">
        <v>48</v>
      </c>
      <c r="H2213" s="4" t="s">
        <v>730</v>
      </c>
      <c r="I2213" s="35"/>
      <c r="J2213" s="4" t="s">
        <v>48</v>
      </c>
      <c r="K2213" s="4"/>
      <c r="L2213" s="4"/>
      <c r="M2213" s="4"/>
      <c r="N2213" s="4"/>
      <c r="O2213" s="4"/>
      <c r="P2213" s="4"/>
      <c r="Q2213" s="4"/>
    </row>
    <row r="2214" spans="1:17" ht="12.95" customHeight="1" x14ac:dyDescent="0.2">
      <c r="A2214" s="2" t="s">
        <v>54</v>
      </c>
      <c r="B2214" s="2" t="s">
        <v>42</v>
      </c>
      <c r="C2214" s="2" t="s">
        <v>1353</v>
      </c>
      <c r="D2214" s="2" t="s">
        <v>1493</v>
      </c>
      <c r="E2214" s="3" t="s">
        <v>1494</v>
      </c>
      <c r="F2214" s="2" t="s">
        <v>319</v>
      </c>
      <c r="G2214" s="2" t="s">
        <v>1495</v>
      </c>
      <c r="H2214" s="2"/>
      <c r="I2214" s="13"/>
      <c r="J2214" s="2" t="s">
        <v>48</v>
      </c>
      <c r="K2214" s="2" t="s">
        <v>272</v>
      </c>
      <c r="L2214" s="2" t="s">
        <v>110</v>
      </c>
      <c r="M2214" s="2"/>
      <c r="N2214" s="2"/>
      <c r="O2214" s="2"/>
      <c r="P2214" s="2"/>
      <c r="Q2214" s="2"/>
    </row>
    <row r="2215" spans="1:17" ht="12.95" customHeight="1" x14ac:dyDescent="0.2">
      <c r="A2215" s="2" t="s">
        <v>61</v>
      </c>
      <c r="B2215" s="2" t="s">
        <v>42</v>
      </c>
      <c r="C2215" s="2" t="s">
        <v>274</v>
      </c>
      <c r="D2215" s="2" t="s">
        <v>1496</v>
      </c>
      <c r="E2215" s="3" t="s">
        <v>725</v>
      </c>
      <c r="F2215" s="2" t="s">
        <v>23</v>
      </c>
      <c r="G2215" s="2" t="s">
        <v>306</v>
      </c>
      <c r="H2215" s="2"/>
      <c r="I2215" s="13"/>
      <c r="J2215" s="2" t="s">
        <v>48</v>
      </c>
      <c r="K2215" s="2" t="s">
        <v>147</v>
      </c>
      <c r="L2215" s="2"/>
      <c r="M2215" s="2"/>
      <c r="N2215" s="2"/>
      <c r="O2215" s="2"/>
      <c r="P2215" s="2"/>
      <c r="Q2215" s="2"/>
    </row>
    <row r="2216" spans="1:17" ht="12.95" customHeight="1" x14ac:dyDescent="0.2">
      <c r="A2216" s="2" t="s">
        <v>68</v>
      </c>
      <c r="B2216" s="2" t="s">
        <v>42</v>
      </c>
      <c r="C2216" s="2" t="s">
        <v>703</v>
      </c>
      <c r="D2216" s="2" t="s">
        <v>1497</v>
      </c>
      <c r="E2216" s="3" t="s">
        <v>1392</v>
      </c>
      <c r="F2216" s="2" t="s">
        <v>319</v>
      </c>
      <c r="G2216" s="2" t="s">
        <v>1498</v>
      </c>
      <c r="H2216" s="2"/>
      <c r="I2216" s="13"/>
      <c r="J2216" s="2" t="s">
        <v>48</v>
      </c>
      <c r="K2216" s="2" t="s">
        <v>272</v>
      </c>
      <c r="L2216" s="2" t="s">
        <v>295</v>
      </c>
      <c r="M2216" s="2"/>
      <c r="N2216" s="2"/>
      <c r="O2216" s="2"/>
      <c r="P2216" s="2"/>
      <c r="Q2216" s="2"/>
    </row>
    <row r="2217" spans="1:17" ht="12.95" customHeight="1" x14ac:dyDescent="0.2">
      <c r="A2217" s="2" t="s">
        <v>75</v>
      </c>
      <c r="B2217" s="2" t="s">
        <v>42</v>
      </c>
      <c r="C2217" s="2" t="s">
        <v>792</v>
      </c>
      <c r="D2217" s="2" t="s">
        <v>873</v>
      </c>
      <c r="E2217" s="3" t="s">
        <v>550</v>
      </c>
      <c r="F2217" s="2" t="s">
        <v>23</v>
      </c>
      <c r="G2217" s="2" t="s">
        <v>186</v>
      </c>
      <c r="H2217" s="2"/>
      <c r="I2217" s="13"/>
      <c r="J2217" s="2" t="s">
        <v>48</v>
      </c>
      <c r="K2217" s="2" t="s">
        <v>272</v>
      </c>
      <c r="L2217" s="2" t="s">
        <v>539</v>
      </c>
      <c r="M2217" s="2"/>
      <c r="N2217" s="2"/>
      <c r="O2217" s="2"/>
      <c r="P2217" s="2"/>
      <c r="Q2217" s="2"/>
    </row>
    <row r="2218" spans="1:17" ht="12.95" customHeight="1" x14ac:dyDescent="0.2">
      <c r="A2218" s="2" t="s">
        <v>81</v>
      </c>
      <c r="B2218" s="2" t="s">
        <v>42</v>
      </c>
      <c r="C2218" s="2" t="s">
        <v>1499</v>
      </c>
      <c r="D2218" s="2" t="s">
        <v>1500</v>
      </c>
      <c r="E2218" s="3" t="s">
        <v>1501</v>
      </c>
      <c r="F2218" s="2" t="s">
        <v>23</v>
      </c>
      <c r="G2218" s="2" t="s">
        <v>1495</v>
      </c>
      <c r="H2218" s="2"/>
      <c r="I2218" s="13"/>
      <c r="J2218" s="2" t="s">
        <v>163</v>
      </c>
      <c r="K2218" s="2" t="s">
        <v>1385</v>
      </c>
      <c r="L2218" s="2" t="s">
        <v>110</v>
      </c>
      <c r="M2218" s="2"/>
      <c r="N2218" s="2"/>
      <c r="O2218" s="2"/>
      <c r="P2218" s="2"/>
      <c r="Q2218" s="2"/>
    </row>
    <row r="2219" spans="1:17" ht="12.95" customHeight="1" x14ac:dyDescent="0.2">
      <c r="A2219" s="4" t="s">
        <v>87</v>
      </c>
      <c r="B2219" s="4" t="s">
        <v>31</v>
      </c>
      <c r="C2219" s="4"/>
      <c r="D2219" s="4"/>
      <c r="E2219" s="3"/>
      <c r="F2219" s="4"/>
      <c r="G2219" s="4"/>
      <c r="H2219" s="4"/>
      <c r="I2219" s="35"/>
      <c r="J2219" s="4"/>
      <c r="K2219" s="4"/>
      <c r="L2219" s="4"/>
      <c r="M2219" s="4"/>
      <c r="N2219" s="4"/>
      <c r="O2219" s="4"/>
      <c r="P2219" s="4"/>
      <c r="Q2219" s="4"/>
    </row>
    <row r="2220" spans="1:17" ht="12.95" customHeight="1" x14ac:dyDescent="0.2">
      <c r="A2220" s="4" t="s">
        <v>88</v>
      </c>
      <c r="B2220" s="4" t="s">
        <v>31</v>
      </c>
      <c r="C2220" s="4"/>
      <c r="D2220" s="4"/>
      <c r="E2220" s="3"/>
      <c r="F2220" s="4"/>
      <c r="G2220" s="4"/>
      <c r="H2220" s="4"/>
      <c r="I2220" s="35"/>
      <c r="J2220" s="4"/>
      <c r="K2220" s="4"/>
      <c r="L2220" s="4"/>
      <c r="M2220" s="4"/>
      <c r="N2220" s="4"/>
      <c r="O2220" s="4"/>
      <c r="P2220" s="4"/>
      <c r="Q2220" s="4"/>
    </row>
    <row r="2221" spans="1:17" x14ac:dyDescent="0.2">
      <c r="A2221" s="4" t="s">
        <v>33</v>
      </c>
      <c r="B2221" s="4" t="s">
        <v>34</v>
      </c>
      <c r="C2221" s="4" t="s">
        <v>34</v>
      </c>
      <c r="D2221" s="4" t="s">
        <v>34</v>
      </c>
      <c r="E2221" s="4" t="s">
        <v>1502</v>
      </c>
      <c r="F2221" s="4" t="s">
        <v>1455</v>
      </c>
      <c r="G2221" s="4" t="s">
        <v>1503</v>
      </c>
      <c r="H2221" s="4" t="s">
        <v>730</v>
      </c>
      <c r="I2221" s="35"/>
      <c r="J2221" s="4" t="s">
        <v>1504</v>
      </c>
      <c r="K2221" s="4" t="s">
        <v>1505</v>
      </c>
      <c r="L2221" s="4" t="s">
        <v>536</v>
      </c>
      <c r="M2221" s="4"/>
      <c r="N2221" s="4"/>
      <c r="O2221" s="4"/>
      <c r="P2221" s="4"/>
      <c r="Q2221" s="4"/>
    </row>
    <row r="2222" spans="1:17" ht="12.95" customHeight="1" x14ac:dyDescent="0.2">
      <c r="A2222" s="2" t="s">
        <v>97</v>
      </c>
      <c r="B2222" s="2" t="s">
        <v>42</v>
      </c>
      <c r="C2222" s="2" t="s">
        <v>1506</v>
      </c>
      <c r="D2222" s="2" t="s">
        <v>1023</v>
      </c>
      <c r="E2222" s="3" t="s">
        <v>403</v>
      </c>
      <c r="F2222" s="2" t="s">
        <v>23</v>
      </c>
      <c r="G2222" s="2" t="s">
        <v>661</v>
      </c>
      <c r="H2222" s="2"/>
      <c r="I2222" s="13"/>
      <c r="J2222" s="2" t="s">
        <v>48</v>
      </c>
      <c r="K2222" s="2" t="s">
        <v>428</v>
      </c>
      <c r="L2222" s="2"/>
      <c r="M2222" s="2"/>
      <c r="N2222" s="2"/>
      <c r="O2222" s="2"/>
      <c r="P2222" s="2"/>
      <c r="Q2222" s="2"/>
    </row>
    <row r="2223" spans="1:17" ht="12.95" customHeight="1" x14ac:dyDescent="0.2">
      <c r="A2223" s="2" t="s">
        <v>104</v>
      </c>
      <c r="B2223" s="2" t="s">
        <v>42</v>
      </c>
      <c r="C2223" s="2" t="s">
        <v>825</v>
      </c>
      <c r="D2223" s="2" t="s">
        <v>198</v>
      </c>
      <c r="E2223" s="3" t="s">
        <v>1253</v>
      </c>
      <c r="F2223" s="2" t="s">
        <v>23</v>
      </c>
      <c r="G2223" s="2" t="s">
        <v>1216</v>
      </c>
      <c r="H2223" s="2"/>
      <c r="I2223" s="13"/>
      <c r="J2223" s="2" t="s">
        <v>48</v>
      </c>
      <c r="K2223" s="2" t="s">
        <v>1048</v>
      </c>
      <c r="L2223" s="2"/>
      <c r="M2223" s="2"/>
      <c r="N2223" s="2"/>
      <c r="O2223" s="2"/>
      <c r="P2223" s="2" t="s">
        <v>111</v>
      </c>
      <c r="Q2223" s="2"/>
    </row>
    <row r="2224" spans="1:17" ht="12.95" customHeight="1" x14ac:dyDescent="0.2">
      <c r="A2224" s="2" t="s">
        <v>112</v>
      </c>
      <c r="B2224" s="2" t="s">
        <v>22</v>
      </c>
      <c r="C2224" s="2" t="s">
        <v>1353</v>
      </c>
      <c r="D2224" s="2" t="s">
        <v>1507</v>
      </c>
      <c r="E2224" s="3" t="s">
        <v>227</v>
      </c>
      <c r="F2224" s="2"/>
      <c r="G2224" s="2" t="s">
        <v>227</v>
      </c>
      <c r="H2224" s="2"/>
      <c r="I2224" s="13"/>
      <c r="J2224" s="2"/>
      <c r="K2224" s="2"/>
      <c r="L2224" s="2" t="s">
        <v>227</v>
      </c>
      <c r="M2224" s="2"/>
      <c r="N2224" s="2"/>
      <c r="O2224" s="2" t="s">
        <v>24</v>
      </c>
      <c r="P2224" s="2"/>
      <c r="Q2224" s="2"/>
    </row>
    <row r="2225" spans="1:17" ht="12.95" customHeight="1" x14ac:dyDescent="0.2">
      <c r="A2225" s="2" t="s">
        <v>114</v>
      </c>
      <c r="B2225" s="2" t="s">
        <v>27</v>
      </c>
      <c r="C2225" s="2"/>
      <c r="D2225" s="2"/>
      <c r="E2225" s="3"/>
      <c r="F2225" s="2"/>
      <c r="G2225" s="2"/>
      <c r="H2225" s="2"/>
      <c r="I2225" s="13"/>
      <c r="J2225" s="2"/>
      <c r="K2225" s="2"/>
      <c r="L2225" s="2"/>
      <c r="M2225" s="2"/>
      <c r="N2225" s="2"/>
      <c r="O2225" s="2" t="s">
        <v>28</v>
      </c>
      <c r="P2225" s="2" t="s">
        <v>111</v>
      </c>
      <c r="Q2225" s="2"/>
    </row>
    <row r="2226" spans="1:17" ht="12.95" customHeight="1" x14ac:dyDescent="0.2">
      <c r="A2226" s="2" t="s">
        <v>115</v>
      </c>
      <c r="B2226" s="2" t="s">
        <v>42</v>
      </c>
      <c r="C2226" s="2" t="s">
        <v>1352</v>
      </c>
      <c r="D2226" s="2" t="s">
        <v>1508</v>
      </c>
      <c r="E2226" s="3" t="s">
        <v>657</v>
      </c>
      <c r="F2226" s="2" t="s">
        <v>23</v>
      </c>
      <c r="G2226" s="2" t="s">
        <v>71</v>
      </c>
      <c r="H2226" s="2"/>
      <c r="I2226" s="13"/>
      <c r="J2226" s="2" t="s">
        <v>48</v>
      </c>
      <c r="K2226" s="2" t="s">
        <v>340</v>
      </c>
      <c r="L2226" s="2"/>
      <c r="M2226" s="2"/>
      <c r="N2226" s="2"/>
      <c r="O2226" s="2"/>
      <c r="P2226" s="2"/>
      <c r="Q2226" s="2"/>
    </row>
    <row r="2227" spans="1:17" ht="12.95" customHeight="1" x14ac:dyDescent="0.2">
      <c r="A2227" s="4" t="s">
        <v>122</v>
      </c>
      <c r="B2227" s="4" t="s">
        <v>31</v>
      </c>
      <c r="C2227" s="4"/>
      <c r="D2227" s="4"/>
      <c r="E2227" s="3"/>
      <c r="F2227" s="4"/>
      <c r="G2227" s="4"/>
      <c r="H2227" s="4"/>
      <c r="I2227" s="35"/>
      <c r="J2227" s="4"/>
      <c r="K2227" s="4"/>
      <c r="L2227" s="4"/>
      <c r="M2227" s="4"/>
      <c r="N2227" s="4"/>
      <c r="O2227" s="4"/>
      <c r="P2227" s="4"/>
      <c r="Q2227" s="4"/>
    </row>
    <row r="2228" spans="1:17" ht="12.95" customHeight="1" x14ac:dyDescent="0.2">
      <c r="A2228" s="4" t="s">
        <v>123</v>
      </c>
      <c r="B2228" s="4" t="s">
        <v>31</v>
      </c>
      <c r="C2228" s="4"/>
      <c r="D2228" s="4"/>
      <c r="E2228" s="3"/>
      <c r="F2228" s="4"/>
      <c r="G2228" s="4"/>
      <c r="H2228" s="4"/>
      <c r="I2228" s="35"/>
      <c r="J2228" s="4"/>
      <c r="K2228" s="4"/>
      <c r="L2228" s="4"/>
      <c r="M2228" s="4"/>
      <c r="N2228" s="4"/>
      <c r="O2228" s="4"/>
      <c r="P2228" s="4"/>
      <c r="Q2228" s="4"/>
    </row>
    <row r="2229" spans="1:17" x14ac:dyDescent="0.2">
      <c r="A2229" s="4" t="s">
        <v>33</v>
      </c>
      <c r="B2229" s="4" t="s">
        <v>34</v>
      </c>
      <c r="C2229" s="4" t="s">
        <v>34</v>
      </c>
      <c r="D2229" s="4" t="s">
        <v>34</v>
      </c>
      <c r="E2229" s="4" t="s">
        <v>1509</v>
      </c>
      <c r="F2229" s="4" t="s">
        <v>147</v>
      </c>
      <c r="G2229" s="4" t="s">
        <v>1510</v>
      </c>
      <c r="H2229" s="4" t="s">
        <v>730</v>
      </c>
      <c r="I2229" s="35"/>
      <c r="J2229" s="4" t="s">
        <v>352</v>
      </c>
      <c r="K2229" s="4" t="s">
        <v>409</v>
      </c>
      <c r="L2229" s="4" t="s">
        <v>227</v>
      </c>
      <c r="M2229" s="4"/>
      <c r="N2229" s="4"/>
      <c r="O2229" s="4"/>
      <c r="P2229" s="4"/>
      <c r="Q2229" s="4"/>
    </row>
    <row r="2230" spans="1:17" ht="12.95" customHeight="1" x14ac:dyDescent="0.2">
      <c r="A2230" s="2" t="s">
        <v>131</v>
      </c>
      <c r="B2230" s="2" t="s">
        <v>42</v>
      </c>
      <c r="C2230" s="2" t="s">
        <v>1422</v>
      </c>
      <c r="D2230" s="2" t="s">
        <v>1164</v>
      </c>
      <c r="E2230" s="3" t="s">
        <v>712</v>
      </c>
      <c r="F2230" s="2" t="s">
        <v>23</v>
      </c>
      <c r="G2230" s="2" t="s">
        <v>364</v>
      </c>
      <c r="H2230" s="2"/>
      <c r="I2230" s="13"/>
      <c r="J2230" s="2" t="s">
        <v>48</v>
      </c>
      <c r="K2230" s="2" t="s">
        <v>520</v>
      </c>
      <c r="L2230" s="2"/>
      <c r="M2230" s="2"/>
      <c r="N2230" s="2"/>
      <c r="O2230" s="2"/>
      <c r="P2230" s="2"/>
      <c r="Q2230" s="2"/>
    </row>
    <row r="2231" spans="1:17" ht="12.95" customHeight="1" x14ac:dyDescent="0.2">
      <c r="A2231" s="2" t="s">
        <v>138</v>
      </c>
      <c r="B2231" s="2" t="s">
        <v>42</v>
      </c>
      <c r="C2231" s="2" t="s">
        <v>1424</v>
      </c>
      <c r="D2231" s="2" t="s">
        <v>906</v>
      </c>
      <c r="E2231" s="3" t="s">
        <v>307</v>
      </c>
      <c r="F2231" s="2" t="s">
        <v>23</v>
      </c>
      <c r="G2231" s="2" t="s">
        <v>876</v>
      </c>
      <c r="H2231" s="2"/>
      <c r="I2231" s="13"/>
      <c r="J2231" s="2" t="s">
        <v>48</v>
      </c>
      <c r="K2231" s="2" t="s">
        <v>705</v>
      </c>
      <c r="L2231" s="2"/>
      <c r="M2231" s="2"/>
      <c r="N2231" s="2"/>
      <c r="O2231" s="2"/>
      <c r="P2231" s="2"/>
      <c r="Q2231" s="2"/>
    </row>
    <row r="2232" spans="1:17" ht="12.95" customHeight="1" x14ac:dyDescent="0.2">
      <c r="A2232" s="2" t="s">
        <v>143</v>
      </c>
      <c r="B2232" s="2" t="s">
        <v>42</v>
      </c>
      <c r="C2232" s="2" t="s">
        <v>503</v>
      </c>
      <c r="D2232" s="2" t="s">
        <v>1107</v>
      </c>
      <c r="E2232" s="3" t="s">
        <v>45</v>
      </c>
      <c r="F2232" s="2" t="s">
        <v>23</v>
      </c>
      <c r="G2232" s="2" t="s">
        <v>895</v>
      </c>
      <c r="H2232" s="2"/>
      <c r="I2232" s="13"/>
      <c r="J2232" s="2" t="s">
        <v>48</v>
      </c>
      <c r="K2232" s="2" t="s">
        <v>102</v>
      </c>
      <c r="L2232" s="2"/>
      <c r="M2232" s="2"/>
      <c r="N2232" s="2"/>
      <c r="O2232" s="2"/>
      <c r="P2232" s="2"/>
      <c r="Q2232" s="2"/>
    </row>
    <row r="2233" spans="1:17" ht="12.95" customHeight="1" x14ac:dyDescent="0.2">
      <c r="A2233" s="2" t="s">
        <v>148</v>
      </c>
      <c r="B2233" s="2" t="s">
        <v>42</v>
      </c>
      <c r="C2233" s="2" t="s">
        <v>1353</v>
      </c>
      <c r="D2233" s="2" t="s">
        <v>1511</v>
      </c>
      <c r="E2233" s="3" t="s">
        <v>465</v>
      </c>
      <c r="F2233" s="2" t="s">
        <v>23</v>
      </c>
      <c r="G2233" s="2" t="s">
        <v>78</v>
      </c>
      <c r="H2233" s="2"/>
      <c r="I2233" s="13"/>
      <c r="J2233" s="2"/>
      <c r="K2233" s="2"/>
      <c r="L2233" s="2" t="s">
        <v>78</v>
      </c>
      <c r="M2233" s="2"/>
      <c r="N2233" s="2"/>
      <c r="O2233" s="2"/>
      <c r="P2233" s="2"/>
      <c r="Q2233" s="2"/>
    </row>
    <row r="2234" spans="1:17" ht="12.95" customHeight="1" x14ac:dyDescent="0.2">
      <c r="A2234" s="2" t="s">
        <v>155</v>
      </c>
      <c r="B2234" s="2" t="s">
        <v>42</v>
      </c>
      <c r="C2234" s="2" t="s">
        <v>274</v>
      </c>
      <c r="D2234" s="2" t="s">
        <v>1512</v>
      </c>
      <c r="E2234" s="3" t="s">
        <v>119</v>
      </c>
      <c r="F2234" s="2" t="s">
        <v>23</v>
      </c>
      <c r="G2234" s="2" t="s">
        <v>382</v>
      </c>
      <c r="H2234" s="2"/>
      <c r="I2234" s="13"/>
      <c r="J2234" s="2"/>
      <c r="K2234" s="2"/>
      <c r="L2234" s="2" t="s">
        <v>382</v>
      </c>
      <c r="M2234" s="2"/>
      <c r="N2234" s="2"/>
      <c r="O2234" s="2"/>
      <c r="P2234" s="2"/>
      <c r="Q2234" s="2"/>
    </row>
    <row r="2235" spans="1:17" ht="12.95" customHeight="1" x14ac:dyDescent="0.2">
      <c r="A2235" s="8" t="s">
        <v>161</v>
      </c>
      <c r="B2235" s="8"/>
      <c r="C2235" s="8"/>
      <c r="D2235" s="8"/>
      <c r="E2235" s="5" t="s">
        <v>1513</v>
      </c>
      <c r="F2235" s="5" t="s">
        <v>1060</v>
      </c>
      <c r="G2235" s="5" t="s">
        <v>1514</v>
      </c>
      <c r="H2235" s="5" t="s">
        <v>730</v>
      </c>
      <c r="I2235" s="36" t="s">
        <v>296</v>
      </c>
      <c r="J2235" s="5" t="s">
        <v>1515</v>
      </c>
      <c r="K2235" s="5" t="s">
        <v>1074</v>
      </c>
      <c r="L2235" s="5" t="s">
        <v>1516</v>
      </c>
      <c r="M2235" s="5" t="s">
        <v>296</v>
      </c>
      <c r="N2235" s="5" t="s">
        <v>296</v>
      </c>
      <c r="O2235" s="5"/>
      <c r="P2235" s="5"/>
      <c r="Q2235" s="5"/>
    </row>
    <row r="2236" spans="1:17" ht="12.95" customHeight="1" x14ac:dyDescent="0.2">
      <c r="A2236" s="8" t="s">
        <v>171</v>
      </c>
      <c r="B2236" s="8"/>
      <c r="C2236" s="8"/>
      <c r="D2236" s="8"/>
      <c r="E2236" s="5" t="s">
        <v>1513</v>
      </c>
      <c r="F2236" s="5" t="s">
        <v>1060</v>
      </c>
      <c r="G2236" s="5" t="s">
        <v>1514</v>
      </c>
      <c r="H2236" s="5" t="s">
        <v>730</v>
      </c>
      <c r="I2236" s="36" t="s">
        <v>296</v>
      </c>
      <c r="J2236" s="5" t="s">
        <v>1515</v>
      </c>
      <c r="K2236" s="5" t="s">
        <v>1074</v>
      </c>
      <c r="L2236" s="5" t="s">
        <v>1516</v>
      </c>
      <c r="M2236" s="5" t="s">
        <v>296</v>
      </c>
      <c r="N2236" s="5" t="s">
        <v>296</v>
      </c>
      <c r="O2236" s="5"/>
      <c r="P2236" s="5"/>
      <c r="Q2236" s="5"/>
    </row>
    <row r="2237" spans="1:17" ht="12.95" customHeight="1" x14ac:dyDescent="0.2">
      <c r="A2237" s="8" t="s">
        <v>173</v>
      </c>
      <c r="B2237" s="8"/>
      <c r="C2237" s="8"/>
      <c r="D2237" s="8"/>
      <c r="E2237" s="5">
        <v>158.78</v>
      </c>
      <c r="F2237" s="5">
        <v>6.4</v>
      </c>
      <c r="G2237" s="5">
        <v>152.38</v>
      </c>
      <c r="H2237" s="5">
        <v>33</v>
      </c>
      <c r="I2237" s="36">
        <v>0</v>
      </c>
      <c r="J2237" s="5">
        <v>107.8</v>
      </c>
      <c r="K2237" s="5">
        <v>16.7</v>
      </c>
      <c r="L2237" s="5">
        <v>27.88</v>
      </c>
      <c r="M2237" s="5">
        <v>0</v>
      </c>
      <c r="N2237" s="5">
        <v>0</v>
      </c>
      <c r="O2237" s="5"/>
      <c r="P2237" s="5"/>
      <c r="Q2237" s="5"/>
    </row>
    <row r="2238" spans="1:17" x14ac:dyDescent="0.2">
      <c r="I2238" s="37"/>
    </row>
    <row r="2239" spans="1:17" ht="12.95" customHeight="1" x14ac:dyDescent="0.2">
      <c r="A2239" s="9" t="s">
        <v>174</v>
      </c>
      <c r="B2239" s="9"/>
      <c r="C2239" s="9"/>
      <c r="E2239" s="9" t="s">
        <v>180</v>
      </c>
      <c r="F2239" s="9"/>
      <c r="G2239" s="9"/>
      <c r="I2239" s="9" t="s">
        <v>181</v>
      </c>
      <c r="J2239" s="9"/>
      <c r="K2239" s="9"/>
    </row>
    <row r="2240" spans="1:17" ht="12.95" customHeight="1" x14ac:dyDescent="0.2">
      <c r="A2240" s="10" t="s">
        <v>175</v>
      </c>
      <c r="B2240" s="10"/>
      <c r="C2240" s="6">
        <v>16</v>
      </c>
      <c r="E2240" s="10" t="s">
        <v>14</v>
      </c>
      <c r="F2240" s="10"/>
      <c r="G2240" s="6">
        <v>107.8</v>
      </c>
      <c r="I2240" s="10" t="s">
        <v>27</v>
      </c>
      <c r="J2240" s="10"/>
      <c r="K2240" s="26">
        <v>3</v>
      </c>
    </row>
    <row r="2241" spans="1:17" ht="12.95" customHeight="1" x14ac:dyDescent="0.2">
      <c r="A2241" s="10" t="s">
        <v>1531</v>
      </c>
      <c r="B2241" s="10"/>
      <c r="C2241" s="6">
        <v>22</v>
      </c>
      <c r="E2241" s="10" t="s">
        <v>15</v>
      </c>
      <c r="F2241" s="10"/>
      <c r="G2241" s="6">
        <v>16.7</v>
      </c>
      <c r="I2241" s="10" t="s">
        <v>22</v>
      </c>
      <c r="J2241" s="10"/>
      <c r="K2241" s="26">
        <v>2</v>
      </c>
    </row>
    <row r="2242" spans="1:17" ht="12.95" customHeight="1" x14ac:dyDescent="0.2">
      <c r="A2242" s="10" t="s">
        <v>176</v>
      </c>
      <c r="B2242" s="10"/>
      <c r="C2242" s="6">
        <v>158.78</v>
      </c>
      <c r="E2242" s="10" t="s">
        <v>267</v>
      </c>
      <c r="F2242" s="10"/>
      <c r="G2242" s="6">
        <v>27.88</v>
      </c>
      <c r="I2242" s="10" t="s">
        <v>36</v>
      </c>
      <c r="J2242" s="10"/>
      <c r="K2242" s="26">
        <v>2</v>
      </c>
    </row>
    <row r="2243" spans="1:17" ht="12.95" customHeight="1" x14ac:dyDescent="0.2">
      <c r="A2243" s="10" t="s">
        <v>177</v>
      </c>
      <c r="B2243" s="10"/>
      <c r="C2243" s="6">
        <v>33</v>
      </c>
      <c r="I2243" s="39" t="s">
        <v>1591</v>
      </c>
      <c r="J2243" s="19"/>
      <c r="K2243" s="20">
        <v>1</v>
      </c>
    </row>
    <row r="2244" spans="1:17" ht="12.95" customHeight="1" x14ac:dyDescent="0.2">
      <c r="A2244" s="10" t="s">
        <v>11</v>
      </c>
      <c r="B2244" s="10"/>
      <c r="C2244" s="6">
        <v>152.38</v>
      </c>
      <c r="I2244" s="39" t="s">
        <v>1592</v>
      </c>
      <c r="J2244" s="19"/>
      <c r="K2244" s="38">
        <v>2</v>
      </c>
    </row>
    <row r="2245" spans="1:17" ht="12.95" customHeight="1" x14ac:dyDescent="0.25">
      <c r="A2245" s="10" t="s">
        <v>178</v>
      </c>
      <c r="B2245" s="10"/>
      <c r="C2245" s="6">
        <v>0</v>
      </c>
      <c r="I2245" s="41" t="s">
        <v>1593</v>
      </c>
      <c r="J2245" s="40"/>
      <c r="K2245" s="42">
        <f>K2243+K2244</f>
        <v>3</v>
      </c>
    </row>
    <row r="2246" spans="1:17" ht="12.95" customHeight="1" x14ac:dyDescent="0.2">
      <c r="A2246" s="10" t="s">
        <v>17</v>
      </c>
      <c r="B2246" s="10"/>
      <c r="C2246" s="6">
        <v>0</v>
      </c>
    </row>
    <row r="2247" spans="1:17" ht="12.95" customHeight="1" x14ac:dyDescent="0.2">
      <c r="A2247" s="10" t="s">
        <v>179</v>
      </c>
      <c r="B2247" s="10"/>
      <c r="C2247" s="6">
        <v>0</v>
      </c>
    </row>
    <row r="2248" spans="1:17" x14ac:dyDescent="0.2">
      <c r="A2248" s="10" t="s">
        <v>10</v>
      </c>
      <c r="B2248" s="10"/>
      <c r="C2248" s="6">
        <v>6.4</v>
      </c>
    </row>
    <row r="2249" spans="1:17" x14ac:dyDescent="0.2">
      <c r="A2249" t="s">
        <v>1615</v>
      </c>
      <c r="C2249" cm="1">
        <f t="array" ref="C2249">IFERROR(SUMPRODUCT(ISNUMBER(SEARCH("מילואים",O2201:O2238))*(C2201:C2238&lt;&gt;"")*(J2201:J2238+0))*24,0)</f>
        <v>0</v>
      </c>
    </row>
    <row r="2250" spans="1:17" ht="12.95" customHeight="1" x14ac:dyDescent="0.2">
      <c r="A2250" s="7" t="s">
        <v>1517</v>
      </c>
      <c r="B2250" s="7"/>
      <c r="C2250" s="7"/>
      <c r="D2250" s="7" t="s">
        <v>1</v>
      </c>
      <c r="E2250" s="7"/>
      <c r="F2250" s="7"/>
      <c r="G2250" s="7"/>
      <c r="H2250" s="7" t="s">
        <v>1489</v>
      </c>
      <c r="I2250" s="7"/>
      <c r="J2250" s="7"/>
      <c r="K2250" s="7"/>
      <c r="L2250" s="7"/>
      <c r="M2250" s="7"/>
      <c r="N2250" s="7"/>
      <c r="O2250" s="7"/>
      <c r="P2250" s="7"/>
      <c r="Q2250" s="7"/>
    </row>
    <row r="2251" spans="1:17" ht="12.95" customHeight="1" x14ac:dyDescent="0.2">
      <c r="A2251" s="7" t="s">
        <v>3</v>
      </c>
      <c r="B2251" s="7"/>
      <c r="C2251" s="7"/>
      <c r="D2251" s="7"/>
      <c r="E2251" s="7"/>
      <c r="F2251" s="7">
        <v>126</v>
      </c>
      <c r="G2251" s="7"/>
      <c r="H2251" s="7" t="s">
        <v>1489</v>
      </c>
      <c r="I2251" s="7"/>
      <c r="J2251" s="7"/>
      <c r="K2251" s="7"/>
      <c r="L2251" s="7"/>
      <c r="M2251" s="7"/>
      <c r="N2251" s="7"/>
      <c r="O2251" s="103"/>
      <c r="P2251" s="7"/>
      <c r="Q2251" s="7"/>
    </row>
    <row r="2252" spans="1:17" ht="22.5" customHeight="1" x14ac:dyDescent="0.2">
      <c r="A2252" s="1" t="s">
        <v>5</v>
      </c>
      <c r="B2252" s="1" t="s">
        <v>6</v>
      </c>
      <c r="C2252" s="1" t="s">
        <v>7</v>
      </c>
      <c r="D2252" s="1" t="s">
        <v>8</v>
      </c>
      <c r="E2252" s="1" t="s">
        <v>9</v>
      </c>
      <c r="F2252" s="1" t="s">
        <v>10</v>
      </c>
      <c r="G2252" s="1" t="s">
        <v>11</v>
      </c>
      <c r="H2252" s="1" t="s">
        <v>12</v>
      </c>
      <c r="I2252" s="1" t="s">
        <v>13</v>
      </c>
      <c r="J2252" s="1" t="s">
        <v>14</v>
      </c>
      <c r="K2252" s="1" t="s">
        <v>15</v>
      </c>
      <c r="L2252" s="1" t="s">
        <v>267</v>
      </c>
      <c r="M2252" s="1" t="s">
        <v>16</v>
      </c>
      <c r="N2252" s="1" t="s">
        <v>17</v>
      </c>
      <c r="O2252" s="1" t="s">
        <v>18</v>
      </c>
      <c r="P2252" s="1" t="s">
        <v>19</v>
      </c>
      <c r="Q2252" s="1" t="s">
        <v>20</v>
      </c>
    </row>
    <row r="2253" spans="1:17" ht="12.95" customHeight="1" x14ac:dyDescent="0.2">
      <c r="A2253" s="2" t="s">
        <v>21</v>
      </c>
      <c r="B2253" s="2" t="s">
        <v>22</v>
      </c>
      <c r="C2253" s="2"/>
      <c r="D2253" s="2"/>
      <c r="E2253" s="3"/>
      <c r="F2253" s="2"/>
      <c r="G2253" s="2"/>
      <c r="H2253" s="2"/>
      <c r="I2253" s="130">
        <v>0</v>
      </c>
      <c r="J2253" s="2"/>
      <c r="K2253" s="2"/>
      <c r="L2253" s="2"/>
      <c r="M2253" s="2"/>
      <c r="N2253" s="2"/>
      <c r="O2253" s="129" t="s">
        <v>1749</v>
      </c>
      <c r="P2253" s="2"/>
      <c r="Q2253" s="2"/>
    </row>
    <row r="2254" spans="1:17" ht="12.95" customHeight="1" x14ac:dyDescent="0.2">
      <c r="A2254" s="2" t="s">
        <v>26</v>
      </c>
      <c r="B2254" s="2" t="s">
        <v>27</v>
      </c>
      <c r="C2254" s="2"/>
      <c r="D2254" s="2"/>
      <c r="E2254" s="3"/>
      <c r="F2254" s="2"/>
      <c r="G2254" s="2"/>
      <c r="H2254" s="2"/>
      <c r="I2254" s="130">
        <v>0</v>
      </c>
      <c r="J2254" s="2"/>
      <c r="K2254" s="2"/>
      <c r="L2254" s="2"/>
      <c r="M2254" s="2"/>
      <c r="N2254" s="2"/>
      <c r="O2254" s="129" t="s">
        <v>1749</v>
      </c>
      <c r="P2254" s="2"/>
      <c r="Q2254" s="2"/>
    </row>
    <row r="2255" spans="1:17" ht="12.95" customHeight="1" x14ac:dyDescent="0.2">
      <c r="A2255" s="4" t="s">
        <v>30</v>
      </c>
      <c r="B2255" s="4" t="s">
        <v>31</v>
      </c>
      <c r="C2255" s="4"/>
      <c r="D2255" s="4"/>
      <c r="E2255" s="3"/>
      <c r="F2255" s="4"/>
      <c r="G2255" s="4"/>
      <c r="H2255" s="4"/>
      <c r="I2255" s="35"/>
      <c r="J2255" s="4"/>
      <c r="K2255" s="4"/>
      <c r="L2255" s="4"/>
      <c r="M2255" s="4"/>
      <c r="N2255" s="4"/>
      <c r="O2255" s="4"/>
      <c r="P2255" s="4"/>
      <c r="Q2255" s="4"/>
    </row>
    <row r="2256" spans="1:17" ht="12.95" customHeight="1" x14ac:dyDescent="0.2">
      <c r="A2256" s="4" t="s">
        <v>32</v>
      </c>
      <c r="B2256" s="4" t="s">
        <v>31</v>
      </c>
      <c r="C2256" s="4"/>
      <c r="D2256" s="4"/>
      <c r="E2256" s="3"/>
      <c r="F2256" s="4"/>
      <c r="G2256" s="4"/>
      <c r="H2256" s="4"/>
      <c r="I2256" s="35"/>
      <c r="J2256" s="4"/>
      <c r="K2256" s="4"/>
      <c r="L2256" s="4"/>
      <c r="M2256" s="4"/>
      <c r="N2256" s="4"/>
      <c r="O2256" s="4"/>
      <c r="P2256" s="4"/>
      <c r="Q2256" s="4"/>
    </row>
    <row r="2257" spans="1:17" x14ac:dyDescent="0.2">
      <c r="A2257" s="4" t="s">
        <v>33</v>
      </c>
      <c r="B2257" s="4" t="s">
        <v>34</v>
      </c>
      <c r="C2257" s="4" t="s">
        <v>34</v>
      </c>
      <c r="D2257" s="4" t="s">
        <v>34</v>
      </c>
      <c r="E2257" s="4"/>
      <c r="F2257" s="4"/>
      <c r="G2257" s="4"/>
      <c r="H2257" s="4" t="s">
        <v>92</v>
      </c>
      <c r="I2257" s="35"/>
      <c r="J2257" s="4"/>
      <c r="K2257" s="4"/>
      <c r="L2257" s="4"/>
      <c r="M2257" s="4"/>
      <c r="N2257" s="4"/>
      <c r="O2257" s="4"/>
      <c r="P2257" s="4"/>
      <c r="Q2257" s="4"/>
    </row>
    <row r="2258" spans="1:17" ht="12.95" customHeight="1" x14ac:dyDescent="0.2">
      <c r="A2258" s="2" t="s">
        <v>35</v>
      </c>
      <c r="B2258" s="2" t="s">
        <v>36</v>
      </c>
      <c r="C2258" s="2"/>
      <c r="D2258" s="2"/>
      <c r="E2258" s="3"/>
      <c r="F2258" s="2"/>
      <c r="G2258" s="2"/>
      <c r="H2258" s="2"/>
      <c r="I2258" s="130">
        <v>0</v>
      </c>
      <c r="J2258" s="2"/>
      <c r="K2258" s="2"/>
      <c r="L2258" s="2"/>
      <c r="M2258" s="2"/>
      <c r="N2258" s="2"/>
      <c r="O2258" s="129" t="s">
        <v>1749</v>
      </c>
      <c r="P2258" s="2"/>
      <c r="Q2258" s="2"/>
    </row>
    <row r="2259" spans="1:17" ht="12.95" customHeight="1" x14ac:dyDescent="0.2">
      <c r="A2259" s="2" t="s">
        <v>38</v>
      </c>
      <c r="B2259" s="2" t="s">
        <v>36</v>
      </c>
      <c r="C2259" s="2"/>
      <c r="D2259" s="2"/>
      <c r="E2259" s="3"/>
      <c r="F2259" s="2"/>
      <c r="G2259" s="2"/>
      <c r="H2259" s="2"/>
      <c r="I2259" s="130">
        <v>0</v>
      </c>
      <c r="J2259" s="2"/>
      <c r="K2259" s="2"/>
      <c r="L2259" s="2"/>
      <c r="M2259" s="2"/>
      <c r="N2259" s="2"/>
      <c r="O2259" s="129" t="s">
        <v>1749</v>
      </c>
      <c r="P2259" s="2"/>
      <c r="Q2259" s="2"/>
    </row>
    <row r="2260" spans="1:17" ht="12.95" customHeight="1" x14ac:dyDescent="0.2">
      <c r="A2260" s="2" t="s">
        <v>39</v>
      </c>
      <c r="B2260" s="2" t="s">
        <v>22</v>
      </c>
      <c r="C2260" s="2"/>
      <c r="D2260" s="2"/>
      <c r="E2260" s="3"/>
      <c r="F2260" s="2"/>
      <c r="G2260" s="2"/>
      <c r="H2260" s="2"/>
      <c r="I2260" s="130">
        <v>0</v>
      </c>
      <c r="J2260" s="2"/>
      <c r="K2260" s="2"/>
      <c r="L2260" s="2"/>
      <c r="M2260" s="2"/>
      <c r="N2260" s="2"/>
      <c r="O2260" s="129" t="s">
        <v>1749</v>
      </c>
      <c r="P2260" s="2"/>
      <c r="Q2260" s="2"/>
    </row>
    <row r="2261" spans="1:17" ht="12.95" customHeight="1" x14ac:dyDescent="0.2">
      <c r="A2261" s="2" t="s">
        <v>40</v>
      </c>
      <c r="B2261" s="2" t="s">
        <v>27</v>
      </c>
      <c r="C2261" s="2"/>
      <c r="D2261" s="2"/>
      <c r="E2261" s="3"/>
      <c r="F2261" s="2"/>
      <c r="G2261" s="2"/>
      <c r="H2261" s="2"/>
      <c r="I2261" s="130">
        <v>0</v>
      </c>
      <c r="J2261" s="2"/>
      <c r="K2261" s="2"/>
      <c r="L2261" s="2"/>
      <c r="M2261" s="2"/>
      <c r="N2261" s="2"/>
      <c r="O2261" s="129" t="s">
        <v>1749</v>
      </c>
      <c r="P2261" s="2"/>
      <c r="Q2261" s="2"/>
    </row>
    <row r="2262" spans="1:17" ht="12.95" customHeight="1" x14ac:dyDescent="0.2">
      <c r="A2262" s="2" t="s">
        <v>41</v>
      </c>
      <c r="B2262" s="2" t="s">
        <v>42</v>
      </c>
      <c r="C2262" s="2"/>
      <c r="D2262" s="2"/>
      <c r="E2262" s="3"/>
      <c r="F2262" s="2"/>
      <c r="G2262" s="2"/>
      <c r="H2262" s="2"/>
      <c r="I2262" s="130">
        <v>0</v>
      </c>
      <c r="J2262" s="2"/>
      <c r="K2262" s="2"/>
      <c r="L2262" s="2"/>
      <c r="M2262" s="2"/>
      <c r="N2262" s="2"/>
      <c r="O2262" s="129" t="s">
        <v>1749</v>
      </c>
      <c r="P2262" s="2"/>
      <c r="Q2262" s="2"/>
    </row>
    <row r="2263" spans="1:17" ht="12.95" customHeight="1" x14ac:dyDescent="0.2">
      <c r="A2263" s="4" t="s">
        <v>51</v>
      </c>
      <c r="B2263" s="4" t="s">
        <v>31</v>
      </c>
      <c r="C2263" s="4"/>
      <c r="D2263" s="4"/>
      <c r="E2263" s="3"/>
      <c r="F2263" s="4"/>
      <c r="G2263" s="4"/>
      <c r="H2263" s="4"/>
      <c r="I2263" s="35"/>
      <c r="J2263" s="4"/>
      <c r="K2263" s="4"/>
      <c r="L2263" s="4"/>
      <c r="M2263" s="4"/>
      <c r="N2263" s="4"/>
      <c r="O2263" s="4"/>
      <c r="P2263" s="4"/>
      <c r="Q2263" s="4"/>
    </row>
    <row r="2264" spans="1:17" ht="12.95" customHeight="1" x14ac:dyDescent="0.2">
      <c r="A2264" s="4" t="s">
        <v>52</v>
      </c>
      <c r="B2264" s="4" t="s">
        <v>31</v>
      </c>
      <c r="C2264" s="4"/>
      <c r="D2264" s="4"/>
      <c r="E2264" s="3"/>
      <c r="F2264" s="4"/>
      <c r="G2264" s="4"/>
      <c r="H2264" s="4"/>
      <c r="I2264" s="35"/>
      <c r="J2264" s="4"/>
      <c r="K2264" s="4"/>
      <c r="L2264" s="4"/>
      <c r="M2264" s="4"/>
      <c r="N2264" s="4"/>
      <c r="O2264" s="4"/>
      <c r="P2264" s="4"/>
      <c r="Q2264" s="4"/>
    </row>
    <row r="2265" spans="1:17" x14ac:dyDescent="0.2">
      <c r="A2265" s="4" t="s">
        <v>33</v>
      </c>
      <c r="B2265" s="4" t="s">
        <v>34</v>
      </c>
      <c r="C2265" s="4" t="s">
        <v>34</v>
      </c>
      <c r="D2265" s="4" t="s">
        <v>34</v>
      </c>
      <c r="E2265" s="4"/>
      <c r="F2265" s="4"/>
      <c r="G2265" s="4"/>
      <c r="H2265" s="4" t="s">
        <v>92</v>
      </c>
      <c r="I2265" s="35"/>
      <c r="J2265" s="4"/>
      <c r="K2265" s="4"/>
      <c r="L2265" s="4"/>
      <c r="M2265" s="4"/>
      <c r="N2265" s="4"/>
      <c r="O2265" s="4"/>
      <c r="P2265" s="4"/>
      <c r="Q2265" s="4"/>
    </row>
    <row r="2266" spans="1:17" ht="12.95" customHeight="1" x14ac:dyDescent="0.2">
      <c r="A2266" s="2" t="s">
        <v>54</v>
      </c>
      <c r="B2266" s="2" t="s">
        <v>42</v>
      </c>
      <c r="C2266" s="2"/>
      <c r="D2266" s="2"/>
      <c r="E2266" s="3"/>
      <c r="F2266" s="2"/>
      <c r="G2266" s="2"/>
      <c r="H2266" s="2"/>
      <c r="I2266" s="130">
        <v>0</v>
      </c>
      <c r="J2266" s="2"/>
      <c r="K2266" s="2"/>
      <c r="L2266" s="2"/>
      <c r="M2266" s="2"/>
      <c r="N2266" s="2"/>
      <c r="O2266" s="129" t="s">
        <v>1749</v>
      </c>
      <c r="P2266" s="2"/>
      <c r="Q2266" s="2"/>
    </row>
    <row r="2267" spans="1:17" ht="12.95" customHeight="1" x14ac:dyDescent="0.2">
      <c r="A2267" s="2" t="s">
        <v>61</v>
      </c>
      <c r="B2267" s="2" t="s">
        <v>42</v>
      </c>
      <c r="C2267" s="2"/>
      <c r="D2267" s="2"/>
      <c r="E2267" s="3"/>
      <c r="F2267" s="2"/>
      <c r="G2267" s="2"/>
      <c r="H2267" s="2"/>
      <c r="I2267" s="130">
        <v>0</v>
      </c>
      <c r="J2267" s="2"/>
      <c r="K2267" s="2"/>
      <c r="L2267" s="2"/>
      <c r="M2267" s="2"/>
      <c r="N2267" s="2"/>
      <c r="O2267" s="129" t="s">
        <v>1749</v>
      </c>
      <c r="P2267" s="2"/>
      <c r="Q2267" s="2"/>
    </row>
    <row r="2268" spans="1:17" ht="12.95" customHeight="1" x14ac:dyDescent="0.2">
      <c r="A2268" s="2" t="s">
        <v>68</v>
      </c>
      <c r="B2268" s="2" t="s">
        <v>42</v>
      </c>
      <c r="C2268" s="2"/>
      <c r="D2268" s="2"/>
      <c r="E2268" s="3"/>
      <c r="F2268" s="2"/>
      <c r="G2268" s="2"/>
      <c r="H2268" s="2"/>
      <c r="I2268" s="130">
        <v>0</v>
      </c>
      <c r="J2268" s="2"/>
      <c r="K2268" s="2"/>
      <c r="L2268" s="2"/>
      <c r="M2268" s="2"/>
      <c r="N2268" s="2"/>
      <c r="O2268" s="129" t="s">
        <v>1749</v>
      </c>
      <c r="P2268" s="2"/>
      <c r="Q2268" s="2"/>
    </row>
    <row r="2269" spans="1:17" ht="12.95" customHeight="1" x14ac:dyDescent="0.2">
      <c r="A2269" s="2" t="s">
        <v>75</v>
      </c>
      <c r="B2269" s="2" t="s">
        <v>42</v>
      </c>
      <c r="C2269" s="2"/>
      <c r="D2269" s="2"/>
      <c r="E2269" s="3"/>
      <c r="F2269" s="2"/>
      <c r="G2269" s="2"/>
      <c r="H2269" s="2"/>
      <c r="I2269" s="130">
        <v>0</v>
      </c>
      <c r="J2269" s="2"/>
      <c r="K2269" s="2"/>
      <c r="L2269" s="2"/>
      <c r="M2269" s="2"/>
      <c r="N2269" s="2"/>
      <c r="O2269" s="129" t="s">
        <v>1749</v>
      </c>
      <c r="P2269" s="2"/>
      <c r="Q2269" s="2"/>
    </row>
    <row r="2270" spans="1:17" ht="12.95" customHeight="1" x14ac:dyDescent="0.2">
      <c r="A2270" s="2" t="s">
        <v>81</v>
      </c>
      <c r="B2270" s="2" t="s">
        <v>42</v>
      </c>
      <c r="C2270" s="2"/>
      <c r="D2270" s="2"/>
      <c r="E2270" s="3"/>
      <c r="F2270" s="2"/>
      <c r="G2270" s="2"/>
      <c r="H2270" s="2"/>
      <c r="I2270" s="130">
        <v>0</v>
      </c>
      <c r="J2270" s="2"/>
      <c r="K2270" s="2"/>
      <c r="L2270" s="2"/>
      <c r="M2270" s="2"/>
      <c r="N2270" s="2"/>
      <c r="O2270" s="129" t="s">
        <v>1749</v>
      </c>
      <c r="P2270" s="2"/>
      <c r="Q2270" s="2"/>
    </row>
    <row r="2271" spans="1:17" ht="12.95" customHeight="1" x14ac:dyDescent="0.2">
      <c r="A2271" s="4" t="s">
        <v>87</v>
      </c>
      <c r="B2271" s="4" t="s">
        <v>31</v>
      </c>
      <c r="C2271" s="4"/>
      <c r="D2271" s="4"/>
      <c r="E2271" s="3"/>
      <c r="F2271" s="4"/>
      <c r="G2271" s="4"/>
      <c r="H2271" s="4"/>
      <c r="I2271" s="35"/>
      <c r="J2271" s="4"/>
      <c r="K2271" s="4"/>
      <c r="L2271" s="4"/>
      <c r="M2271" s="4"/>
      <c r="N2271" s="4"/>
      <c r="O2271" s="4"/>
      <c r="P2271" s="4"/>
      <c r="Q2271" s="4"/>
    </row>
    <row r="2272" spans="1:17" ht="12.95" customHeight="1" x14ac:dyDescent="0.2">
      <c r="A2272" s="4" t="s">
        <v>88</v>
      </c>
      <c r="B2272" s="4" t="s">
        <v>31</v>
      </c>
      <c r="C2272" s="4"/>
      <c r="D2272" s="4"/>
      <c r="E2272" s="3"/>
      <c r="F2272" s="4"/>
      <c r="G2272" s="4"/>
      <c r="H2272" s="4"/>
      <c r="I2272" s="35"/>
      <c r="J2272" s="4"/>
      <c r="K2272" s="4"/>
      <c r="L2272" s="4"/>
      <c r="M2272" s="4"/>
      <c r="N2272" s="4"/>
      <c r="O2272" s="4"/>
      <c r="P2272" s="4"/>
      <c r="Q2272" s="4"/>
    </row>
    <row r="2273" spans="1:17" x14ac:dyDescent="0.2">
      <c r="A2273" s="4" t="s">
        <v>33</v>
      </c>
      <c r="B2273" s="4" t="s">
        <v>34</v>
      </c>
      <c r="C2273" s="4" t="s">
        <v>34</v>
      </c>
      <c r="D2273" s="4" t="s">
        <v>34</v>
      </c>
      <c r="E2273" s="4"/>
      <c r="F2273" s="4"/>
      <c r="G2273" s="4"/>
      <c r="H2273" s="4" t="s">
        <v>92</v>
      </c>
      <c r="I2273" s="35"/>
      <c r="J2273" s="4"/>
      <c r="K2273" s="4"/>
      <c r="L2273" s="4"/>
      <c r="M2273" s="4"/>
      <c r="N2273" s="4"/>
      <c r="O2273" s="4"/>
      <c r="P2273" s="4"/>
      <c r="Q2273" s="4"/>
    </row>
    <row r="2274" spans="1:17" ht="12.95" customHeight="1" x14ac:dyDescent="0.2">
      <c r="A2274" s="2" t="s">
        <v>97</v>
      </c>
      <c r="B2274" s="2" t="s">
        <v>42</v>
      </c>
      <c r="C2274" s="2" t="s">
        <v>1518</v>
      </c>
      <c r="D2274" s="2" t="s">
        <v>1519</v>
      </c>
      <c r="E2274" s="3" t="s">
        <v>157</v>
      </c>
      <c r="F2274" s="2"/>
      <c r="G2274" s="2" t="s">
        <v>157</v>
      </c>
      <c r="H2274" s="2"/>
      <c r="I2274" s="13"/>
      <c r="J2274" s="2" t="s">
        <v>157</v>
      </c>
      <c r="K2274" s="2"/>
      <c r="L2274" s="2"/>
      <c r="M2274" s="2"/>
      <c r="N2274" s="2"/>
      <c r="O2274" s="2"/>
      <c r="P2274" s="2"/>
      <c r="Q2274" s="2"/>
    </row>
    <row r="2275" spans="1:17" ht="12.95" customHeight="1" x14ac:dyDescent="0.2">
      <c r="A2275" s="2" t="s">
        <v>104</v>
      </c>
      <c r="B2275" s="2" t="s">
        <v>42</v>
      </c>
      <c r="C2275" s="2" t="s">
        <v>1520</v>
      </c>
      <c r="D2275" s="2" t="s">
        <v>1521</v>
      </c>
      <c r="E2275" s="3" t="s">
        <v>1522</v>
      </c>
      <c r="F2275" s="2" t="s">
        <v>23</v>
      </c>
      <c r="G2275" s="2" t="s">
        <v>801</v>
      </c>
      <c r="H2275" s="2"/>
      <c r="I2275" s="13"/>
      <c r="J2275" s="2" t="s">
        <v>48</v>
      </c>
      <c r="K2275" s="2" t="s">
        <v>641</v>
      </c>
      <c r="L2275" s="2"/>
      <c r="M2275" s="2"/>
      <c r="N2275" s="2"/>
      <c r="O2275" s="2"/>
      <c r="P2275" s="2"/>
      <c r="Q2275" s="2"/>
    </row>
    <row r="2276" spans="1:17" ht="12.95" customHeight="1" x14ac:dyDescent="0.2">
      <c r="A2276" s="2" t="s">
        <v>112</v>
      </c>
      <c r="B2276" s="2" t="s">
        <v>22</v>
      </c>
      <c r="C2276" s="2" t="s">
        <v>1122</v>
      </c>
      <c r="D2276" s="2" t="s">
        <v>1523</v>
      </c>
      <c r="E2276" s="3" t="s">
        <v>43</v>
      </c>
      <c r="F2276" s="2"/>
      <c r="G2276" s="2" t="s">
        <v>43</v>
      </c>
      <c r="H2276" s="2"/>
      <c r="I2276" s="13"/>
      <c r="J2276" s="2"/>
      <c r="K2276" s="2"/>
      <c r="L2276" s="2" t="s">
        <v>43</v>
      </c>
      <c r="M2276" s="2"/>
      <c r="N2276" s="2"/>
      <c r="O2276" s="2" t="s">
        <v>24</v>
      </c>
      <c r="P2276" s="2"/>
      <c r="Q2276" s="2"/>
    </row>
    <row r="2277" spans="1:17" ht="12.95" customHeight="1" x14ac:dyDescent="0.2">
      <c r="A2277" s="2" t="s">
        <v>114</v>
      </c>
      <c r="B2277" s="2" t="s">
        <v>27</v>
      </c>
      <c r="C2277" s="2"/>
      <c r="D2277" s="2"/>
      <c r="E2277" s="3"/>
      <c r="F2277" s="2"/>
      <c r="G2277" s="2"/>
      <c r="H2277" s="2"/>
      <c r="I2277" s="13"/>
      <c r="J2277" s="2"/>
      <c r="K2277" s="2"/>
      <c r="L2277" s="2"/>
      <c r="M2277" s="2"/>
      <c r="N2277" s="2"/>
      <c r="O2277" s="2"/>
      <c r="P2277" s="2"/>
      <c r="Q2277" s="2"/>
    </row>
    <row r="2278" spans="1:17" ht="12.95" customHeight="1" x14ac:dyDescent="0.2">
      <c r="A2278" s="2" t="s">
        <v>115</v>
      </c>
      <c r="B2278" s="2" t="s">
        <v>42</v>
      </c>
      <c r="C2278" s="2" t="s">
        <v>541</v>
      </c>
      <c r="D2278" s="2" t="s">
        <v>289</v>
      </c>
      <c r="E2278" s="3" t="s">
        <v>145</v>
      </c>
      <c r="F2278" s="2" t="s">
        <v>23</v>
      </c>
      <c r="G2278" s="2" t="s">
        <v>1133</v>
      </c>
      <c r="H2278" s="2"/>
      <c r="I2278" s="13"/>
      <c r="J2278" s="2" t="s">
        <v>48</v>
      </c>
      <c r="K2278" s="2" t="s">
        <v>645</v>
      </c>
      <c r="L2278" s="2"/>
      <c r="M2278" s="2"/>
      <c r="N2278" s="2"/>
      <c r="O2278" s="2"/>
      <c r="P2278" s="2"/>
      <c r="Q2278" s="2"/>
    </row>
    <row r="2279" spans="1:17" ht="12.95" customHeight="1" x14ac:dyDescent="0.2">
      <c r="A2279" s="4" t="s">
        <v>122</v>
      </c>
      <c r="B2279" s="4" t="s">
        <v>31</v>
      </c>
      <c r="C2279" s="4"/>
      <c r="D2279" s="4"/>
      <c r="E2279" s="3"/>
      <c r="F2279" s="4"/>
      <c r="G2279" s="4"/>
      <c r="H2279" s="4"/>
      <c r="I2279" s="35"/>
      <c r="J2279" s="4"/>
      <c r="K2279" s="4"/>
      <c r="L2279" s="4"/>
      <c r="M2279" s="4"/>
      <c r="N2279" s="4"/>
      <c r="O2279" s="4"/>
      <c r="P2279" s="4"/>
      <c r="Q2279" s="4"/>
    </row>
    <row r="2280" spans="1:17" ht="12.95" customHeight="1" x14ac:dyDescent="0.2">
      <c r="A2280" s="4" t="s">
        <v>123</v>
      </c>
      <c r="B2280" s="4" t="s">
        <v>31</v>
      </c>
      <c r="C2280" s="4"/>
      <c r="D2280" s="4"/>
      <c r="E2280" s="3"/>
      <c r="F2280" s="4"/>
      <c r="G2280" s="4"/>
      <c r="H2280" s="4"/>
      <c r="I2280" s="35"/>
      <c r="J2280" s="4"/>
      <c r="K2280" s="4"/>
      <c r="L2280" s="4"/>
      <c r="M2280" s="4"/>
      <c r="N2280" s="4"/>
      <c r="O2280" s="4"/>
      <c r="P2280" s="4"/>
      <c r="Q2280" s="4"/>
    </row>
    <row r="2281" spans="1:17" x14ac:dyDescent="0.2">
      <c r="A2281" s="4" t="s">
        <v>33</v>
      </c>
      <c r="B2281" s="4" t="s">
        <v>34</v>
      </c>
      <c r="C2281" s="4" t="s">
        <v>34</v>
      </c>
      <c r="D2281" s="4" t="s">
        <v>34</v>
      </c>
      <c r="E2281" s="4" t="s">
        <v>1524</v>
      </c>
      <c r="F2281" s="4" t="s">
        <v>319</v>
      </c>
      <c r="G2281" s="4" t="s">
        <v>1525</v>
      </c>
      <c r="H2281" s="4" t="s">
        <v>92</v>
      </c>
      <c r="I2281" s="35"/>
      <c r="J2281" s="4" t="s">
        <v>1526</v>
      </c>
      <c r="K2281" s="4" t="s">
        <v>719</v>
      </c>
      <c r="L2281" s="4" t="s">
        <v>43</v>
      </c>
      <c r="M2281" s="4"/>
      <c r="N2281" s="4"/>
      <c r="O2281" s="4"/>
      <c r="P2281" s="4"/>
      <c r="Q2281" s="4"/>
    </row>
    <row r="2282" spans="1:17" ht="12.95" customHeight="1" x14ac:dyDescent="0.2">
      <c r="A2282" s="2" t="s">
        <v>131</v>
      </c>
      <c r="B2282" s="2" t="s">
        <v>42</v>
      </c>
      <c r="C2282" s="2" t="s">
        <v>1101</v>
      </c>
      <c r="D2282" s="2" t="s">
        <v>826</v>
      </c>
      <c r="E2282" s="3" t="s">
        <v>166</v>
      </c>
      <c r="F2282" s="2" t="s">
        <v>23</v>
      </c>
      <c r="G2282" s="2" t="s">
        <v>1250</v>
      </c>
      <c r="H2282" s="2"/>
      <c r="I2282" s="13"/>
      <c r="J2282" s="2" t="s">
        <v>48</v>
      </c>
      <c r="K2282" s="2" t="s">
        <v>324</v>
      </c>
      <c r="L2282" s="2"/>
      <c r="M2282" s="2"/>
      <c r="N2282" s="2"/>
      <c r="O2282" s="2"/>
      <c r="P2282" s="2"/>
      <c r="Q2282" s="2"/>
    </row>
    <row r="2283" spans="1:17" ht="12.95" customHeight="1" x14ac:dyDescent="0.2">
      <c r="A2283" s="2" t="s">
        <v>138</v>
      </c>
      <c r="B2283" s="2" t="s">
        <v>42</v>
      </c>
      <c r="C2283" s="2" t="s">
        <v>332</v>
      </c>
      <c r="D2283" s="2" t="s">
        <v>819</v>
      </c>
      <c r="E2283" s="3" t="s">
        <v>533</v>
      </c>
      <c r="F2283" s="2" t="s">
        <v>23</v>
      </c>
      <c r="G2283" s="2" t="s">
        <v>1254</v>
      </c>
      <c r="H2283" s="2"/>
      <c r="I2283" s="13"/>
      <c r="J2283" s="2" t="s">
        <v>48</v>
      </c>
      <c r="K2283" s="2" t="s">
        <v>137</v>
      </c>
      <c r="L2283" s="2"/>
      <c r="M2283" s="2"/>
      <c r="N2283" s="2"/>
      <c r="O2283" s="2"/>
      <c r="P2283" s="2"/>
      <c r="Q2283" s="2"/>
    </row>
    <row r="2284" spans="1:17" ht="12.95" customHeight="1" x14ac:dyDescent="0.2">
      <c r="A2284" s="2" t="s">
        <v>143</v>
      </c>
      <c r="B2284" s="2" t="s">
        <v>42</v>
      </c>
      <c r="C2284" s="2" t="s">
        <v>410</v>
      </c>
      <c r="D2284" s="2" t="s">
        <v>743</v>
      </c>
      <c r="E2284" s="3" t="s">
        <v>431</v>
      </c>
      <c r="F2284" s="2" t="s">
        <v>23</v>
      </c>
      <c r="G2284" s="2" t="s">
        <v>1220</v>
      </c>
      <c r="H2284" s="2"/>
      <c r="I2284" s="13"/>
      <c r="J2284" s="2" t="s">
        <v>48</v>
      </c>
      <c r="K2284" s="2" t="s">
        <v>455</v>
      </c>
      <c r="L2284" s="2"/>
      <c r="M2284" s="2"/>
      <c r="N2284" s="2"/>
      <c r="O2284" s="2"/>
      <c r="P2284" s="2"/>
      <c r="Q2284" s="2"/>
    </row>
    <row r="2285" spans="1:17" ht="12.95" customHeight="1" x14ac:dyDescent="0.2">
      <c r="A2285" s="2" t="s">
        <v>148</v>
      </c>
      <c r="B2285" s="2" t="s">
        <v>42</v>
      </c>
      <c r="C2285" s="2" t="s">
        <v>852</v>
      </c>
      <c r="D2285" s="2" t="s">
        <v>1291</v>
      </c>
      <c r="E2285" s="3" t="s">
        <v>859</v>
      </c>
      <c r="F2285" s="2" t="s">
        <v>23</v>
      </c>
      <c r="G2285" s="2" t="s">
        <v>1042</v>
      </c>
      <c r="H2285" s="2"/>
      <c r="I2285" s="13"/>
      <c r="J2285" s="2" t="s">
        <v>48</v>
      </c>
      <c r="K2285" s="2" t="s">
        <v>1277</v>
      </c>
      <c r="L2285" s="2"/>
      <c r="M2285" s="2"/>
      <c r="N2285" s="2"/>
      <c r="O2285" s="2"/>
      <c r="P2285" s="2"/>
      <c r="Q2285" s="2"/>
    </row>
    <row r="2286" spans="1:17" ht="12.95" customHeight="1" x14ac:dyDescent="0.2">
      <c r="A2286" s="2" t="s">
        <v>155</v>
      </c>
      <c r="B2286" s="2" t="s">
        <v>42</v>
      </c>
      <c r="C2286" s="2" t="s">
        <v>1527</v>
      </c>
      <c r="D2286" s="2" t="s">
        <v>1053</v>
      </c>
      <c r="E2286" s="3" t="s">
        <v>640</v>
      </c>
      <c r="F2286" s="2" t="s">
        <v>23</v>
      </c>
      <c r="G2286" s="2" t="s">
        <v>694</v>
      </c>
      <c r="H2286" s="2"/>
      <c r="I2286" s="13"/>
      <c r="J2286" s="2" t="s">
        <v>48</v>
      </c>
      <c r="K2286" s="2" t="s">
        <v>625</v>
      </c>
      <c r="L2286" s="2"/>
      <c r="M2286" s="2"/>
      <c r="N2286" s="2"/>
      <c r="O2286" s="2"/>
      <c r="P2286" s="2"/>
      <c r="Q2286" s="2"/>
    </row>
    <row r="2287" spans="1:17" ht="12.95" customHeight="1" x14ac:dyDescent="0.2">
      <c r="A2287" s="8" t="s">
        <v>161</v>
      </c>
      <c r="B2287" s="8"/>
      <c r="C2287" s="8"/>
      <c r="D2287" s="8"/>
      <c r="E2287" s="5" t="s">
        <v>1528</v>
      </c>
      <c r="F2287" s="5" t="s">
        <v>1455</v>
      </c>
      <c r="G2287" s="5" t="s">
        <v>1529</v>
      </c>
      <c r="H2287" s="5" t="s">
        <v>92</v>
      </c>
      <c r="I2287" s="36" t="s">
        <v>296</v>
      </c>
      <c r="J2287" s="5" t="s">
        <v>1530</v>
      </c>
      <c r="K2287" s="5" t="s">
        <v>801</v>
      </c>
      <c r="L2287" s="5" t="s">
        <v>43</v>
      </c>
      <c r="M2287" s="5" t="s">
        <v>296</v>
      </c>
      <c r="N2287" s="5" t="s">
        <v>296</v>
      </c>
      <c r="O2287" s="5"/>
      <c r="P2287" s="5"/>
      <c r="Q2287" s="5"/>
    </row>
    <row r="2288" spans="1:17" ht="12.95" customHeight="1" x14ac:dyDescent="0.2">
      <c r="A2288" s="8" t="s">
        <v>171</v>
      </c>
      <c r="B2288" s="8"/>
      <c r="C2288" s="8"/>
      <c r="D2288" s="8"/>
      <c r="E2288" s="5" t="s">
        <v>1528</v>
      </c>
      <c r="F2288" s="5" t="s">
        <v>1455</v>
      </c>
      <c r="G2288" s="5" t="s">
        <v>1529</v>
      </c>
      <c r="H2288" s="5" t="s">
        <v>92</v>
      </c>
      <c r="I2288" s="36" t="s">
        <v>296</v>
      </c>
      <c r="J2288" s="5" t="s">
        <v>1530</v>
      </c>
      <c r="K2288" s="5" t="s">
        <v>801</v>
      </c>
      <c r="L2288" s="5" t="s">
        <v>43</v>
      </c>
      <c r="M2288" s="5" t="s">
        <v>296</v>
      </c>
      <c r="N2288" s="5" t="s">
        <v>296</v>
      </c>
      <c r="O2288" s="5"/>
      <c r="P2288" s="5"/>
      <c r="Q2288" s="5"/>
    </row>
    <row r="2289" spans="1:17" ht="12.95" customHeight="1" x14ac:dyDescent="0.2">
      <c r="A2289" s="8" t="s">
        <v>173</v>
      </c>
      <c r="B2289" s="8"/>
      <c r="C2289" s="8"/>
      <c r="D2289" s="8"/>
      <c r="E2289" s="5">
        <v>88.78</v>
      </c>
      <c r="F2289" s="5">
        <v>2.8</v>
      </c>
      <c r="G2289" s="5">
        <v>85.98</v>
      </c>
      <c r="H2289" s="5">
        <v>42</v>
      </c>
      <c r="I2289" s="36">
        <v>0</v>
      </c>
      <c r="J2289" s="5">
        <v>68.13</v>
      </c>
      <c r="K2289" s="5">
        <v>10.31</v>
      </c>
      <c r="L2289" s="5">
        <v>7.53</v>
      </c>
      <c r="M2289" s="5">
        <v>0</v>
      </c>
      <c r="N2289" s="5">
        <v>0</v>
      </c>
      <c r="O2289" s="5"/>
      <c r="P2289" s="5"/>
      <c r="Q2289" s="5"/>
    </row>
    <row r="2290" spans="1:17" x14ac:dyDescent="0.2">
      <c r="I2290" s="37"/>
    </row>
    <row r="2291" spans="1:17" ht="12.95" customHeight="1" x14ac:dyDescent="0.25">
      <c r="A2291" s="9" t="s">
        <v>174</v>
      </c>
      <c r="B2291" s="9"/>
      <c r="C2291" s="9"/>
      <c r="E2291" s="9" t="s">
        <v>180</v>
      </c>
      <c r="F2291" s="9"/>
      <c r="G2291" s="9"/>
      <c r="I2291" s="14" t="s">
        <v>181</v>
      </c>
    </row>
    <row r="2292" spans="1:17" ht="12.95" customHeight="1" x14ac:dyDescent="0.2">
      <c r="A2292" s="10" t="s">
        <v>175</v>
      </c>
      <c r="B2292" s="10"/>
      <c r="C2292" s="6">
        <v>9</v>
      </c>
      <c r="E2292" s="10" t="s">
        <v>14</v>
      </c>
      <c r="F2292" s="10"/>
      <c r="G2292" s="6">
        <v>68.13</v>
      </c>
      <c r="I2292" s="22" t="s">
        <v>1591</v>
      </c>
      <c r="J2292" s="19"/>
      <c r="K2292" s="20">
        <v>1</v>
      </c>
    </row>
    <row r="2293" spans="1:17" ht="12.95" customHeight="1" x14ac:dyDescent="0.2">
      <c r="A2293" s="10" t="s">
        <v>1531</v>
      </c>
      <c r="B2293" s="10"/>
      <c r="C2293" s="6">
        <v>10</v>
      </c>
      <c r="E2293" s="10" t="s">
        <v>15</v>
      </c>
      <c r="F2293" s="10"/>
      <c r="G2293" s="6">
        <v>10.31</v>
      </c>
      <c r="I2293" s="19" t="s">
        <v>1592</v>
      </c>
      <c r="J2293" s="19"/>
      <c r="K2293" s="20">
        <v>2</v>
      </c>
    </row>
    <row r="2294" spans="1:17" ht="12.95" customHeight="1" x14ac:dyDescent="0.25">
      <c r="A2294" s="10" t="s">
        <v>176</v>
      </c>
      <c r="B2294" s="10"/>
      <c r="C2294" s="6">
        <v>88.78</v>
      </c>
      <c r="E2294" s="10" t="s">
        <v>267</v>
      </c>
      <c r="F2294" s="10"/>
      <c r="G2294" s="6">
        <v>7.53</v>
      </c>
      <c r="I2294" s="41" t="s">
        <v>1593</v>
      </c>
      <c r="J2294" s="40"/>
      <c r="K2294" s="42">
        <f>K2292+K2293</f>
        <v>3</v>
      </c>
    </row>
    <row r="2295" spans="1:17" ht="12.95" customHeight="1" x14ac:dyDescent="0.2">
      <c r="A2295" s="10" t="s">
        <v>177</v>
      </c>
      <c r="B2295" s="10"/>
      <c r="C2295" s="6">
        <v>42</v>
      </c>
    </row>
    <row r="2296" spans="1:17" ht="12.95" customHeight="1" x14ac:dyDescent="0.2">
      <c r="A2296" s="10" t="s">
        <v>11</v>
      </c>
      <c r="B2296" s="10"/>
      <c r="C2296" s="6">
        <v>85.98</v>
      </c>
    </row>
    <row r="2297" spans="1:17" ht="12.95" customHeight="1" x14ac:dyDescent="0.2">
      <c r="A2297" s="10" t="s">
        <v>178</v>
      </c>
      <c r="B2297" s="10"/>
      <c r="C2297" s="6">
        <v>0</v>
      </c>
    </row>
    <row r="2298" spans="1:17" ht="12.95" customHeight="1" x14ac:dyDescent="0.2">
      <c r="A2298" s="10" t="s">
        <v>17</v>
      </c>
      <c r="B2298" s="10"/>
      <c r="C2298" s="6">
        <v>0</v>
      </c>
    </row>
    <row r="2299" spans="1:17" ht="12.95" customHeight="1" x14ac:dyDescent="0.2">
      <c r="A2299" s="10" t="s">
        <v>179</v>
      </c>
      <c r="B2299" s="10"/>
      <c r="C2299" s="6">
        <v>0</v>
      </c>
    </row>
    <row r="2300" spans="1:17" x14ac:dyDescent="0.2">
      <c r="A2300" s="10" t="s">
        <v>10</v>
      </c>
      <c r="B2300" s="10"/>
      <c r="C2300" s="6">
        <v>2.8</v>
      </c>
    </row>
    <row r="2301" spans="1:17" x14ac:dyDescent="0.2">
      <c r="A2301" t="s">
        <v>1615</v>
      </c>
      <c r="C2301" cm="1">
        <f t="array" ref="C2301">IFERROR(SUMPRODUCT(ISNUMBER(SEARCH("מילואים",O2253:O2290))*(C2253:C2290&lt;&gt;"")*(J2253:J2290+0))*24,0)</f>
        <v>0</v>
      </c>
    </row>
  </sheetData>
  <mergeCells count="1258">
    <mergeCell ref="E103:Q103"/>
    <mergeCell ref="E521:Q521"/>
    <mergeCell ref="E573:Q573"/>
    <mergeCell ref="E1253:Q1253"/>
    <mergeCell ref="E1775:Q1775"/>
    <mergeCell ref="A2287:D2287"/>
    <mergeCell ref="A2288:D2288"/>
    <mergeCell ref="A2289:D2289"/>
    <mergeCell ref="A2291:C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E2291:G2291"/>
    <mergeCell ref="E2292:F2292"/>
    <mergeCell ref="E2293:F2293"/>
    <mergeCell ref="E2294:F2294"/>
    <mergeCell ref="A2245:B2245"/>
    <mergeCell ref="A2246:B2246"/>
    <mergeCell ref="A2247:B2247"/>
    <mergeCell ref="A2248:B2248"/>
    <mergeCell ref="E2239:G2239"/>
    <mergeCell ref="E2240:F2240"/>
    <mergeCell ref="E2241:F2241"/>
    <mergeCell ref="E2242:F2242"/>
    <mergeCell ref="I2239:K2239"/>
    <mergeCell ref="I2240:J2240"/>
    <mergeCell ref="I2241:J2241"/>
    <mergeCell ref="I2242:J2242"/>
    <mergeCell ref="A2250:C2250"/>
    <mergeCell ref="D2250:G2250"/>
    <mergeCell ref="H2250:L2250"/>
    <mergeCell ref="M2250:Q2250"/>
    <mergeCell ref="A2251:E2251"/>
    <mergeCell ref="F2251:G2251"/>
    <mergeCell ref="H2251:J2251"/>
    <mergeCell ref="K2251:Q2251"/>
    <mergeCell ref="A2198:C2198"/>
    <mergeCell ref="D2198:G2198"/>
    <mergeCell ref="H2198:L2198"/>
    <mergeCell ref="M2198:Q2198"/>
    <mergeCell ref="A2199:E2199"/>
    <mergeCell ref="F2199:G2199"/>
    <mergeCell ref="H2199:J2199"/>
    <mergeCell ref="K2199:Q2199"/>
    <mergeCell ref="A2235:D2235"/>
    <mergeCell ref="A2236:D2236"/>
    <mergeCell ref="A2237:D2237"/>
    <mergeCell ref="A2239:C2239"/>
    <mergeCell ref="A2240:B2240"/>
    <mergeCell ref="A2241:B2241"/>
    <mergeCell ref="A2242:B2242"/>
    <mergeCell ref="A2243:B2243"/>
    <mergeCell ref="A2244:B2244"/>
    <mergeCell ref="A2183:D2183"/>
    <mergeCell ref="A2184:D2184"/>
    <mergeCell ref="A2185:D2185"/>
    <mergeCell ref="A2187:C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E2187:G2187"/>
    <mergeCell ref="E2188:F2188"/>
    <mergeCell ref="E2189:F2189"/>
    <mergeCell ref="I2187:K2187"/>
    <mergeCell ref="I2188:J2188"/>
    <mergeCell ref="I2189:J2189"/>
    <mergeCell ref="I2190:J2190"/>
    <mergeCell ref="I2191:J2191"/>
    <mergeCell ref="I2192:J2192"/>
    <mergeCell ref="I2193:J2193"/>
    <mergeCell ref="A2144:B2144"/>
    <mergeCell ref="E2135:G2135"/>
    <mergeCell ref="E2136:F2136"/>
    <mergeCell ref="E2137:F2137"/>
    <mergeCell ref="E2138:F2138"/>
    <mergeCell ref="I2135:K2135"/>
    <mergeCell ref="I2136:J2136"/>
    <mergeCell ref="I2137:J2137"/>
    <mergeCell ref="I2138:J2138"/>
    <mergeCell ref="A2146:C2146"/>
    <mergeCell ref="D2146:G2146"/>
    <mergeCell ref="H2146:L2146"/>
    <mergeCell ref="M2146:P2146"/>
    <mergeCell ref="A2147:E2147"/>
    <mergeCell ref="F2147:G2147"/>
    <mergeCell ref="H2147:J2147"/>
    <mergeCell ref="K2147:P2147"/>
    <mergeCell ref="M2094:Q2094"/>
    <mergeCell ref="A2095:E2095"/>
    <mergeCell ref="F2095:G2095"/>
    <mergeCell ref="H2095:J2095"/>
    <mergeCell ref="K2095:Q2095"/>
    <mergeCell ref="A2131:D2131"/>
    <mergeCell ref="A2132:D2132"/>
    <mergeCell ref="A2133:D2133"/>
    <mergeCell ref="A2135:C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086:B2086"/>
    <mergeCell ref="A2087:B2087"/>
    <mergeCell ref="A2088:B2088"/>
    <mergeCell ref="A2089:B2089"/>
    <mergeCell ref="A2090:B2090"/>
    <mergeCell ref="A2091:B2091"/>
    <mergeCell ref="A2092:B2092"/>
    <mergeCell ref="E2083:G2083"/>
    <mergeCell ref="E2084:F2084"/>
    <mergeCell ref="E2085:F2085"/>
    <mergeCell ref="E2086:F2086"/>
    <mergeCell ref="I2083:K2083"/>
    <mergeCell ref="I2084:J2084"/>
    <mergeCell ref="I2085:J2085"/>
    <mergeCell ref="I2086:J2086"/>
    <mergeCell ref="I2087:J2087"/>
    <mergeCell ref="A2094:C2094"/>
    <mergeCell ref="D2094:G2094"/>
    <mergeCell ref="H2094:L2094"/>
    <mergeCell ref="I2031:K2031"/>
    <mergeCell ref="I2032:J2032"/>
    <mergeCell ref="I2033:J2033"/>
    <mergeCell ref="A2042:C2042"/>
    <mergeCell ref="D2042:G2042"/>
    <mergeCell ref="H2042:L2042"/>
    <mergeCell ref="M2042:Q2042"/>
    <mergeCell ref="A2043:E2043"/>
    <mergeCell ref="F2043:G2043"/>
    <mergeCell ref="H2043:J2043"/>
    <mergeCell ref="K2043:Q2043"/>
    <mergeCell ref="A2079:D2079"/>
    <mergeCell ref="A2080:D2080"/>
    <mergeCell ref="A2081:D2081"/>
    <mergeCell ref="A2083:C2083"/>
    <mergeCell ref="A2084:B2084"/>
    <mergeCell ref="A2085:B2085"/>
    <mergeCell ref="A2027:D2027"/>
    <mergeCell ref="A2028:D2028"/>
    <mergeCell ref="A2029:D2029"/>
    <mergeCell ref="A2031:C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E2031:G2031"/>
    <mergeCell ref="E2032:F2032"/>
    <mergeCell ref="E2033:F2033"/>
    <mergeCell ref="E2034:F2034"/>
    <mergeCell ref="A1985:B1985"/>
    <mergeCell ref="A1986:B1986"/>
    <mergeCell ref="A1987:B1987"/>
    <mergeCell ref="A1988:B1988"/>
    <mergeCell ref="E1979:G1979"/>
    <mergeCell ref="E1980:F1980"/>
    <mergeCell ref="E1981:F1981"/>
    <mergeCell ref="I1979:K1979"/>
    <mergeCell ref="I1980:J1980"/>
    <mergeCell ref="I1981:J1981"/>
    <mergeCell ref="I1982:J1982"/>
    <mergeCell ref="A1990:C1990"/>
    <mergeCell ref="D1990:G1990"/>
    <mergeCell ref="H1990:L1990"/>
    <mergeCell ref="M1990:Q1990"/>
    <mergeCell ref="A1991:E1991"/>
    <mergeCell ref="F1991:G1991"/>
    <mergeCell ref="H1991:J1991"/>
    <mergeCell ref="K1991:Q1991"/>
    <mergeCell ref="A1934:C1934"/>
    <mergeCell ref="D1934:G1934"/>
    <mergeCell ref="H1934:L1934"/>
    <mergeCell ref="M1934:P1934"/>
    <mergeCell ref="A1935:E1935"/>
    <mergeCell ref="F1935:G1935"/>
    <mergeCell ref="H1935:J1935"/>
    <mergeCell ref="K1935:P1935"/>
    <mergeCell ref="A1975:D1975"/>
    <mergeCell ref="A1976:D1976"/>
    <mergeCell ref="A1977:D1977"/>
    <mergeCell ref="A1979:C1979"/>
    <mergeCell ref="A1980:B1980"/>
    <mergeCell ref="A1981:B1981"/>
    <mergeCell ref="A1982:B1982"/>
    <mergeCell ref="A1983:B1983"/>
    <mergeCell ref="A1984:B1984"/>
    <mergeCell ref="A1919:D1919"/>
    <mergeCell ref="A1920:D1920"/>
    <mergeCell ref="A1921:D1921"/>
    <mergeCell ref="A1923:C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E1923:G1923"/>
    <mergeCell ref="E1924:F1924"/>
    <mergeCell ref="E1925:F1925"/>
    <mergeCell ref="I1923:K1923"/>
    <mergeCell ref="I1924:J1924"/>
    <mergeCell ref="I1925:J1925"/>
    <mergeCell ref="I1926:J1926"/>
    <mergeCell ref="I1927:J1927"/>
    <mergeCell ref="I1928:J1928"/>
    <mergeCell ref="A1877:B1877"/>
    <mergeCell ref="A1878:B1878"/>
    <mergeCell ref="A1879:B1879"/>
    <mergeCell ref="A1880:B1880"/>
    <mergeCell ref="E1871:G1871"/>
    <mergeCell ref="E1872:F1872"/>
    <mergeCell ref="E1873:F1873"/>
    <mergeCell ref="I1871:K1871"/>
    <mergeCell ref="I1872:J1872"/>
    <mergeCell ref="I1873:J1873"/>
    <mergeCell ref="I1874:J1874"/>
    <mergeCell ref="I1875:J1875"/>
    <mergeCell ref="A1882:C1882"/>
    <mergeCell ref="D1882:G1882"/>
    <mergeCell ref="H1882:L1882"/>
    <mergeCell ref="M1882:P1882"/>
    <mergeCell ref="A1883:E1883"/>
    <mergeCell ref="F1883:G1883"/>
    <mergeCell ref="H1883:J1883"/>
    <mergeCell ref="K1883:P1883"/>
    <mergeCell ref="A1830:C1830"/>
    <mergeCell ref="D1830:G1830"/>
    <mergeCell ref="H1830:L1830"/>
    <mergeCell ref="M1830:P1830"/>
    <mergeCell ref="A1831:E1831"/>
    <mergeCell ref="F1831:G1831"/>
    <mergeCell ref="H1831:J1831"/>
    <mergeCell ref="K1831:P1831"/>
    <mergeCell ref="A1867:D1867"/>
    <mergeCell ref="A1868:D1868"/>
    <mergeCell ref="A1869:D1869"/>
    <mergeCell ref="A1871:C1871"/>
    <mergeCell ref="A1872:B1872"/>
    <mergeCell ref="A1873:B1873"/>
    <mergeCell ref="A1874:B1874"/>
    <mergeCell ref="A1875:B1875"/>
    <mergeCell ref="A1876:B1876"/>
    <mergeCell ref="A1815:D1815"/>
    <mergeCell ref="A1816:D1816"/>
    <mergeCell ref="A1817:D1817"/>
    <mergeCell ref="A1819:C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E1819:G1819"/>
    <mergeCell ref="E1820:F1820"/>
    <mergeCell ref="E1821:F1821"/>
    <mergeCell ref="I1819:K1819"/>
    <mergeCell ref="I1820:J1820"/>
    <mergeCell ref="I1821:J1821"/>
    <mergeCell ref="I1822:J1822"/>
    <mergeCell ref="A1773:B1773"/>
    <mergeCell ref="A1774:B1774"/>
    <mergeCell ref="A1775:B1775"/>
    <mergeCell ref="A1776:B1776"/>
    <mergeCell ref="E1767:G1767"/>
    <mergeCell ref="E1768:F1768"/>
    <mergeCell ref="E1769:F1769"/>
    <mergeCell ref="I1767:K1767"/>
    <mergeCell ref="I1768:J1768"/>
    <mergeCell ref="I1769:J1769"/>
    <mergeCell ref="I1770:J1770"/>
    <mergeCell ref="A1778:C1778"/>
    <mergeCell ref="D1778:G1778"/>
    <mergeCell ref="H1778:L1778"/>
    <mergeCell ref="M1778:P1778"/>
    <mergeCell ref="A1779:E1779"/>
    <mergeCell ref="F1779:G1779"/>
    <mergeCell ref="H1779:J1779"/>
    <mergeCell ref="K1779:P1779"/>
    <mergeCell ref="A1726:C1726"/>
    <mergeCell ref="D1726:G1726"/>
    <mergeCell ref="H1726:L1726"/>
    <mergeCell ref="M1726:P1726"/>
    <mergeCell ref="A1727:E1727"/>
    <mergeCell ref="F1727:G1727"/>
    <mergeCell ref="H1727:J1727"/>
    <mergeCell ref="K1727:P1727"/>
    <mergeCell ref="A1763:D1763"/>
    <mergeCell ref="A1764:D1764"/>
    <mergeCell ref="A1765:D1765"/>
    <mergeCell ref="A1767:C1767"/>
    <mergeCell ref="A1768:B1768"/>
    <mergeCell ref="A1769:B1769"/>
    <mergeCell ref="A1770:B1770"/>
    <mergeCell ref="A1771:B1771"/>
    <mergeCell ref="A1772:B1772"/>
    <mergeCell ref="A1675:E1675"/>
    <mergeCell ref="F1675:G1675"/>
    <mergeCell ref="H1675:J1675"/>
    <mergeCell ref="K1675:P1675"/>
    <mergeCell ref="A1711:D1711"/>
    <mergeCell ref="A1712:D1712"/>
    <mergeCell ref="A1713:D1713"/>
    <mergeCell ref="A1715:C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E1715:G1715"/>
    <mergeCell ref="E1716:F1716"/>
    <mergeCell ref="E1717:F1717"/>
    <mergeCell ref="I1715:K1715"/>
    <mergeCell ref="I1716:J1716"/>
    <mergeCell ref="A1669:B1669"/>
    <mergeCell ref="A1670:B1670"/>
    <mergeCell ref="A1671:B1671"/>
    <mergeCell ref="A1672:B1672"/>
    <mergeCell ref="E1663:G1663"/>
    <mergeCell ref="E1664:F1664"/>
    <mergeCell ref="E1665:F1665"/>
    <mergeCell ref="E1666:F1666"/>
    <mergeCell ref="I1663:K1663"/>
    <mergeCell ref="I1664:J1664"/>
    <mergeCell ref="I1665:J1665"/>
    <mergeCell ref="I1666:J1666"/>
    <mergeCell ref="I1667:J1667"/>
    <mergeCell ref="A1674:C1674"/>
    <mergeCell ref="D1674:G1674"/>
    <mergeCell ref="H1674:L1674"/>
    <mergeCell ref="M1674:P1674"/>
    <mergeCell ref="A1622:C1622"/>
    <mergeCell ref="D1622:G1622"/>
    <mergeCell ref="H1622:L1622"/>
    <mergeCell ref="M1622:Q1622"/>
    <mergeCell ref="A1623:E1623"/>
    <mergeCell ref="F1623:G1623"/>
    <mergeCell ref="H1623:J1623"/>
    <mergeCell ref="K1623:Q1623"/>
    <mergeCell ref="A1659:D1659"/>
    <mergeCell ref="A1660:D1660"/>
    <mergeCell ref="A1661:D1661"/>
    <mergeCell ref="A1663:C1663"/>
    <mergeCell ref="A1664:B1664"/>
    <mergeCell ref="A1665:B1665"/>
    <mergeCell ref="A1666:B1666"/>
    <mergeCell ref="A1667:B1667"/>
    <mergeCell ref="A1668:B1668"/>
    <mergeCell ref="A1571:E1571"/>
    <mergeCell ref="F1571:G1571"/>
    <mergeCell ref="H1571:J1571"/>
    <mergeCell ref="K1571:P1571"/>
    <mergeCell ref="A1607:D1607"/>
    <mergeCell ref="A1608:D1608"/>
    <mergeCell ref="A1609:D1609"/>
    <mergeCell ref="A1611:C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E1611:G1611"/>
    <mergeCell ref="E1612:F1612"/>
    <mergeCell ref="E1613:F1613"/>
    <mergeCell ref="I1611:K1611"/>
    <mergeCell ref="I1612:J1612"/>
    <mergeCell ref="I1613:J1613"/>
    <mergeCell ref="I1614:J1614"/>
    <mergeCell ref="A1562:B1562"/>
    <mergeCell ref="A1563:B1563"/>
    <mergeCell ref="A1564:B1564"/>
    <mergeCell ref="A1565:B1565"/>
    <mergeCell ref="A1566:B1566"/>
    <mergeCell ref="A1567:B1567"/>
    <mergeCell ref="A1568:B1568"/>
    <mergeCell ref="E1559:G1559"/>
    <mergeCell ref="E1560:F1560"/>
    <mergeCell ref="I1559:K1559"/>
    <mergeCell ref="I1560:J1560"/>
    <mergeCell ref="I1561:J1561"/>
    <mergeCell ref="I1562:J1562"/>
    <mergeCell ref="A1570:C1570"/>
    <mergeCell ref="D1570:G1570"/>
    <mergeCell ref="H1570:L1570"/>
    <mergeCell ref="M1570:P1570"/>
    <mergeCell ref="I1507:K1507"/>
    <mergeCell ref="I1508:J1508"/>
    <mergeCell ref="I1509:J1509"/>
    <mergeCell ref="A1518:C1518"/>
    <mergeCell ref="D1518:G1518"/>
    <mergeCell ref="H1518:L1518"/>
    <mergeCell ref="M1518:O1518"/>
    <mergeCell ref="A1519:E1519"/>
    <mergeCell ref="F1519:G1519"/>
    <mergeCell ref="H1519:J1519"/>
    <mergeCell ref="K1519:O1519"/>
    <mergeCell ref="A1555:D1555"/>
    <mergeCell ref="A1556:D1556"/>
    <mergeCell ref="A1557:D1557"/>
    <mergeCell ref="A1559:C1559"/>
    <mergeCell ref="A1560:B1560"/>
    <mergeCell ref="A1561:B1561"/>
    <mergeCell ref="A1503:D1503"/>
    <mergeCell ref="A1504:D1504"/>
    <mergeCell ref="A1505:D1505"/>
    <mergeCell ref="A1507:C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E1507:G1507"/>
    <mergeCell ref="E1508:F1508"/>
    <mergeCell ref="E1509:F1509"/>
    <mergeCell ref="E1510:F1510"/>
    <mergeCell ref="A1464:B1464"/>
    <mergeCell ref="E1455:G1455"/>
    <mergeCell ref="E1456:F1456"/>
    <mergeCell ref="E1457:F1457"/>
    <mergeCell ref="I1455:K1455"/>
    <mergeCell ref="I1456:J1456"/>
    <mergeCell ref="I1457:J1457"/>
    <mergeCell ref="I1458:J1458"/>
    <mergeCell ref="I1459:J1459"/>
    <mergeCell ref="I1460:J1460"/>
    <mergeCell ref="A1466:C1466"/>
    <mergeCell ref="D1466:G1466"/>
    <mergeCell ref="H1466:L1466"/>
    <mergeCell ref="M1466:Q1466"/>
    <mergeCell ref="A1467:E1467"/>
    <mergeCell ref="F1467:G1467"/>
    <mergeCell ref="H1467:J1467"/>
    <mergeCell ref="K1467:Q1467"/>
    <mergeCell ref="M1413:P1413"/>
    <mergeCell ref="A1414:E1414"/>
    <mergeCell ref="F1414:G1414"/>
    <mergeCell ref="H1414:J1414"/>
    <mergeCell ref="K1414:P1414"/>
    <mergeCell ref="A1451:D1451"/>
    <mergeCell ref="A1452:D1452"/>
    <mergeCell ref="A1453:D1453"/>
    <mergeCell ref="A1455:C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E1402:G1402"/>
    <mergeCell ref="E1403:F1403"/>
    <mergeCell ref="E1404:F1404"/>
    <mergeCell ref="I1402:K1402"/>
    <mergeCell ref="I1403:J1403"/>
    <mergeCell ref="I1404:J1404"/>
    <mergeCell ref="I1405:J1405"/>
    <mergeCell ref="A1413:C1413"/>
    <mergeCell ref="D1413:G1413"/>
    <mergeCell ref="H1413:L1413"/>
    <mergeCell ref="I1350:K1350"/>
    <mergeCell ref="I1351:J1351"/>
    <mergeCell ref="I1352:J1352"/>
    <mergeCell ref="I1353:J1353"/>
    <mergeCell ref="A1361:C1361"/>
    <mergeCell ref="D1361:G1361"/>
    <mergeCell ref="H1361:L1361"/>
    <mergeCell ref="M1361:P1361"/>
    <mergeCell ref="A1362:E1362"/>
    <mergeCell ref="F1362:G1362"/>
    <mergeCell ref="H1362:J1362"/>
    <mergeCell ref="K1362:P1362"/>
    <mergeCell ref="A1398:D1398"/>
    <mergeCell ref="A1399:D1399"/>
    <mergeCell ref="A1400:D1400"/>
    <mergeCell ref="A1402:C1402"/>
    <mergeCell ref="A1403:B1403"/>
    <mergeCell ref="A1346:D1346"/>
    <mergeCell ref="A1347:D1347"/>
    <mergeCell ref="A1348:D1348"/>
    <mergeCell ref="A1350:C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E1350:G1350"/>
    <mergeCell ref="E1351:F1351"/>
    <mergeCell ref="E1352:F1352"/>
    <mergeCell ref="E1353:F1353"/>
    <mergeCell ref="A1304:B1304"/>
    <mergeCell ref="A1305:B1305"/>
    <mergeCell ref="A1306:B1306"/>
    <mergeCell ref="A1307:B1307"/>
    <mergeCell ref="E1298:G1298"/>
    <mergeCell ref="E1299:F1299"/>
    <mergeCell ref="E1300:F1300"/>
    <mergeCell ref="I1298:K1298"/>
    <mergeCell ref="I1299:J1299"/>
    <mergeCell ref="I1300:J1300"/>
    <mergeCell ref="I1301:J1301"/>
    <mergeCell ref="I1302:J1302"/>
    <mergeCell ref="A1309:C1309"/>
    <mergeCell ref="D1309:G1309"/>
    <mergeCell ref="H1309:L1309"/>
    <mergeCell ref="M1309:Q1309"/>
    <mergeCell ref="A1310:E1310"/>
    <mergeCell ref="F1310:G1310"/>
    <mergeCell ref="H1310:J1310"/>
    <mergeCell ref="K1310:Q1310"/>
    <mergeCell ref="A1256:C1256"/>
    <mergeCell ref="D1256:G1256"/>
    <mergeCell ref="H1256:L1256"/>
    <mergeCell ref="M1256:P1256"/>
    <mergeCell ref="A1257:E1257"/>
    <mergeCell ref="F1257:G1257"/>
    <mergeCell ref="H1257:J1257"/>
    <mergeCell ref="K1257:P1257"/>
    <mergeCell ref="A1294:D1294"/>
    <mergeCell ref="A1295:D1295"/>
    <mergeCell ref="A1296:D1296"/>
    <mergeCell ref="A1298:C1298"/>
    <mergeCell ref="A1299:B1299"/>
    <mergeCell ref="A1300:B1300"/>
    <mergeCell ref="A1301:B1301"/>
    <mergeCell ref="A1302:B1302"/>
    <mergeCell ref="A1303:B1303"/>
    <mergeCell ref="A1242:D1242"/>
    <mergeCell ref="A1243:D1243"/>
    <mergeCell ref="A1245:C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E1245:G1245"/>
    <mergeCell ref="E1246:F1246"/>
    <mergeCell ref="E1247:F1247"/>
    <mergeCell ref="E1248:F1248"/>
    <mergeCell ref="I1245:K1245"/>
    <mergeCell ref="I1246:J1246"/>
    <mergeCell ref="I1247:J1247"/>
    <mergeCell ref="I1248:J1248"/>
    <mergeCell ref="I1249:J1249"/>
    <mergeCell ref="A1199:B1199"/>
    <mergeCell ref="A1200:B1200"/>
    <mergeCell ref="A1201:B1201"/>
    <mergeCell ref="A1202:B1202"/>
    <mergeCell ref="E1193:G1193"/>
    <mergeCell ref="E1194:F1194"/>
    <mergeCell ref="I1193:K1193"/>
    <mergeCell ref="I1194:J1194"/>
    <mergeCell ref="A1204:C1204"/>
    <mergeCell ref="D1204:G1204"/>
    <mergeCell ref="H1204:L1204"/>
    <mergeCell ref="M1204:Q1204"/>
    <mergeCell ref="A1205:E1205"/>
    <mergeCell ref="F1205:G1205"/>
    <mergeCell ref="H1205:J1205"/>
    <mergeCell ref="K1205:Q1205"/>
    <mergeCell ref="A1241:D1241"/>
    <mergeCell ref="A1152:C1152"/>
    <mergeCell ref="D1152:G1152"/>
    <mergeCell ref="H1152:L1152"/>
    <mergeCell ref="M1152:O1152"/>
    <mergeCell ref="A1153:E1153"/>
    <mergeCell ref="F1153:G1153"/>
    <mergeCell ref="H1153:J1153"/>
    <mergeCell ref="K1153:O1153"/>
    <mergeCell ref="A1189:D1189"/>
    <mergeCell ref="A1190:D1190"/>
    <mergeCell ref="A1191:D1191"/>
    <mergeCell ref="A1193:C1193"/>
    <mergeCell ref="A1194:B1194"/>
    <mergeCell ref="A1195:B1195"/>
    <mergeCell ref="A1196:B1196"/>
    <mergeCell ref="A1197:B1197"/>
    <mergeCell ref="A1198:B1198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E1141:G1141"/>
    <mergeCell ref="E1142:F1142"/>
    <mergeCell ref="E1143:F1143"/>
    <mergeCell ref="E1144:F1144"/>
    <mergeCell ref="I1141:K1141"/>
    <mergeCell ref="I1142:J1142"/>
    <mergeCell ref="I1143:J1143"/>
    <mergeCell ref="I1144:J1144"/>
    <mergeCell ref="I1145:J1145"/>
    <mergeCell ref="I1146:J1146"/>
    <mergeCell ref="I1147:J1147"/>
    <mergeCell ref="I1148:J1148"/>
    <mergeCell ref="I1089:K1089"/>
    <mergeCell ref="I1090:J1090"/>
    <mergeCell ref="I1091:J1091"/>
    <mergeCell ref="I1092:J1092"/>
    <mergeCell ref="I1093:J1093"/>
    <mergeCell ref="A1100:C1100"/>
    <mergeCell ref="D1100:G1100"/>
    <mergeCell ref="H1100:L1100"/>
    <mergeCell ref="M1100:Q1100"/>
    <mergeCell ref="A1101:E1101"/>
    <mergeCell ref="F1101:G1101"/>
    <mergeCell ref="H1101:J1101"/>
    <mergeCell ref="K1101:Q1101"/>
    <mergeCell ref="A1137:D1137"/>
    <mergeCell ref="A1138:D1138"/>
    <mergeCell ref="A1139:D1139"/>
    <mergeCell ref="A1141:C1141"/>
    <mergeCell ref="A1085:D1085"/>
    <mergeCell ref="A1086:D1086"/>
    <mergeCell ref="A1087:D1087"/>
    <mergeCell ref="A1089:C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E1089:G1089"/>
    <mergeCell ref="E1090:F1090"/>
    <mergeCell ref="E1091:F1091"/>
    <mergeCell ref="E1092:F1092"/>
    <mergeCell ref="A1042:B1042"/>
    <mergeCell ref="A1043:B1043"/>
    <mergeCell ref="A1044:B1044"/>
    <mergeCell ref="A1045:B1045"/>
    <mergeCell ref="E1036:G1036"/>
    <mergeCell ref="E1037:F1037"/>
    <mergeCell ref="E1038:F1038"/>
    <mergeCell ref="I1036:K1036"/>
    <mergeCell ref="I1037:J1037"/>
    <mergeCell ref="I1038:J1038"/>
    <mergeCell ref="I1039:J1039"/>
    <mergeCell ref="A1047:C1047"/>
    <mergeCell ref="D1047:G1047"/>
    <mergeCell ref="H1047:L1047"/>
    <mergeCell ref="M1047:Q1047"/>
    <mergeCell ref="A1048:E1048"/>
    <mergeCell ref="F1048:G1048"/>
    <mergeCell ref="H1048:J1048"/>
    <mergeCell ref="K1048:Q1048"/>
    <mergeCell ref="A995:C995"/>
    <mergeCell ref="D995:G995"/>
    <mergeCell ref="H995:L995"/>
    <mergeCell ref="M995:P995"/>
    <mergeCell ref="A996:E996"/>
    <mergeCell ref="F996:G996"/>
    <mergeCell ref="H996:J996"/>
    <mergeCell ref="K996:P996"/>
    <mergeCell ref="A1032:D1032"/>
    <mergeCell ref="A1033:D1033"/>
    <mergeCell ref="A1034:D1034"/>
    <mergeCell ref="A1036:C1036"/>
    <mergeCell ref="A1037:B1037"/>
    <mergeCell ref="A1038:B1038"/>
    <mergeCell ref="A1039:B1039"/>
    <mergeCell ref="A1040:B1040"/>
    <mergeCell ref="A1041:B1041"/>
    <mergeCell ref="A980:D980"/>
    <mergeCell ref="A981:D981"/>
    <mergeCell ref="A982:D982"/>
    <mergeCell ref="A984:C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E984:G984"/>
    <mergeCell ref="E985:F985"/>
    <mergeCell ref="E986:F986"/>
    <mergeCell ref="I984:K984"/>
    <mergeCell ref="I985:J985"/>
    <mergeCell ref="I986:J986"/>
    <mergeCell ref="I987:J987"/>
    <mergeCell ref="A936:B936"/>
    <mergeCell ref="A937:B937"/>
    <mergeCell ref="A938:B938"/>
    <mergeCell ref="A939:B939"/>
    <mergeCell ref="E930:G930"/>
    <mergeCell ref="I930:K930"/>
    <mergeCell ref="I931:J931"/>
    <mergeCell ref="I932:J932"/>
    <mergeCell ref="I933:J933"/>
    <mergeCell ref="A941:C941"/>
    <mergeCell ref="D941:G941"/>
    <mergeCell ref="H941:L941"/>
    <mergeCell ref="M941:P941"/>
    <mergeCell ref="A942:E942"/>
    <mergeCell ref="F942:G942"/>
    <mergeCell ref="H942:J942"/>
    <mergeCell ref="K942:P942"/>
    <mergeCell ref="A889:C889"/>
    <mergeCell ref="D889:G889"/>
    <mergeCell ref="H889:L889"/>
    <mergeCell ref="M889:N889"/>
    <mergeCell ref="A890:E890"/>
    <mergeCell ref="F890:G890"/>
    <mergeCell ref="H890:J890"/>
    <mergeCell ref="K890:N890"/>
    <mergeCell ref="A926:D926"/>
    <mergeCell ref="A927:D927"/>
    <mergeCell ref="A928:D928"/>
    <mergeCell ref="A930:C930"/>
    <mergeCell ref="A931:B931"/>
    <mergeCell ref="A932:B932"/>
    <mergeCell ref="A933:B933"/>
    <mergeCell ref="A934:B934"/>
    <mergeCell ref="A935:B935"/>
    <mergeCell ref="A874:D874"/>
    <mergeCell ref="A875:D875"/>
    <mergeCell ref="A876:D876"/>
    <mergeCell ref="A878:C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E878:G878"/>
    <mergeCell ref="E879:F879"/>
    <mergeCell ref="E880:F880"/>
    <mergeCell ref="I878:K878"/>
    <mergeCell ref="I879:J879"/>
    <mergeCell ref="I880:J880"/>
    <mergeCell ref="I881:J881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E826:G826"/>
    <mergeCell ref="E827:F827"/>
    <mergeCell ref="E828:F828"/>
    <mergeCell ref="E829:F829"/>
    <mergeCell ref="A837:C837"/>
    <mergeCell ref="D837:G837"/>
    <mergeCell ref="H837:L837"/>
    <mergeCell ref="M837:P837"/>
    <mergeCell ref="A838:E838"/>
    <mergeCell ref="F838:G838"/>
    <mergeCell ref="H838:J838"/>
    <mergeCell ref="K838:P838"/>
    <mergeCell ref="I774:K774"/>
    <mergeCell ref="I775:J775"/>
    <mergeCell ref="I776:J776"/>
    <mergeCell ref="I777:J777"/>
    <mergeCell ref="A785:C785"/>
    <mergeCell ref="D785:G785"/>
    <mergeCell ref="H785:L785"/>
    <mergeCell ref="M785:Q785"/>
    <mergeCell ref="A786:E786"/>
    <mergeCell ref="F786:G786"/>
    <mergeCell ref="H786:J786"/>
    <mergeCell ref="K786:Q786"/>
    <mergeCell ref="A822:D822"/>
    <mergeCell ref="A823:D823"/>
    <mergeCell ref="A824:D824"/>
    <mergeCell ref="A826:C826"/>
    <mergeCell ref="A827:B827"/>
    <mergeCell ref="A770:D770"/>
    <mergeCell ref="A771:D771"/>
    <mergeCell ref="A772:D772"/>
    <mergeCell ref="A774:C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E774:G774"/>
    <mergeCell ref="E775:F775"/>
    <mergeCell ref="E776:F776"/>
    <mergeCell ref="E777:F777"/>
    <mergeCell ref="A728:B728"/>
    <mergeCell ref="A729:B729"/>
    <mergeCell ref="A730:B730"/>
    <mergeCell ref="A731:B731"/>
    <mergeCell ref="E722:G722"/>
    <mergeCell ref="E723:F723"/>
    <mergeCell ref="E724:F724"/>
    <mergeCell ref="E725:F725"/>
    <mergeCell ref="I722:K722"/>
    <mergeCell ref="I723:J723"/>
    <mergeCell ref="I724:J724"/>
    <mergeCell ref="A733:C733"/>
    <mergeCell ref="D733:G733"/>
    <mergeCell ref="H733:L733"/>
    <mergeCell ref="M733:Q733"/>
    <mergeCell ref="A734:E734"/>
    <mergeCell ref="F734:G734"/>
    <mergeCell ref="H734:J734"/>
    <mergeCell ref="K734:Q734"/>
    <mergeCell ref="A681:C681"/>
    <mergeCell ref="D681:G681"/>
    <mergeCell ref="H681:L681"/>
    <mergeCell ref="M681:Q681"/>
    <mergeCell ref="A682:E682"/>
    <mergeCell ref="F682:G682"/>
    <mergeCell ref="H682:J682"/>
    <mergeCell ref="K682:Q682"/>
    <mergeCell ref="A718:D718"/>
    <mergeCell ref="A719:D719"/>
    <mergeCell ref="A720:D720"/>
    <mergeCell ref="A722:C722"/>
    <mergeCell ref="A723:B723"/>
    <mergeCell ref="A724:B724"/>
    <mergeCell ref="A725:B725"/>
    <mergeCell ref="A726:B726"/>
    <mergeCell ref="A727:B727"/>
    <mergeCell ref="A630:E630"/>
    <mergeCell ref="F630:G630"/>
    <mergeCell ref="H630:J630"/>
    <mergeCell ref="K630:Q630"/>
    <mergeCell ref="A666:D666"/>
    <mergeCell ref="A667:D667"/>
    <mergeCell ref="A668:D668"/>
    <mergeCell ref="A670:C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E670:G670"/>
    <mergeCell ref="E671:F671"/>
    <mergeCell ref="E672:F672"/>
    <mergeCell ref="E673:F673"/>
    <mergeCell ref="I670:K670"/>
    <mergeCell ref="I671:J671"/>
    <mergeCell ref="I672:J672"/>
    <mergeCell ref="I673:J673"/>
    <mergeCell ref="A624:B624"/>
    <mergeCell ref="A625:B625"/>
    <mergeCell ref="A626:B626"/>
    <mergeCell ref="A627:B627"/>
    <mergeCell ref="E618:G618"/>
    <mergeCell ref="E619:F619"/>
    <mergeCell ref="E620:F620"/>
    <mergeCell ref="I618:K618"/>
    <mergeCell ref="I619:J619"/>
    <mergeCell ref="I620:J620"/>
    <mergeCell ref="I621:J621"/>
    <mergeCell ref="I622:J622"/>
    <mergeCell ref="I623:J623"/>
    <mergeCell ref="A629:C629"/>
    <mergeCell ref="D629:G629"/>
    <mergeCell ref="H629:L629"/>
    <mergeCell ref="M629:Q629"/>
    <mergeCell ref="A576:C576"/>
    <mergeCell ref="D576:G576"/>
    <mergeCell ref="H576:L576"/>
    <mergeCell ref="M576:P576"/>
    <mergeCell ref="A577:E577"/>
    <mergeCell ref="F577:G577"/>
    <mergeCell ref="H577:J577"/>
    <mergeCell ref="K577:P577"/>
    <mergeCell ref="A614:D614"/>
    <mergeCell ref="A615:D615"/>
    <mergeCell ref="A616:D616"/>
    <mergeCell ref="A618:C618"/>
    <mergeCell ref="A619:B619"/>
    <mergeCell ref="A620:B620"/>
    <mergeCell ref="A621:B621"/>
    <mergeCell ref="A622:B622"/>
    <mergeCell ref="A623:B623"/>
    <mergeCell ref="A525:E525"/>
    <mergeCell ref="F525:G525"/>
    <mergeCell ref="H525:J525"/>
    <mergeCell ref="K525:O525"/>
    <mergeCell ref="A561:D561"/>
    <mergeCell ref="A562:D562"/>
    <mergeCell ref="A563:D563"/>
    <mergeCell ref="A565:C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E565:G565"/>
    <mergeCell ref="E566:F566"/>
    <mergeCell ref="I565:K565"/>
    <mergeCell ref="I566:J566"/>
    <mergeCell ref="I567:J567"/>
    <mergeCell ref="I568:J568"/>
    <mergeCell ref="I569:J569"/>
    <mergeCell ref="A519:B519"/>
    <mergeCell ref="A520:B520"/>
    <mergeCell ref="A521:B521"/>
    <mergeCell ref="A522:B522"/>
    <mergeCell ref="E513:G513"/>
    <mergeCell ref="E514:F514"/>
    <mergeCell ref="E515:F515"/>
    <mergeCell ref="E516:F516"/>
    <mergeCell ref="I513:K513"/>
    <mergeCell ref="I514:J514"/>
    <mergeCell ref="I515:J515"/>
    <mergeCell ref="I516:J516"/>
    <mergeCell ref="I517:J517"/>
    <mergeCell ref="A524:C524"/>
    <mergeCell ref="D524:G524"/>
    <mergeCell ref="H524:L524"/>
    <mergeCell ref="M524:O524"/>
    <mergeCell ref="A472:C472"/>
    <mergeCell ref="D472:G472"/>
    <mergeCell ref="H472:L472"/>
    <mergeCell ref="M472:Q472"/>
    <mergeCell ref="A473:E473"/>
    <mergeCell ref="F473:G473"/>
    <mergeCell ref="H473:J473"/>
    <mergeCell ref="K473:Q473"/>
    <mergeCell ref="A509:D509"/>
    <mergeCell ref="A510:D510"/>
    <mergeCell ref="A511:D511"/>
    <mergeCell ref="A513:C513"/>
    <mergeCell ref="A514:B514"/>
    <mergeCell ref="A515:B515"/>
    <mergeCell ref="A516:B516"/>
    <mergeCell ref="A517:B517"/>
    <mergeCell ref="A518:B518"/>
    <mergeCell ref="A457:D457"/>
    <mergeCell ref="A458:D458"/>
    <mergeCell ref="A459:D459"/>
    <mergeCell ref="A461:C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E461:G461"/>
    <mergeCell ref="I461:K461"/>
    <mergeCell ref="I462:J462"/>
    <mergeCell ref="I463:J463"/>
    <mergeCell ref="A415:B415"/>
    <mergeCell ref="A416:B416"/>
    <mergeCell ref="A417:B417"/>
    <mergeCell ref="A418:B418"/>
    <mergeCell ref="E409:G409"/>
    <mergeCell ref="E410:F410"/>
    <mergeCell ref="E411:F411"/>
    <mergeCell ref="I409:K409"/>
    <mergeCell ref="I410:J410"/>
    <mergeCell ref="I411:J411"/>
    <mergeCell ref="I412:J412"/>
    <mergeCell ref="A420:C420"/>
    <mergeCell ref="D420:G420"/>
    <mergeCell ref="H420:L420"/>
    <mergeCell ref="M420:N420"/>
    <mergeCell ref="A421:E421"/>
    <mergeCell ref="F421:G421"/>
    <mergeCell ref="H421:J421"/>
    <mergeCell ref="K421:N421"/>
    <mergeCell ref="A368:C368"/>
    <mergeCell ref="D368:G368"/>
    <mergeCell ref="H368:L368"/>
    <mergeCell ref="M368:P368"/>
    <mergeCell ref="A369:E369"/>
    <mergeCell ref="F369:G369"/>
    <mergeCell ref="H369:J369"/>
    <mergeCell ref="K369:P369"/>
    <mergeCell ref="A405:D405"/>
    <mergeCell ref="A406:D406"/>
    <mergeCell ref="A407:D407"/>
    <mergeCell ref="A409:C409"/>
    <mergeCell ref="A410:B410"/>
    <mergeCell ref="A411:B411"/>
    <mergeCell ref="A412:B412"/>
    <mergeCell ref="A413:B413"/>
    <mergeCell ref="A414:B414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E357:G357"/>
    <mergeCell ref="E358:F358"/>
    <mergeCell ref="E359:F359"/>
    <mergeCell ref="E360:F360"/>
    <mergeCell ref="I357:K357"/>
    <mergeCell ref="I358:J358"/>
    <mergeCell ref="I359:J359"/>
    <mergeCell ref="I360:J360"/>
    <mergeCell ref="I361:J361"/>
    <mergeCell ref="I304:K304"/>
    <mergeCell ref="I305:J305"/>
    <mergeCell ref="I306:J306"/>
    <mergeCell ref="I307:J307"/>
    <mergeCell ref="I308:J308"/>
    <mergeCell ref="A315:C315"/>
    <mergeCell ref="D315:G315"/>
    <mergeCell ref="H315:L315"/>
    <mergeCell ref="M315:Q315"/>
    <mergeCell ref="A316:E316"/>
    <mergeCell ref="F316:G316"/>
    <mergeCell ref="H316:J316"/>
    <mergeCell ref="K316:Q316"/>
    <mergeCell ref="A353:D353"/>
    <mergeCell ref="A354:D354"/>
    <mergeCell ref="A355:D355"/>
    <mergeCell ref="A357:C357"/>
    <mergeCell ref="A300:D300"/>
    <mergeCell ref="A301:D301"/>
    <mergeCell ref="A302:D302"/>
    <mergeCell ref="A304:C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E304:G304"/>
    <mergeCell ref="E305:F305"/>
    <mergeCell ref="E306:F306"/>
    <mergeCell ref="E307:F307"/>
    <mergeCell ref="A258:B258"/>
    <mergeCell ref="A259:B259"/>
    <mergeCell ref="A260:B260"/>
    <mergeCell ref="A261:B261"/>
    <mergeCell ref="E252:G252"/>
    <mergeCell ref="I252:K252"/>
    <mergeCell ref="I253:J253"/>
    <mergeCell ref="I254:J254"/>
    <mergeCell ref="I255:J255"/>
    <mergeCell ref="A263:C263"/>
    <mergeCell ref="D263:G263"/>
    <mergeCell ref="H263:L263"/>
    <mergeCell ref="M263:Q263"/>
    <mergeCell ref="A264:E264"/>
    <mergeCell ref="F264:G264"/>
    <mergeCell ref="H264:J264"/>
    <mergeCell ref="K264:Q264"/>
    <mergeCell ref="A211:C211"/>
    <mergeCell ref="D211:G211"/>
    <mergeCell ref="H211:L211"/>
    <mergeCell ref="M211:N211"/>
    <mergeCell ref="A212:E212"/>
    <mergeCell ref="F212:G212"/>
    <mergeCell ref="H212:J212"/>
    <mergeCell ref="K212:N212"/>
    <mergeCell ref="A248:D248"/>
    <mergeCell ref="A249:D249"/>
    <mergeCell ref="A250:D250"/>
    <mergeCell ref="A252:C252"/>
    <mergeCell ref="A253:B253"/>
    <mergeCell ref="A254:B254"/>
    <mergeCell ref="A255:B255"/>
    <mergeCell ref="A256:B256"/>
    <mergeCell ref="A257:B257"/>
    <mergeCell ref="A159:E159"/>
    <mergeCell ref="F159:G159"/>
    <mergeCell ref="H159:J159"/>
    <mergeCell ref="K159:Q159"/>
    <mergeCell ref="A196:D196"/>
    <mergeCell ref="A197:D197"/>
    <mergeCell ref="A198:D198"/>
    <mergeCell ref="A200:C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E200:G200"/>
    <mergeCell ref="E201:F201"/>
    <mergeCell ref="E202:F202"/>
    <mergeCell ref="E203:F203"/>
    <mergeCell ref="I200:K200"/>
    <mergeCell ref="I201:J201"/>
    <mergeCell ref="I202:J202"/>
    <mergeCell ref="I203:J203"/>
    <mergeCell ref="A153:B153"/>
    <mergeCell ref="A154:B154"/>
    <mergeCell ref="A155:B155"/>
    <mergeCell ref="A156:B156"/>
    <mergeCell ref="E147:G147"/>
    <mergeCell ref="E148:F148"/>
    <mergeCell ref="E149:F149"/>
    <mergeCell ref="E150:F150"/>
    <mergeCell ref="I147:K147"/>
    <mergeCell ref="I148:J148"/>
    <mergeCell ref="I149:J149"/>
    <mergeCell ref="I150:J150"/>
    <mergeCell ref="I151:J151"/>
    <mergeCell ref="A158:C158"/>
    <mergeCell ref="D158:G158"/>
    <mergeCell ref="H158:L158"/>
    <mergeCell ref="M158:Q158"/>
    <mergeCell ref="A106:C106"/>
    <mergeCell ref="D106:G106"/>
    <mergeCell ref="H106:L106"/>
    <mergeCell ref="M106:Q106"/>
    <mergeCell ref="A107:E107"/>
    <mergeCell ref="F107:G107"/>
    <mergeCell ref="H107:J107"/>
    <mergeCell ref="K107:Q107"/>
    <mergeCell ref="A143:D143"/>
    <mergeCell ref="A144:D144"/>
    <mergeCell ref="A145:D145"/>
    <mergeCell ref="A147:C147"/>
    <mergeCell ref="A148:B148"/>
    <mergeCell ref="A149:B149"/>
    <mergeCell ref="A150:B150"/>
    <mergeCell ref="A151:B151"/>
    <mergeCell ref="A152:B152"/>
    <mergeCell ref="A91:D91"/>
    <mergeCell ref="A92:D92"/>
    <mergeCell ref="A93:D93"/>
    <mergeCell ref="A95:C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E95:G95"/>
    <mergeCell ref="E96:F96"/>
    <mergeCell ref="E97:F97"/>
    <mergeCell ref="I95:K95"/>
    <mergeCell ref="I96:J96"/>
    <mergeCell ref="I97:J97"/>
    <mergeCell ref="I98:J98"/>
    <mergeCell ref="I99:J99"/>
    <mergeCell ref="I100:J100"/>
    <mergeCell ref="A48:B48"/>
    <mergeCell ref="A49:B49"/>
    <mergeCell ref="A50:B50"/>
    <mergeCell ref="A51:B51"/>
    <mergeCell ref="E42:G42"/>
    <mergeCell ref="E43:F43"/>
    <mergeCell ref="E44:F44"/>
    <mergeCell ref="I42:K42"/>
    <mergeCell ref="I43:J43"/>
    <mergeCell ref="I44:J44"/>
    <mergeCell ref="I45:J45"/>
    <mergeCell ref="A53:C53"/>
    <mergeCell ref="D53:G53"/>
    <mergeCell ref="H53:L53"/>
    <mergeCell ref="M53:P53"/>
    <mergeCell ref="A54:E54"/>
    <mergeCell ref="F54:G54"/>
    <mergeCell ref="H54:J54"/>
    <mergeCell ref="K54:P54"/>
    <mergeCell ref="A1:C1"/>
    <mergeCell ref="D1:G1"/>
    <mergeCell ref="H1:L1"/>
    <mergeCell ref="M1:P1"/>
    <mergeCell ref="A2:E2"/>
    <mergeCell ref="F2:G2"/>
    <mergeCell ref="H2:J2"/>
    <mergeCell ref="K2:P2"/>
    <mergeCell ref="A38:D38"/>
    <mergeCell ref="A39:D39"/>
    <mergeCell ref="A40:D40"/>
    <mergeCell ref="A42:C42"/>
    <mergeCell ref="A43:B43"/>
    <mergeCell ref="A44:B44"/>
    <mergeCell ref="A45:B45"/>
    <mergeCell ref="A46:B46"/>
    <mergeCell ref="A47:B47"/>
  </mergeCells>
  <pageMargins left="0.7" right="0.7" top="0.75" bottom="0.75" header="0.3" footer="0.3"/>
  <pageSetup orientation="portrait"/>
  <rowBreaks count="44" manualBreakCount="44">
    <brk id="52" max="16383" man="1"/>
    <brk id="105" max="16383" man="1"/>
    <brk id="157" max="16383" man="1"/>
    <brk id="210" max="16383" man="1"/>
    <brk id="262" max="16383" man="1"/>
    <brk id="314" max="16383" man="1"/>
    <brk id="367" max="16383" man="1"/>
    <brk id="419" max="16383" man="1"/>
    <brk id="471" max="16383" man="1"/>
    <brk id="523" max="16383" man="1"/>
    <brk id="575" max="16383" man="1"/>
    <brk id="628" max="16383" man="1"/>
    <brk id="680" max="16383" man="1"/>
    <brk id="732" max="16383" man="1"/>
    <brk id="784" max="16383" man="1"/>
    <brk id="836" max="16383" man="1"/>
    <brk id="888" max="16383" man="1"/>
    <brk id="940" max="16383" man="1"/>
    <brk id="994" max="16383" man="1"/>
    <brk id="1046" max="16383" man="1"/>
    <brk id="1099" max="16383" man="1"/>
    <brk id="1151" max="16383" man="1"/>
    <brk id="1203" max="16383" man="1"/>
    <brk id="1255" max="16383" man="1"/>
    <brk id="1308" max="16383" man="1"/>
    <brk id="1360" max="16383" man="1"/>
    <brk id="1412" max="16383" man="1"/>
    <brk id="1465" max="16383" man="1"/>
    <brk id="1517" max="16383" man="1"/>
    <brk id="1569" max="16383" man="1"/>
    <brk id="1621" max="16383" man="1"/>
    <brk id="1673" max="16383" man="1"/>
    <brk id="1725" max="16383" man="1"/>
    <brk id="1777" max="16383" man="1"/>
    <brk id="1829" max="16383" man="1"/>
    <brk id="1881" max="16383" man="1"/>
    <brk id="1933" max="16383" man="1"/>
    <brk id="1989" max="16383" man="1"/>
    <brk id="2041" max="16383" man="1"/>
    <brk id="2093" max="16383" man="1"/>
    <brk id="2145" max="16383" man="1"/>
    <brk id="2197" max="16383" man="1"/>
    <brk id="2249" max="16383" man="1"/>
    <brk id="2301" max="16383" man="1"/>
  </rowBreak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6C5C7-2AC2-48BC-AAC3-286BC9421E99}">
  <dimension ref="A1:D52"/>
  <sheetViews>
    <sheetView rightToLeft="1" topLeftCell="A22" workbookViewId="0">
      <pane ySplit="1" topLeftCell="A23" activePane="bottomLeft" state="frozen"/>
      <selection activeCell="A22" sqref="A22"/>
      <selection pane="bottomLeft" activeCell="B53" sqref="B53"/>
    </sheetView>
  </sheetViews>
  <sheetFormatPr defaultRowHeight="14.25" x14ac:dyDescent="0.2"/>
  <cols>
    <col min="2" max="2" width="9.875" bestFit="1" customWidth="1"/>
  </cols>
  <sheetData>
    <row r="1" spans="1:4" x14ac:dyDescent="0.2">
      <c r="A1" t="s">
        <v>1618</v>
      </c>
      <c r="B1" t="s">
        <v>1619</v>
      </c>
      <c r="C1" t="s">
        <v>1620</v>
      </c>
      <c r="D1" t="s">
        <v>1621</v>
      </c>
    </row>
    <row r="2" spans="1:4" x14ac:dyDescent="0.2">
      <c r="A2">
        <v>1</v>
      </c>
      <c r="B2">
        <v>28718427</v>
      </c>
      <c r="C2" t="s">
        <v>1622</v>
      </c>
      <c r="D2" t="s">
        <v>1623</v>
      </c>
    </row>
    <row r="3" spans="1:4" x14ac:dyDescent="0.2">
      <c r="A3">
        <v>2</v>
      </c>
      <c r="B3">
        <v>31942915</v>
      </c>
      <c r="C3" t="s">
        <v>1624</v>
      </c>
      <c r="D3" t="s">
        <v>1625</v>
      </c>
    </row>
    <row r="4" spans="1:4" x14ac:dyDescent="0.2">
      <c r="A4">
        <v>7</v>
      </c>
      <c r="B4">
        <v>69304962</v>
      </c>
      <c r="C4" t="s">
        <v>1626</v>
      </c>
      <c r="D4" t="s">
        <v>1627</v>
      </c>
    </row>
    <row r="5" spans="1:4" x14ac:dyDescent="0.2">
      <c r="A5">
        <v>8</v>
      </c>
      <c r="B5">
        <v>59659250</v>
      </c>
      <c r="C5" t="s">
        <v>1628</v>
      </c>
      <c r="D5" t="s">
        <v>1629</v>
      </c>
    </row>
    <row r="6" spans="1:4" x14ac:dyDescent="0.2">
      <c r="A6">
        <v>11</v>
      </c>
      <c r="B6">
        <v>55308241</v>
      </c>
      <c r="C6" t="s">
        <v>1630</v>
      </c>
      <c r="D6" t="s">
        <v>1631</v>
      </c>
    </row>
    <row r="7" spans="1:4" x14ac:dyDescent="0.2">
      <c r="A7">
        <v>22</v>
      </c>
      <c r="B7">
        <v>22996672</v>
      </c>
      <c r="C7" t="s">
        <v>1632</v>
      </c>
      <c r="D7" t="s">
        <v>1633</v>
      </c>
    </row>
    <row r="8" spans="1:4" x14ac:dyDescent="0.2">
      <c r="A8">
        <v>34</v>
      </c>
      <c r="B8">
        <v>22201347</v>
      </c>
      <c r="C8" t="s">
        <v>1634</v>
      </c>
      <c r="D8" t="s">
        <v>1635</v>
      </c>
    </row>
    <row r="9" spans="1:4" x14ac:dyDescent="0.2">
      <c r="A9">
        <v>41</v>
      </c>
      <c r="B9">
        <v>206092371</v>
      </c>
      <c r="C9" t="s">
        <v>1636</v>
      </c>
      <c r="D9" t="s">
        <v>1637</v>
      </c>
    </row>
    <row r="10" spans="1:4" x14ac:dyDescent="0.2">
      <c r="A10">
        <v>54</v>
      </c>
      <c r="B10">
        <v>28452837</v>
      </c>
      <c r="C10" t="s">
        <v>1631</v>
      </c>
      <c r="D10" t="s">
        <v>1629</v>
      </c>
    </row>
    <row r="11" spans="1:4" x14ac:dyDescent="0.2">
      <c r="A11">
        <v>60</v>
      </c>
      <c r="B11">
        <v>24588790</v>
      </c>
      <c r="C11" t="s">
        <v>1638</v>
      </c>
      <c r="D11" t="s">
        <v>1639</v>
      </c>
    </row>
    <row r="12" spans="1:4" x14ac:dyDescent="0.2">
      <c r="A12">
        <v>62</v>
      </c>
      <c r="B12">
        <v>308280510</v>
      </c>
      <c r="C12" t="s">
        <v>1631</v>
      </c>
      <c r="D12" t="s">
        <v>1640</v>
      </c>
    </row>
    <row r="13" spans="1:4" x14ac:dyDescent="0.2">
      <c r="A13">
        <v>64</v>
      </c>
      <c r="B13">
        <v>315536524</v>
      </c>
      <c r="C13" t="s">
        <v>1641</v>
      </c>
      <c r="D13" t="s">
        <v>1642</v>
      </c>
    </row>
    <row r="14" spans="1:4" x14ac:dyDescent="0.2">
      <c r="A14">
        <v>65</v>
      </c>
      <c r="B14">
        <v>32955395</v>
      </c>
      <c r="C14" t="s">
        <v>1643</v>
      </c>
      <c r="D14" t="s">
        <v>1634</v>
      </c>
    </row>
    <row r="15" spans="1:4" x14ac:dyDescent="0.2">
      <c r="A15">
        <v>66</v>
      </c>
      <c r="B15">
        <v>15877756</v>
      </c>
      <c r="C15" t="s">
        <v>1644</v>
      </c>
      <c r="D15" t="s">
        <v>1645</v>
      </c>
    </row>
    <row r="16" spans="1:4" x14ac:dyDescent="0.2">
      <c r="A16">
        <v>67</v>
      </c>
      <c r="B16">
        <v>342592516</v>
      </c>
      <c r="C16" t="s">
        <v>1646</v>
      </c>
      <c r="D16" t="s">
        <v>1647</v>
      </c>
    </row>
    <row r="17" spans="1:4" x14ac:dyDescent="0.2">
      <c r="A17">
        <v>75</v>
      </c>
      <c r="B17">
        <v>28027738</v>
      </c>
      <c r="C17" t="s">
        <v>1648</v>
      </c>
      <c r="D17" t="s">
        <v>1649</v>
      </c>
    </row>
    <row r="18" spans="1:4" x14ac:dyDescent="0.2">
      <c r="A18">
        <v>76</v>
      </c>
      <c r="B18">
        <v>11915519</v>
      </c>
      <c r="C18" t="s">
        <v>1650</v>
      </c>
      <c r="D18" t="s">
        <v>1651</v>
      </c>
    </row>
    <row r="19" spans="1:4" x14ac:dyDescent="0.2">
      <c r="A19">
        <v>78</v>
      </c>
      <c r="B19">
        <v>32262479</v>
      </c>
      <c r="C19" t="s">
        <v>1652</v>
      </c>
      <c r="D19" t="s">
        <v>1653</v>
      </c>
    </row>
    <row r="20" spans="1:4" x14ac:dyDescent="0.2">
      <c r="A20">
        <v>86</v>
      </c>
      <c r="B20">
        <v>25155235</v>
      </c>
      <c r="C20" t="s">
        <v>1654</v>
      </c>
      <c r="D20" t="s">
        <v>1655</v>
      </c>
    </row>
    <row r="21" spans="1:4" x14ac:dyDescent="0.2">
      <c r="A21">
        <v>87</v>
      </c>
      <c r="B21">
        <v>207384934</v>
      </c>
      <c r="C21" t="s">
        <v>1656</v>
      </c>
      <c r="D21" t="s">
        <v>1657</v>
      </c>
    </row>
    <row r="22" spans="1:4" x14ac:dyDescent="0.2">
      <c r="A22">
        <v>92</v>
      </c>
      <c r="B22">
        <v>209501998</v>
      </c>
      <c r="C22" t="s">
        <v>1658</v>
      </c>
      <c r="D22" t="s">
        <v>1659</v>
      </c>
    </row>
    <row r="23" spans="1:4" x14ac:dyDescent="0.2">
      <c r="A23">
        <v>93</v>
      </c>
      <c r="B23">
        <v>25474677</v>
      </c>
      <c r="C23" t="s">
        <v>1660</v>
      </c>
      <c r="D23" t="s">
        <v>1661</v>
      </c>
    </row>
    <row r="24" spans="1:4" x14ac:dyDescent="0.2">
      <c r="A24">
        <v>94</v>
      </c>
      <c r="B24">
        <v>205357387</v>
      </c>
      <c r="C24" t="s">
        <v>1662</v>
      </c>
      <c r="D24" t="s">
        <v>1663</v>
      </c>
    </row>
    <row r="25" spans="1:4" x14ac:dyDescent="0.2">
      <c r="A25">
        <v>95</v>
      </c>
      <c r="B25">
        <v>203661004</v>
      </c>
      <c r="C25" t="s">
        <v>1664</v>
      </c>
      <c r="D25" t="s">
        <v>1665</v>
      </c>
    </row>
    <row r="26" spans="1:4" x14ac:dyDescent="0.2">
      <c r="A26">
        <v>96</v>
      </c>
      <c r="B26">
        <v>315919936</v>
      </c>
      <c r="C26" t="s">
        <v>1666</v>
      </c>
      <c r="D26" t="s">
        <v>1637</v>
      </c>
    </row>
    <row r="27" spans="1:4" x14ac:dyDescent="0.2">
      <c r="A27">
        <v>97</v>
      </c>
      <c r="B27">
        <v>25147505</v>
      </c>
      <c r="C27" t="s">
        <v>1667</v>
      </c>
      <c r="D27" t="s">
        <v>1668</v>
      </c>
    </row>
    <row r="28" spans="1:4" x14ac:dyDescent="0.2">
      <c r="A28">
        <v>98</v>
      </c>
      <c r="B28">
        <v>25342445</v>
      </c>
      <c r="C28" t="s">
        <v>1669</v>
      </c>
      <c r="D28" t="s">
        <v>1668</v>
      </c>
    </row>
    <row r="29" spans="1:4" x14ac:dyDescent="0.2">
      <c r="A29">
        <v>100</v>
      </c>
      <c r="B29">
        <v>328797170</v>
      </c>
      <c r="C29" t="s">
        <v>1670</v>
      </c>
      <c r="D29" t="s">
        <v>1671</v>
      </c>
    </row>
    <row r="30" spans="1:4" x14ac:dyDescent="0.2">
      <c r="A30">
        <v>101</v>
      </c>
      <c r="B30">
        <v>32345035</v>
      </c>
      <c r="C30" t="s">
        <v>1672</v>
      </c>
      <c r="D30" t="s">
        <v>1237</v>
      </c>
    </row>
    <row r="31" spans="1:4" x14ac:dyDescent="0.2">
      <c r="A31">
        <v>103</v>
      </c>
      <c r="B31">
        <v>313454829</v>
      </c>
      <c r="C31" t="s">
        <v>1673</v>
      </c>
      <c r="D31" t="s">
        <v>1674</v>
      </c>
    </row>
    <row r="32" spans="1:4" x14ac:dyDescent="0.2">
      <c r="A32">
        <v>104</v>
      </c>
      <c r="B32">
        <v>325338887</v>
      </c>
      <c r="C32" t="s">
        <v>1622</v>
      </c>
      <c r="D32" t="s">
        <v>1675</v>
      </c>
    </row>
    <row r="33" spans="1:4" x14ac:dyDescent="0.2">
      <c r="A33">
        <v>105</v>
      </c>
      <c r="B33">
        <v>318763786</v>
      </c>
      <c r="C33" t="s">
        <v>1676</v>
      </c>
      <c r="D33" t="s">
        <v>1677</v>
      </c>
    </row>
    <row r="34" spans="1:4" x14ac:dyDescent="0.2">
      <c r="A34">
        <v>106</v>
      </c>
      <c r="B34">
        <v>211877550</v>
      </c>
      <c r="C34" t="s">
        <v>1678</v>
      </c>
      <c r="D34" t="s">
        <v>1679</v>
      </c>
    </row>
    <row r="35" spans="1:4" x14ac:dyDescent="0.2">
      <c r="A35">
        <v>109</v>
      </c>
      <c r="B35">
        <v>31664998</v>
      </c>
      <c r="C35" t="s">
        <v>1680</v>
      </c>
      <c r="D35" t="s">
        <v>1655</v>
      </c>
    </row>
    <row r="36" spans="1:4" x14ac:dyDescent="0.2">
      <c r="A36">
        <v>110</v>
      </c>
      <c r="B36">
        <v>205477151</v>
      </c>
      <c r="C36" t="s">
        <v>1681</v>
      </c>
      <c r="D36" t="s">
        <v>1682</v>
      </c>
    </row>
    <row r="37" spans="1:4" x14ac:dyDescent="0.2">
      <c r="A37">
        <v>112</v>
      </c>
      <c r="B37">
        <v>324921550</v>
      </c>
      <c r="C37" t="s">
        <v>1683</v>
      </c>
      <c r="D37" t="s">
        <v>1684</v>
      </c>
    </row>
    <row r="38" spans="1:4" x14ac:dyDescent="0.2">
      <c r="A38">
        <v>113</v>
      </c>
      <c r="B38">
        <v>37643772</v>
      </c>
      <c r="C38" t="s">
        <v>1685</v>
      </c>
      <c r="D38" t="s">
        <v>1686</v>
      </c>
    </row>
    <row r="39" spans="1:4" x14ac:dyDescent="0.2">
      <c r="A39">
        <v>114</v>
      </c>
      <c r="B39">
        <v>213189087</v>
      </c>
      <c r="C39" t="s">
        <v>1687</v>
      </c>
      <c r="D39" t="s">
        <v>1688</v>
      </c>
    </row>
    <row r="40" spans="1:4" x14ac:dyDescent="0.2">
      <c r="A40">
        <v>115</v>
      </c>
      <c r="B40">
        <v>322131285</v>
      </c>
      <c r="C40" t="s">
        <v>1689</v>
      </c>
      <c r="D40" t="s">
        <v>1690</v>
      </c>
    </row>
    <row r="41" spans="1:4" x14ac:dyDescent="0.2">
      <c r="A41">
        <v>116</v>
      </c>
      <c r="B41">
        <v>206184806</v>
      </c>
      <c r="C41" t="s">
        <v>1691</v>
      </c>
      <c r="D41" t="s">
        <v>1692</v>
      </c>
    </row>
    <row r="42" spans="1:4" x14ac:dyDescent="0.2">
      <c r="A42">
        <v>117</v>
      </c>
      <c r="B42">
        <v>208994863</v>
      </c>
      <c r="C42" t="s">
        <v>1693</v>
      </c>
      <c r="D42" t="s">
        <v>1694</v>
      </c>
    </row>
    <row r="43" spans="1:4" x14ac:dyDescent="0.2">
      <c r="A43">
        <v>118</v>
      </c>
      <c r="B43">
        <v>213026206</v>
      </c>
      <c r="C43" t="s">
        <v>1695</v>
      </c>
      <c r="D43" t="s">
        <v>1696</v>
      </c>
    </row>
    <row r="44" spans="1:4" x14ac:dyDescent="0.2">
      <c r="A44">
        <v>119</v>
      </c>
      <c r="B44">
        <v>36635662</v>
      </c>
      <c r="C44" t="s">
        <v>1697</v>
      </c>
      <c r="D44" t="s">
        <v>1662</v>
      </c>
    </row>
    <row r="45" spans="1:4" x14ac:dyDescent="0.2">
      <c r="A45">
        <v>120</v>
      </c>
      <c r="B45">
        <v>53668174</v>
      </c>
      <c r="C45" t="s">
        <v>1698</v>
      </c>
      <c r="D45" t="s">
        <v>1627</v>
      </c>
    </row>
    <row r="46" spans="1:4" x14ac:dyDescent="0.2">
      <c r="A46">
        <v>121</v>
      </c>
      <c r="B46">
        <v>316048313</v>
      </c>
      <c r="C46" t="s">
        <v>1699</v>
      </c>
      <c r="D46" t="s">
        <v>1700</v>
      </c>
    </row>
    <row r="47" spans="1:4" x14ac:dyDescent="0.2">
      <c r="A47">
        <v>122</v>
      </c>
      <c r="B47">
        <v>751255</v>
      </c>
      <c r="C47" t="s">
        <v>1701</v>
      </c>
      <c r="D47" t="s">
        <v>1702</v>
      </c>
    </row>
    <row r="48" spans="1:4" x14ac:dyDescent="0.2">
      <c r="A48">
        <v>123</v>
      </c>
      <c r="B48">
        <v>315253013</v>
      </c>
      <c r="C48" t="s">
        <v>1703</v>
      </c>
      <c r="D48" t="s">
        <v>1704</v>
      </c>
    </row>
    <row r="49" spans="1:4" x14ac:dyDescent="0.2">
      <c r="A49">
        <v>124</v>
      </c>
      <c r="B49">
        <v>27308337</v>
      </c>
      <c r="C49" t="s">
        <v>1705</v>
      </c>
      <c r="D49" t="s">
        <v>1706</v>
      </c>
    </row>
    <row r="50" spans="1:4" x14ac:dyDescent="0.2">
      <c r="A50">
        <v>125</v>
      </c>
      <c r="B50">
        <v>27955772</v>
      </c>
      <c r="C50" t="s">
        <v>1707</v>
      </c>
      <c r="D50" t="s">
        <v>1637</v>
      </c>
    </row>
    <row r="51" spans="1:4" x14ac:dyDescent="0.2">
      <c r="A51">
        <v>126</v>
      </c>
      <c r="B51">
        <v>207865999</v>
      </c>
      <c r="C51" t="s">
        <v>1708</v>
      </c>
      <c r="D51" t="s">
        <v>1645</v>
      </c>
    </row>
    <row r="52" spans="1:4" x14ac:dyDescent="0.2">
      <c r="A52">
        <v>127</v>
      </c>
      <c r="B52">
        <v>31743420</v>
      </c>
      <c r="C52" t="s">
        <v>1711</v>
      </c>
      <c r="D52" t="s">
        <v>1712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1A4A-AD77-44BA-A0C9-306D71C0E9B1}">
  <dimension ref="A1:V100"/>
  <sheetViews>
    <sheetView rightToLeft="1" tabSelected="1" workbookViewId="0">
      <pane ySplit="3" topLeftCell="A4" activePane="bottomLeft" state="frozen"/>
      <selection pane="bottomLeft" activeCell="K11" sqref="K11"/>
    </sheetView>
  </sheetViews>
  <sheetFormatPr defaultRowHeight="14.25" x14ac:dyDescent="0.2"/>
  <cols>
    <col min="1" max="1" width="8.375" customWidth="1"/>
    <col min="2" max="2" width="18.375" customWidth="1"/>
    <col min="3" max="3" width="8.375" customWidth="1"/>
    <col min="4" max="5" width="9.125" customWidth="1"/>
    <col min="6" max="7" width="8.375" customWidth="1"/>
    <col min="8" max="8" width="10" customWidth="1"/>
    <col min="9" max="11" width="9.125" customWidth="1"/>
    <col min="12" max="12" width="10" customWidth="1"/>
    <col min="13" max="13" width="9.125" customWidth="1"/>
    <col min="14" max="14" width="8.375" customWidth="1"/>
    <col min="15" max="15" width="9.125" customWidth="1"/>
    <col min="16" max="16" width="7.5" customWidth="1"/>
    <col min="17" max="18" width="8.375" customWidth="1"/>
    <col min="19" max="20" width="9.125" customWidth="1"/>
    <col min="21" max="22" width="8.375" customWidth="1"/>
  </cols>
  <sheetData>
    <row r="1" spans="1:22" ht="18" x14ac:dyDescent="0.25">
      <c r="A1" s="44" t="s">
        <v>1764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60"/>
      <c r="N1" s="60"/>
      <c r="O1" s="60"/>
      <c r="P1" s="60"/>
      <c r="Q1" s="60"/>
      <c r="R1" s="60"/>
      <c r="S1" s="60"/>
      <c r="T1" s="60"/>
      <c r="U1" s="60"/>
      <c r="V1" s="60"/>
    </row>
    <row r="2" spans="1:22" ht="15" thickBot="1" x14ac:dyDescent="0.2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1:22" ht="45" customHeight="1" thickTop="1" thickBot="1" x14ac:dyDescent="0.25">
      <c r="A3" s="217" t="s">
        <v>1709</v>
      </c>
      <c r="B3" s="218" t="s">
        <v>1532</v>
      </c>
      <c r="C3" s="219" t="s">
        <v>175</v>
      </c>
      <c r="D3" s="220" t="s">
        <v>1531</v>
      </c>
      <c r="E3" s="220" t="s">
        <v>1593</v>
      </c>
      <c r="F3" s="221" t="s">
        <v>1533</v>
      </c>
      <c r="G3" s="222" t="s">
        <v>1610</v>
      </c>
      <c r="H3" s="223" t="s">
        <v>1611</v>
      </c>
      <c r="I3" s="224" t="s">
        <v>1612</v>
      </c>
      <c r="J3" s="224" t="s">
        <v>1613</v>
      </c>
      <c r="K3" s="225" t="s">
        <v>1614</v>
      </c>
      <c r="L3" s="226" t="s">
        <v>1615</v>
      </c>
      <c r="M3" s="227" t="s">
        <v>1768</v>
      </c>
      <c r="N3" s="228" t="s">
        <v>1020</v>
      </c>
      <c r="O3" s="229" t="s">
        <v>632</v>
      </c>
      <c r="P3" s="230" t="s">
        <v>27</v>
      </c>
      <c r="Q3" s="231" t="s">
        <v>1771</v>
      </c>
      <c r="R3" s="231" t="s">
        <v>1600</v>
      </c>
      <c r="S3" s="232" t="s">
        <v>1772</v>
      </c>
      <c r="T3" s="233" t="s">
        <v>1595</v>
      </c>
      <c r="U3" s="234" t="s">
        <v>1774</v>
      </c>
      <c r="V3" s="235" t="s">
        <v>1773</v>
      </c>
    </row>
    <row r="4" spans="1:22" ht="21.95" customHeight="1" thickTop="1" x14ac:dyDescent="0.25">
      <c r="A4" s="197">
        <v>7</v>
      </c>
      <c r="B4" s="198" t="s">
        <v>530</v>
      </c>
      <c r="C4" s="199">
        <f>report!C514</f>
        <v>12</v>
      </c>
      <c r="D4" s="200">
        <f>report!C515</f>
        <v>21</v>
      </c>
      <c r="E4" s="201">
        <f>IFERROR(INDEX(report!$K$513:$K$527,MATCH("חופשה לחיוב",report!$I$513:$I$527,0)),0)</f>
        <v>4.5</v>
      </c>
      <c r="F4" s="202">
        <f>IFERROR(INDEX(report!$K$513:$K$527,MATCH("מחלה",report!$I$513:$I$527,0)),0)</f>
        <v>0</v>
      </c>
      <c r="G4" s="203">
        <f>IFERROR(INDEX(report!$K$513:$K$527,MATCH("מילואים",report!$I$513:$I$527,0)),0)</f>
        <v>0</v>
      </c>
      <c r="H4" s="204">
        <f>report!G511</f>
        <v>115.4</v>
      </c>
      <c r="I4" s="205">
        <f>report!J511</f>
        <v>100.05</v>
      </c>
      <c r="J4" s="205">
        <f>report!K511</f>
        <v>13.53</v>
      </c>
      <c r="K4" s="206">
        <f>report!L511</f>
        <v>1.81</v>
      </c>
      <c r="L4" s="207">
        <f>report!C523</f>
        <v>0</v>
      </c>
      <c r="M4" s="208">
        <f>IFERROR(INDEX(report!$K$513:$K$527,MATCH("מחלה לקיזוז",report!$I$513:$I$527,0)),0)</f>
        <v>0</v>
      </c>
      <c r="N4" s="209">
        <f>IFERROR(INDEX(report!$K$513:$K$527,MATCH("חל""ת",report!$I$513:$I$527,0)),0)</f>
        <v>0</v>
      </c>
      <c r="O4" s="210">
        <f>IFERROR(INDEX(report!$K$513:$K$527,MATCH("היעדרות",report!$I$513:$I$527,0)),0)</f>
        <v>0</v>
      </c>
      <c r="P4" s="211">
        <f>IFERROR(INDEX(report!$K$513:$K$527,MATCH("חג",report!$I$513:$I$527,0)),0)</f>
        <v>3</v>
      </c>
      <c r="Q4" s="212">
        <f>IFERROR(INDEX(report!$K$513:$K$527,MATCH("ערב חג",report!$I$513:$I$527,0)),0)</f>
        <v>3</v>
      </c>
      <c r="R4" s="212">
        <f>IFERROR(INDEX(report!$K$513:$K$527,MATCH("חול המועד",report!$I$513:$I$527,0)),0)</f>
        <v>2</v>
      </c>
      <c r="S4" s="213">
        <f>IFERROR(INDEX(report!$K$513:$K$527,MATCH("תאונת עבודה",report!$I$513:$I$527,0)),0)</f>
        <v>0</v>
      </c>
      <c r="T4" s="214">
        <f>IFERROR(INDEX(report!$K$513:$K$527,MATCH("חופש",report!$I$513:$I$527,0)),0)</f>
        <v>2</v>
      </c>
      <c r="U4" s="215">
        <f>22-M4-N4-O4</f>
        <v>22</v>
      </c>
      <c r="V4" s="216">
        <f>D4-U4</f>
        <v>-1</v>
      </c>
    </row>
    <row r="5" spans="1:22" ht="21.95" customHeight="1" x14ac:dyDescent="0.25">
      <c r="A5" s="168">
        <v>8</v>
      </c>
      <c r="B5" s="172" t="s">
        <v>447</v>
      </c>
      <c r="C5" s="170">
        <f>report!C358</f>
        <v>12</v>
      </c>
      <c r="D5" s="161">
        <f>report!C359</f>
        <v>22</v>
      </c>
      <c r="E5" s="162">
        <f>IFERROR(INDEX(report!$K$357:$K$371,MATCH("חופשה לחיוב",report!$I$357:$I$371,0)),0)</f>
        <v>5.5</v>
      </c>
      <c r="F5" s="174">
        <f>IFERROR(INDEX(report!$K$357:$K$371,MATCH("מחלה",report!$I$357:$I$371,0)),0)</f>
        <v>0</v>
      </c>
      <c r="G5" s="178">
        <f>IFERROR(INDEX(report!$K$357:$K$371,MATCH("מילואים",report!$I$357:$I$371,0)),0)</f>
        <v>0</v>
      </c>
      <c r="H5" s="176">
        <f>report!G355</f>
        <v>117.65</v>
      </c>
      <c r="I5" s="163">
        <f>report!J355</f>
        <v>100.58</v>
      </c>
      <c r="J5" s="163">
        <f>report!K355</f>
        <v>16.68</v>
      </c>
      <c r="K5" s="180">
        <f>report!L355</f>
        <v>0.38</v>
      </c>
      <c r="L5" s="184">
        <f>report!C367</f>
        <v>0</v>
      </c>
      <c r="M5" s="182">
        <f>IFERROR(INDEX(report!$K$357:$K$371,MATCH("מחלה לקיזוז",report!$I$357:$I$371,0)),0)</f>
        <v>0</v>
      </c>
      <c r="N5" s="186">
        <f>IFERROR(INDEX(report!$K$357:$K$371,MATCH("חל""ת",report!$I$357:$I$371,0)),0)</f>
        <v>0</v>
      </c>
      <c r="O5" s="190">
        <f>IFERROR(INDEX(report!$K$357:$K$371,MATCH("היעדרות",report!$I$357:$I$371,0)),0)</f>
        <v>0</v>
      </c>
      <c r="P5" s="188">
        <f>IFERROR(INDEX(report!$K$357:$K$371,MATCH("חג",report!$I$357:$I$371,0)),0)</f>
        <v>3</v>
      </c>
      <c r="Q5" s="164">
        <f>IFERROR(INDEX(report!$K$357:$K$371,MATCH("ערב חג",report!$I$357:$I$371,0)),0)</f>
        <v>3</v>
      </c>
      <c r="R5" s="164">
        <f>IFERROR(INDEX(report!$K$357:$K$371,MATCH("חול המועד",report!$I$357:$I$371,0)),0)</f>
        <v>2</v>
      </c>
      <c r="S5" s="192">
        <f>IFERROR(INDEX(report!$K$357:$K$371,MATCH("תאונת עבודה",report!$I$357:$I$371,0)),0)</f>
        <v>0</v>
      </c>
      <c r="T5" s="196">
        <f>IFERROR(INDEX(report!$K$357:$K$371,MATCH("חופש",report!$I$357:$I$371,0)),0)</f>
        <v>2</v>
      </c>
      <c r="U5" s="194">
        <f>22-M5-N5-O5</f>
        <v>22</v>
      </c>
      <c r="V5" s="166">
        <f>D5-U5</f>
        <v>0</v>
      </c>
    </row>
    <row r="6" spans="1:22" ht="21.95" customHeight="1" x14ac:dyDescent="0.25">
      <c r="A6" s="167">
        <v>11</v>
      </c>
      <c r="B6" s="171" t="s">
        <v>576</v>
      </c>
      <c r="C6" s="169">
        <f>report!C566</f>
        <v>12</v>
      </c>
      <c r="D6" s="157">
        <f>report!C567</f>
        <v>20</v>
      </c>
      <c r="E6" s="158">
        <f>IFERROR(INDEX(report!$K$565:$K$579,MATCH("חופשה לחיוב",report!$I$565:$I$579,0)),0)</f>
        <v>1.5</v>
      </c>
      <c r="F6" s="173">
        <f>IFERROR(INDEX(report!$K$565:$K$579,MATCH("מחלה",report!$I$565:$I$579,0)),0)</f>
        <v>0</v>
      </c>
      <c r="G6" s="177">
        <f>IFERROR(INDEX(report!$K$565:$K$579,MATCH("מילואים",report!$I$565:$I$579,0)),0)</f>
        <v>0</v>
      </c>
      <c r="H6" s="175">
        <f>report!G563</f>
        <v>76.98</v>
      </c>
      <c r="I6" s="159">
        <f>report!J563</f>
        <v>76.98</v>
      </c>
      <c r="J6" s="159">
        <v>0</v>
      </c>
      <c r="K6" s="179">
        <v>0</v>
      </c>
      <c r="L6" s="183">
        <f>report!C575</f>
        <v>0</v>
      </c>
      <c r="M6" s="181">
        <f>IFERROR(INDEX(report!$K$565:$K$579,MATCH("מחלה לקיזוז",report!$I$565:$I$579,0)),0)</f>
        <v>0</v>
      </c>
      <c r="N6" s="185">
        <f>IFERROR(INDEX(report!$K$565:$K$579,MATCH("חל""ת",report!$I$565:$I$579,0)),0)</f>
        <v>0</v>
      </c>
      <c r="O6" s="189">
        <f>IFERROR(INDEX(report!$K$565:$K$579,MATCH("היעדרות",report!$I$565:$I$579,0)),0)</f>
        <v>2</v>
      </c>
      <c r="P6" s="187">
        <f>IFERROR(INDEX(report!$K$565:$K$579,MATCH("חג",report!$I$565:$I$579,0)),0)</f>
        <v>3</v>
      </c>
      <c r="Q6" s="160">
        <f>IFERROR(INDEX(report!$K$565:$K$579,MATCH("ערב חג",report!$I$565:$I$579,0)),0)</f>
        <v>3</v>
      </c>
      <c r="R6" s="160">
        <f>IFERROR(INDEX(report!$K$565:$K$579,MATCH("חול המועד",report!$I$565:$I$579,0)),0)</f>
        <v>2</v>
      </c>
      <c r="S6" s="191">
        <f>IFERROR(INDEX(report!$K$565:$K$579,MATCH("תאונת עבודה",report!$I$565:$I$579,0)),0)</f>
        <v>0</v>
      </c>
      <c r="T6" s="195">
        <f>IFERROR(INDEX(report!$K$565:$K$579,MATCH("חופש",report!$I$565:$I$579,0)),0)</f>
        <v>0</v>
      </c>
      <c r="U6" s="193">
        <f>22-M6-N6-O6</f>
        <v>20</v>
      </c>
      <c r="V6" s="165">
        <f>D6-U6</f>
        <v>0</v>
      </c>
    </row>
    <row r="7" spans="1:22" ht="21.95" customHeight="1" x14ac:dyDescent="0.25">
      <c r="A7" s="168">
        <v>22</v>
      </c>
      <c r="B7" s="172" t="s">
        <v>298</v>
      </c>
      <c r="C7" s="170">
        <f>report!C201</f>
        <v>14</v>
      </c>
      <c r="D7" s="161">
        <f>report!C202</f>
        <v>22</v>
      </c>
      <c r="E7" s="162">
        <f>IFERROR(INDEX(report!$K$200:$K$214,MATCH("חופשה לחיוב",report!$I$200:$I$214,0)),0)</f>
        <v>3.5</v>
      </c>
      <c r="F7" s="174">
        <f>IFERROR(INDEX(report!$K$200:$K$214,MATCH("מחלה",report!$I$200:$I$214,0)),0)</f>
        <v>0</v>
      </c>
      <c r="G7" s="178">
        <f>IFERROR(INDEX(report!$K$200:$K$214,MATCH("מילואים",report!$I$200:$I$214,0)),0)</f>
        <v>0</v>
      </c>
      <c r="H7" s="176">
        <f>report!G198</f>
        <v>129.65</v>
      </c>
      <c r="I7" s="163">
        <f>report!J198</f>
        <v>115.7</v>
      </c>
      <c r="J7" s="163">
        <f>report!K198</f>
        <v>13.5</v>
      </c>
      <c r="K7" s="180">
        <f>report!L198</f>
        <v>0.45</v>
      </c>
      <c r="L7" s="184">
        <f>report!C210</f>
        <v>0</v>
      </c>
      <c r="M7" s="182">
        <f>IFERROR(INDEX(report!$K$200:$K$214,MATCH("מחלה לקיזוז",report!$I$200:$I$214,0)),0)</f>
        <v>0</v>
      </c>
      <c r="N7" s="186">
        <f>IFERROR(INDEX(report!$K$200:$K$214,MATCH("חל""ת",report!$I$200:$I$214,0)),0)</f>
        <v>0</v>
      </c>
      <c r="O7" s="190">
        <f>IFERROR(INDEX(report!$K$200:$K$214,MATCH("היעדרות",report!$I$200:$I$214,0)),0)</f>
        <v>0</v>
      </c>
      <c r="P7" s="188">
        <f>IFERROR(INDEX(report!$K$200:$K$214,MATCH("חג",report!$I$200:$I$214,0)),0)</f>
        <v>3</v>
      </c>
      <c r="Q7" s="164">
        <f>IFERROR(INDEX(report!$K$200:$K$214,MATCH("ערב חג",report!$I$200:$I$214,0)),0)</f>
        <v>3</v>
      </c>
      <c r="R7" s="164">
        <f>IFERROR(INDEX(report!$K$200:$K$214,MATCH("חול המועד",report!$I$200:$I$214,0)),0)</f>
        <v>0</v>
      </c>
      <c r="S7" s="192">
        <f>IFERROR(INDEX(report!$K$200:$K$214,MATCH("תאונת עבודה",report!$I$200:$I$214,0)),0)</f>
        <v>0</v>
      </c>
      <c r="T7" s="196">
        <f>IFERROR(INDEX(report!$K$200:$K$214,MATCH("חופש",report!$I$200:$I$214,0)),0)</f>
        <v>2</v>
      </c>
      <c r="U7" s="194">
        <f>22-M7-N7-O7</f>
        <v>22</v>
      </c>
      <c r="V7" s="166">
        <f>D7-U7</f>
        <v>0</v>
      </c>
    </row>
    <row r="8" spans="1:22" ht="21.95" customHeight="1" x14ac:dyDescent="0.25">
      <c r="A8" s="167">
        <v>54</v>
      </c>
      <c r="B8" s="171" t="s">
        <v>984</v>
      </c>
      <c r="C8" s="169">
        <f>report!C1142</f>
        <v>10</v>
      </c>
      <c r="D8" s="157">
        <f>report!C1143</f>
        <v>18</v>
      </c>
      <c r="E8" s="158">
        <f>IFERROR(INDEX(report!$K$1141:$K$1155,MATCH("חופשה לחיוב",report!$I$1141:$I$1155,0)),0)</f>
        <v>4</v>
      </c>
      <c r="F8" s="173">
        <f>IFERROR(INDEX(report!$K$1141:$K$1155,MATCH("מחלה",report!$I$1141:$I$1155,0)),0)</f>
        <v>4</v>
      </c>
      <c r="G8" s="177">
        <f>IFERROR(INDEX(report!$K$1141:$K$1155,MATCH("מילואים",report!$I$1141:$I$1155,0)),0)</f>
        <v>0</v>
      </c>
      <c r="H8" s="175">
        <f>report!G1139</f>
        <v>69.86</v>
      </c>
      <c r="I8" s="159">
        <f>report!J1139</f>
        <v>67.13</v>
      </c>
      <c r="J8" s="159">
        <f>report!K1139</f>
        <v>2.38</v>
      </c>
      <c r="K8" s="179">
        <f>report!L1139</f>
        <v>0.35</v>
      </c>
      <c r="L8" s="183">
        <f>report!C1151</f>
        <v>0</v>
      </c>
      <c r="M8" s="181">
        <f>IFERROR(INDEX(report!$K$1141:$K$1155,MATCH("מחלה לקיזוז",report!$I$1141:$I$1155,0)),0)</f>
        <v>2</v>
      </c>
      <c r="N8" s="185">
        <f>IFERROR(INDEX(report!$K$1141:$K$1155,MATCH("חל""ת",report!$I$1141:$I$1155,0)),0)</f>
        <v>2</v>
      </c>
      <c r="O8" s="189">
        <f>IFERROR(INDEX(report!$K$1141:$K$1155,MATCH("היעדרות",report!$I$1141:$I$1155,0)),0)</f>
        <v>0</v>
      </c>
      <c r="P8" s="187">
        <f>IFERROR(INDEX(report!$K$1141:$K$1155,MATCH("חג",report!$I$1141:$I$1155,0)),0)</f>
        <v>3</v>
      </c>
      <c r="Q8" s="160">
        <f>IFERROR(INDEX(report!$K$1141:$K$1155,MATCH("ערב חג",report!$I$1141:$I$1155,0)),0)</f>
        <v>2</v>
      </c>
      <c r="R8" s="160">
        <f>IFERROR(INDEX(report!$K$1141:$K$1155,MATCH("חול המועד",report!$I$1141:$I$1155,0)),0)</f>
        <v>2</v>
      </c>
      <c r="S8" s="191">
        <f>IFERROR(INDEX(report!$K$1141:$K$1155,MATCH("תאונת עבודה",report!$I$1141:$I$1155,0)),0)</f>
        <v>0</v>
      </c>
      <c r="T8" s="195">
        <f>IFERROR(INDEX(report!$K$1141:$K$1155,MATCH("חופש",report!$I$1141:$I$1155,0)),0)</f>
        <v>1</v>
      </c>
      <c r="U8" s="193">
        <f>22-M8-N8-O8</f>
        <v>18</v>
      </c>
      <c r="V8" s="165">
        <f>D8-U8</f>
        <v>0</v>
      </c>
    </row>
    <row r="9" spans="1:22" ht="21.95" customHeight="1" x14ac:dyDescent="0.25">
      <c r="A9" s="168">
        <v>60</v>
      </c>
      <c r="B9" s="172" t="s">
        <v>1236</v>
      </c>
      <c r="C9" s="170">
        <f>report!C1612</f>
        <v>15</v>
      </c>
      <c r="D9" s="161">
        <f>report!C1613</f>
        <v>22</v>
      </c>
      <c r="E9" s="162">
        <f>IFERROR(INDEX(report!$K$1611:$K$1625,MATCH("חופשה לחיוב",report!$I$1611:$I$1625,0)),0)</f>
        <v>3</v>
      </c>
      <c r="F9" s="174">
        <f>IFERROR(INDEX(report!$K$1611:$K$1625,MATCH("מחלה",report!$I$1611:$I$1625,0)),0)</f>
        <v>0</v>
      </c>
      <c r="G9" s="178">
        <f>IFERROR(INDEX(report!$K$1611:$K$1625,MATCH("מילואים",report!$I$1611:$I$1625,0)),0)</f>
        <v>0</v>
      </c>
      <c r="H9" s="176">
        <f>report!G1609</f>
        <v>135.11000000000001</v>
      </c>
      <c r="I9" s="163">
        <f>report!J1609</f>
        <v>125</v>
      </c>
      <c r="J9" s="163">
        <f>report!K1609</f>
        <v>10.11</v>
      </c>
      <c r="K9" s="180">
        <v>0</v>
      </c>
      <c r="L9" s="184">
        <f>report!C1621</f>
        <v>0</v>
      </c>
      <c r="M9" s="182">
        <f>IFERROR(INDEX(report!$K$1611:$K$1625,MATCH("מחלה לקיזוז",report!$I$1611:$I$1625,0)),0)</f>
        <v>0</v>
      </c>
      <c r="N9" s="186">
        <f>IFERROR(INDEX(report!$K$1611:$K$1625,MATCH("חל""ת",report!$I$1611:$I$1625,0)),0)</f>
        <v>0</v>
      </c>
      <c r="O9" s="190">
        <f>IFERROR(INDEX(report!$K$1611:$K$1625,MATCH("היעדרות",report!$I$1611:$I$1625,0)),0)</f>
        <v>0</v>
      </c>
      <c r="P9" s="188">
        <f>IFERROR(INDEX(report!$K$1611:$K$1625,MATCH("חג",report!$I$1611:$I$1625,0)),0)</f>
        <v>3</v>
      </c>
      <c r="Q9" s="164">
        <f>IFERROR(INDEX(report!$K$1611:$K$1625,MATCH("ערב חג",report!$I$1611:$I$1625,0)),0)</f>
        <v>2</v>
      </c>
      <c r="R9" s="164">
        <f>IFERROR(INDEX(report!$K$1611:$K$1625,MATCH("חול המועד",report!$I$1611:$I$1625,0)),0)</f>
        <v>0</v>
      </c>
      <c r="S9" s="192">
        <f>IFERROR(INDEX(report!$K$1611:$K$1625,MATCH("תאונת עבודה",report!$I$1611:$I$1625,0)),0)</f>
        <v>0</v>
      </c>
      <c r="T9" s="196">
        <f>IFERROR(INDEX(report!$K$1611:$K$1625,MATCH("חופש",report!$I$1611:$I$1625,0)),0)</f>
        <v>2</v>
      </c>
      <c r="U9" s="194">
        <f>22-M9-N9-O9</f>
        <v>22</v>
      </c>
      <c r="V9" s="166">
        <f>D9-U9</f>
        <v>0</v>
      </c>
    </row>
    <row r="10" spans="1:22" ht="21.95" customHeight="1" x14ac:dyDescent="0.25">
      <c r="A10" s="167">
        <v>62</v>
      </c>
      <c r="B10" s="171" t="s">
        <v>1360</v>
      </c>
      <c r="C10" s="169">
        <f>report!C1924</f>
        <v>3</v>
      </c>
      <c r="D10" s="157">
        <f>report!C1925</f>
        <v>22</v>
      </c>
      <c r="E10" s="158">
        <f>IFERROR(INDEX(report!$K$1923:$K$1937,MATCH("חופשה לחיוב",report!$I$1923:$I$1937,0)),0)</f>
        <v>5</v>
      </c>
      <c r="F10" s="173">
        <f>IFERROR(INDEX(report!$K$1923:$K$1937,MATCH("מחלה",report!$I$1923:$I$1937,0)),0)</f>
        <v>0</v>
      </c>
      <c r="G10" s="177">
        <f>IFERROR(INDEX(report!$K$1923:$K$1937,MATCH("מילואים",report!$I$1923:$I$1937,0)),0)</f>
        <v>15</v>
      </c>
      <c r="H10" s="175">
        <f>report!G1921</f>
        <v>25.75</v>
      </c>
      <c r="I10" s="159">
        <f>report!J1921</f>
        <v>24.2</v>
      </c>
      <c r="J10" s="159">
        <f>report!K1921</f>
        <v>1.55</v>
      </c>
      <c r="K10" s="179">
        <v>0</v>
      </c>
      <c r="L10" s="183">
        <f>report!C1933</f>
        <v>8.3999999999999986</v>
      </c>
      <c r="M10" s="181">
        <f>IFERROR(INDEX(report!$K$1923:$K$1937,MATCH("מחלה לקיזוז",report!$I$1923:$I$1937,0)),0)</f>
        <v>0</v>
      </c>
      <c r="N10" s="185">
        <f>IFERROR(INDEX(report!$K$1923:$K$1937,MATCH("חל""ת",report!$I$1923:$I$1937,0)),0)</f>
        <v>0</v>
      </c>
      <c r="O10" s="189">
        <f>IFERROR(INDEX(report!$K$1923:$K$1937,MATCH("היעדרות",report!$I$1923:$I$1937,0)),0)</f>
        <v>0</v>
      </c>
      <c r="P10" s="187">
        <f>IFERROR(INDEX(report!$K$1923:$K$1937,MATCH("חג",report!$I$1923:$I$1937,0)),0)</f>
        <v>3</v>
      </c>
      <c r="Q10" s="160">
        <f>IFERROR(INDEX(report!$K$1923:$K$1937,MATCH("ערב חג",report!$I$1923:$I$1937,0)),0)</f>
        <v>2</v>
      </c>
      <c r="R10" s="160">
        <f>IFERROR(INDEX(report!$K$1923:$K$1937,MATCH("חול המועד",report!$I$1923:$I$1937,0)),0)</f>
        <v>2</v>
      </c>
      <c r="S10" s="191">
        <f>IFERROR(INDEX(report!$K$1923:$K$1937,MATCH("תאונת עבודה",report!$I$1923:$I$1937,0)),0)</f>
        <v>0</v>
      </c>
      <c r="T10" s="195">
        <f>IFERROR(INDEX(report!$K$1923:$K$1937,MATCH("חופש",report!$I$1923:$I$1937,0)),0)</f>
        <v>2</v>
      </c>
      <c r="U10" s="193">
        <f>22-M10-N10-O10</f>
        <v>22</v>
      </c>
      <c r="V10" s="165">
        <f>D10-U10</f>
        <v>0</v>
      </c>
    </row>
    <row r="11" spans="1:22" ht="21.95" customHeight="1" x14ac:dyDescent="0.25">
      <c r="A11" s="168">
        <v>64</v>
      </c>
      <c r="B11" s="172" t="s">
        <v>1467</v>
      </c>
      <c r="C11" s="170">
        <f>report!C2188</f>
        <v>12</v>
      </c>
      <c r="D11" s="161">
        <f>report!C2189</f>
        <v>20.5</v>
      </c>
      <c r="E11" s="162">
        <f>IFERROR(INDEX(report!$K$2187:$K$2201,MATCH("חופשה לחיוב",report!$I$2187:$I$2201,0)),0)</f>
        <v>3</v>
      </c>
      <c r="F11" s="174">
        <f>IFERROR(INDEX(report!$K$2187:$K$2201,MATCH("מחלה",report!$I$2187:$I$2201,0)),0)</f>
        <v>2</v>
      </c>
      <c r="G11" s="178">
        <f>IFERROR(INDEX(report!$K$2187:$K$2201,MATCH("מילואים",report!$I$2187:$I$2201,0)),0)</f>
        <v>1</v>
      </c>
      <c r="H11" s="176">
        <f>report!G2185</f>
        <v>104.36</v>
      </c>
      <c r="I11" s="163">
        <f>report!J2185</f>
        <v>99.8</v>
      </c>
      <c r="J11" s="163">
        <f>report!K2185</f>
        <v>4.5599999999999996</v>
      </c>
      <c r="K11" s="180">
        <v>0</v>
      </c>
      <c r="L11" s="184">
        <f>report!C2197</f>
        <v>0</v>
      </c>
      <c r="M11" s="182">
        <f>IFERROR(INDEX(report!$K$2187:$K$2201,MATCH("מחלה לקיזוז",report!$I$2187:$I$2201,0)),0)</f>
        <v>1.5</v>
      </c>
      <c r="N11" s="186">
        <f>IFERROR(INDEX(report!$K$2187:$K$2201,MATCH("חל""ת",report!$I$2187:$I$2201,0)),0)</f>
        <v>0</v>
      </c>
      <c r="O11" s="190">
        <f>IFERROR(INDEX(report!$K$2187:$K$2201,MATCH("היעדרות",report!$I$2187:$I$2201,0)),0)</f>
        <v>0</v>
      </c>
      <c r="P11" s="188">
        <f>IFERROR(INDEX(report!$K$2187:$K$2201,MATCH("חג",report!$I$2187:$I$2201,0)),0)</f>
        <v>3</v>
      </c>
      <c r="Q11" s="164">
        <f>IFERROR(INDEX(report!$K$2187:$K$2201,MATCH("ערב חג",report!$I$2187:$I$2201,0)),0)</f>
        <v>2</v>
      </c>
      <c r="R11" s="164">
        <f>IFERROR(INDEX(report!$K$2187:$K$2201,MATCH("חול המועד",report!$I$2187:$I$2201,0)),0)</f>
        <v>2</v>
      </c>
      <c r="S11" s="192">
        <f>IFERROR(INDEX(report!$K$2187:$K$2201,MATCH("תאונת עבודה",report!$I$2187:$I$2201,0)),0)</f>
        <v>0</v>
      </c>
      <c r="T11" s="196">
        <f>IFERROR(INDEX(report!$K$2187:$K$2201,MATCH("חופש",report!$I$2187:$I$2201,0)),0)</f>
        <v>0</v>
      </c>
      <c r="U11" s="194">
        <f>22-M11-N11-O11</f>
        <v>20.5</v>
      </c>
      <c r="V11" s="166">
        <f>D11-U11</f>
        <v>0</v>
      </c>
    </row>
    <row r="12" spans="1:22" ht="21.95" customHeight="1" x14ac:dyDescent="0.25">
      <c r="A12" s="167">
        <v>65</v>
      </c>
      <c r="B12" s="171" t="s">
        <v>751</v>
      </c>
      <c r="C12" s="169">
        <f>report!C775</f>
        <v>18</v>
      </c>
      <c r="D12" s="157">
        <f>report!C776</f>
        <v>22</v>
      </c>
      <c r="E12" s="158">
        <f>IFERROR(INDEX(report!$K$774:$K$788,MATCH("חופשה לחיוב",report!$I$774:$I$788,0)),0)</f>
        <v>0.5</v>
      </c>
      <c r="F12" s="173">
        <f>IFERROR(INDEX(report!$K$774:$K$788,MATCH("מחלה",report!$I$774:$I$788,0)),0)</f>
        <v>0</v>
      </c>
      <c r="G12" s="177">
        <f>IFERROR(INDEX(report!$K$774:$K$788,MATCH("מילואים",report!$I$774:$I$788,0)),0)</f>
        <v>0</v>
      </c>
      <c r="H12" s="175">
        <f>report!G772</f>
        <v>181.98</v>
      </c>
      <c r="I12" s="159">
        <f>report!J772</f>
        <v>144.46</v>
      </c>
      <c r="J12" s="159">
        <f>report!K772</f>
        <v>27.83</v>
      </c>
      <c r="K12" s="179">
        <f>report!L772</f>
        <v>9.68</v>
      </c>
      <c r="L12" s="183">
        <f>report!C784</f>
        <v>0</v>
      </c>
      <c r="M12" s="181">
        <f>IFERROR(INDEX(report!$K$774:$K$788,MATCH("מחלה לקיזוז",report!$I$774:$I$788,0)),0)</f>
        <v>0</v>
      </c>
      <c r="N12" s="185">
        <f>IFERROR(INDEX(report!$K$774:$K$788,MATCH("חל""ת",report!$I$774:$I$788,0)),0)</f>
        <v>0</v>
      </c>
      <c r="O12" s="189">
        <f>IFERROR(INDEX(report!$K$774:$K$788,MATCH("היעדרות",report!$I$774:$I$788,0)),0)</f>
        <v>0</v>
      </c>
      <c r="P12" s="187">
        <f>IFERROR(INDEX(report!$K$774:$K$788,MATCH("חג",report!$I$774:$I$788,0)),0)</f>
        <v>3</v>
      </c>
      <c r="Q12" s="160">
        <f>IFERROR(INDEX(report!$K$774:$K$788,MATCH("ערב חג",report!$I$774:$I$788,0)),0)</f>
        <v>1</v>
      </c>
      <c r="R12" s="160">
        <f>IFERROR(INDEX(report!$K$774:$K$788,MATCH("חול המועד",report!$I$774:$I$788,0)),0)</f>
        <v>2</v>
      </c>
      <c r="S12" s="191">
        <f>IFERROR(INDEX(report!$K$774:$K$788,MATCH("תאונת עבודה",report!$I$774:$I$788,0)),0)</f>
        <v>0</v>
      </c>
      <c r="T12" s="195">
        <f>IFERROR(INDEX(report!$K$774:$K$788,MATCH("חופש",report!$I$774:$I$788,0)),0)</f>
        <v>0</v>
      </c>
      <c r="U12" s="193">
        <f>22-M12-N12-O12</f>
        <v>22</v>
      </c>
      <c r="V12" s="165">
        <f>D12-U12</f>
        <v>0</v>
      </c>
    </row>
    <row r="13" spans="1:22" ht="21.95" customHeight="1" x14ac:dyDescent="0.25">
      <c r="A13" s="168">
        <v>66</v>
      </c>
      <c r="B13" s="172" t="s">
        <v>1366</v>
      </c>
      <c r="C13" s="170">
        <f>report!C1980</f>
        <v>17</v>
      </c>
      <c r="D13" s="161">
        <f>report!C1981</f>
        <v>22</v>
      </c>
      <c r="E13" s="162">
        <f>IFERROR(INDEX(report!$K$1979:$K$1993,MATCH("חופשה לחיוב",report!$I$1979:$I$1993,0)),0)</f>
        <v>2</v>
      </c>
      <c r="F13" s="174">
        <f>IFERROR(INDEX(report!$K$1979:$K$1993,MATCH("מחלה",report!$I$1979:$I$1993,0)),0)</f>
        <v>0</v>
      </c>
      <c r="G13" s="178">
        <f>IFERROR(INDEX(report!$K$1979:$K$1993,MATCH("מילואים",report!$I$1979:$I$1993,0)),0)</f>
        <v>0</v>
      </c>
      <c r="H13" s="176">
        <f>report!G1977</f>
        <v>140.53</v>
      </c>
      <c r="I13" s="163">
        <f>report!J1977</f>
        <v>129.6</v>
      </c>
      <c r="J13" s="163">
        <f>report!K1977</f>
        <v>10.93</v>
      </c>
      <c r="K13" s="180">
        <v>0</v>
      </c>
      <c r="L13" s="184">
        <f>report!C1989</f>
        <v>0</v>
      </c>
      <c r="M13" s="182">
        <f>IFERROR(INDEX(report!$K$1979:$K$1993,MATCH("מחלה לקיזוז",report!$I$1979:$I$1993,0)),0)</f>
        <v>0</v>
      </c>
      <c r="N13" s="186">
        <f>IFERROR(INDEX(report!$K$1979:$K$1993,MATCH("חל""ת",report!$I$1979:$I$1993,0)),0)</f>
        <v>0</v>
      </c>
      <c r="O13" s="190">
        <f>IFERROR(INDEX(report!$K$1979:$K$1993,MATCH("היעדרות",report!$I$1979:$I$1993,0)),0)</f>
        <v>0</v>
      </c>
      <c r="P13" s="188">
        <f>IFERROR(INDEX(report!$K$1979:$K$1993,MATCH("חג",report!$I$1979:$I$1993,0)),0)</f>
        <v>3</v>
      </c>
      <c r="Q13" s="164">
        <f>IFERROR(INDEX(report!$K$1979:$K$1993,MATCH("ערב חג",report!$I$1979:$I$1993,0)),0)</f>
        <v>0</v>
      </c>
      <c r="R13" s="164">
        <f>IFERROR(INDEX(report!$K$1979:$K$1993,MATCH("חול המועד",report!$I$1979:$I$1993,0)),0)</f>
        <v>2</v>
      </c>
      <c r="S13" s="192">
        <f>IFERROR(INDEX(report!$K$1979:$K$1993,MATCH("תאונת עבודה",report!$I$1979:$I$1993,0)),0)</f>
        <v>0</v>
      </c>
      <c r="T13" s="196">
        <f>IFERROR(INDEX(report!$K$1979:$K$1993,MATCH("חופש",report!$I$1979:$I$1993,0)),0)</f>
        <v>0</v>
      </c>
      <c r="U13" s="194">
        <f>22-M13-N13-O13</f>
        <v>22</v>
      </c>
      <c r="V13" s="166">
        <f>D13-U13</f>
        <v>0</v>
      </c>
    </row>
    <row r="14" spans="1:22" ht="21.95" customHeight="1" x14ac:dyDescent="0.25">
      <c r="A14" s="167">
        <v>75</v>
      </c>
      <c r="B14" s="171" t="s">
        <v>1285</v>
      </c>
      <c r="C14" s="169">
        <f>report!C1716</f>
        <v>11</v>
      </c>
      <c r="D14" s="157">
        <f>report!C1717</f>
        <v>22</v>
      </c>
      <c r="E14" s="158">
        <f>IFERROR(INDEX(report!$K$1715:$K$1729,MATCH("חופשה לחיוב",report!$I$1715:$I$1729,0)),0)</f>
        <v>0</v>
      </c>
      <c r="F14" s="173">
        <f>IFERROR(INDEX(report!$K$1715:$K$1729,MATCH("מחלה",report!$I$1715:$I$1729,0)),0)</f>
        <v>0</v>
      </c>
      <c r="G14" s="177">
        <f>IFERROR(INDEX(report!$K$1715:$K$1729,MATCH("מילואים",report!$I$1715:$I$1729,0)),0)</f>
        <v>30</v>
      </c>
      <c r="H14" s="175">
        <f>report!G1713</f>
        <v>97.2</v>
      </c>
      <c r="I14" s="159">
        <f>report!J1713</f>
        <v>92.4</v>
      </c>
      <c r="J14" s="159">
        <f>report!K1713</f>
        <v>4.8</v>
      </c>
      <c r="K14" s="179">
        <v>0</v>
      </c>
      <c r="L14" s="183">
        <f>report!C1725</f>
        <v>92.4</v>
      </c>
      <c r="M14" s="181">
        <f>IFERROR(INDEX(report!$K$1715:$K$1729,MATCH("מחלה לקיזוז",report!$I$1715:$I$1729,0)),0)</f>
        <v>0</v>
      </c>
      <c r="N14" s="185">
        <f>IFERROR(INDEX(report!$K$1715:$K$1729,MATCH("חל""ת",report!$I$1715:$I$1729,0)),0)</f>
        <v>0</v>
      </c>
      <c r="O14" s="189">
        <f>IFERROR(INDEX(report!$K$1715:$K$1729,MATCH("היעדרות",report!$I$1715:$I$1729,0)),0)</f>
        <v>0</v>
      </c>
      <c r="P14" s="187">
        <f>IFERROR(INDEX(report!$K$1715:$K$1729,MATCH("חג",report!$I$1715:$I$1729,0)),0)</f>
        <v>0</v>
      </c>
      <c r="Q14" s="160">
        <f>IFERROR(INDEX(report!$K$1715:$K$1729,MATCH("ערב חג",report!$I$1715:$I$1729,0)),0)</f>
        <v>0</v>
      </c>
      <c r="R14" s="160">
        <f>IFERROR(INDEX(report!$K$1715:$K$1729,MATCH("חול המועד",report!$I$1715:$I$1729,0)),0)</f>
        <v>0</v>
      </c>
      <c r="S14" s="191">
        <f>IFERROR(INDEX(report!$K$1715:$K$1729,MATCH("תאונת עבודה",report!$I$1715:$I$1729,0)),0)</f>
        <v>0</v>
      </c>
      <c r="T14" s="195">
        <f>IFERROR(INDEX(report!$K$1715:$K$1729,MATCH("חופש",report!$I$1715:$I$1729,0)),0)</f>
        <v>0</v>
      </c>
      <c r="U14" s="193">
        <f>22-M14-N14-O14</f>
        <v>22</v>
      </c>
      <c r="V14" s="165">
        <f>D14-U14</f>
        <v>0</v>
      </c>
    </row>
    <row r="15" spans="1:22" ht="21.95" customHeight="1" x14ac:dyDescent="0.25">
      <c r="A15" s="168">
        <v>76</v>
      </c>
      <c r="B15" s="172" t="s">
        <v>1403</v>
      </c>
      <c r="C15" s="170">
        <f>report!C2032</f>
        <v>8</v>
      </c>
      <c r="D15" s="161">
        <f>report!C2033</f>
        <v>22</v>
      </c>
      <c r="E15" s="162">
        <f>IFERROR(INDEX(report!$K$2031:$K$2045,MATCH("חופשה לחיוב",report!$I$2031:$I$2045,0)),0)</f>
        <v>0</v>
      </c>
      <c r="F15" s="174">
        <f>IFERROR(INDEX(report!$K$2031:$K$2045,MATCH("מחלה",report!$I$2031:$I$2045,0)),0)</f>
        <v>0</v>
      </c>
      <c r="G15" s="178">
        <f>IFERROR(INDEX(report!$K$2031:$K$2045,MATCH("מילואים",report!$I$2031:$I$2045,0)),0)</f>
        <v>23</v>
      </c>
      <c r="H15" s="176">
        <f>report!G2029</f>
        <v>78.48</v>
      </c>
      <c r="I15" s="163">
        <f>report!J2029</f>
        <v>64.58</v>
      </c>
      <c r="J15" s="163">
        <f>report!K2029</f>
        <v>12.41</v>
      </c>
      <c r="K15" s="180">
        <f>report!L2029</f>
        <v>1.48</v>
      </c>
      <c r="L15" s="184">
        <f>report!C2041</f>
        <v>33.599999999999994</v>
      </c>
      <c r="M15" s="182">
        <f>IFERROR(INDEX(report!$K$2031:$K$2045,MATCH("מחלה לקיזוז",report!$I$2031:$I$2045,0)),0)</f>
        <v>0</v>
      </c>
      <c r="N15" s="186">
        <f>IFERROR(INDEX(report!$K$2031:$K$2045,MATCH("חל""ת",report!$I$2031:$I$2045,0)),0)</f>
        <v>0</v>
      </c>
      <c r="O15" s="190">
        <f>IFERROR(INDEX(report!$K$2031:$K$2045,MATCH("היעדרות",report!$I$2031:$I$2045,0)),0)</f>
        <v>0</v>
      </c>
      <c r="P15" s="188">
        <f>IFERROR(INDEX(report!$K$2031:$K$2045,MATCH("חג",report!$I$2031:$I$2045,0)),0)</f>
        <v>3</v>
      </c>
      <c r="Q15" s="164">
        <f>IFERROR(INDEX(report!$K$2031:$K$2045,MATCH("ערב חג",report!$I$2031:$I$2045,0)),0)</f>
        <v>0</v>
      </c>
      <c r="R15" s="164">
        <f>IFERROR(INDEX(report!$K$2031:$K$2045,MATCH("חול המועד",report!$I$2031:$I$2045,0)),0)</f>
        <v>0</v>
      </c>
      <c r="S15" s="192">
        <f>IFERROR(INDEX(report!$K$2031:$K$2045,MATCH("תאונת עבודה",report!$I$2031:$I$2045,0)),0)</f>
        <v>0</v>
      </c>
      <c r="T15" s="196">
        <f>IFERROR(INDEX(report!$K$2031:$K$2045,MATCH("חופש",report!$I$2031:$I$2045,0)),0)</f>
        <v>0</v>
      </c>
      <c r="U15" s="194">
        <f>22-M15-N15-O15</f>
        <v>22</v>
      </c>
      <c r="V15" s="166">
        <f>D15-U15</f>
        <v>0</v>
      </c>
    </row>
    <row r="16" spans="1:22" ht="21.95" customHeight="1" x14ac:dyDescent="0.25">
      <c r="A16" s="167">
        <v>78</v>
      </c>
      <c r="B16" s="171" t="s">
        <v>943</v>
      </c>
      <c r="C16" s="169">
        <f>report!C1090</f>
        <v>16</v>
      </c>
      <c r="D16" s="157">
        <f>report!C1091</f>
        <v>22</v>
      </c>
      <c r="E16" s="158">
        <f>IFERROR(INDEX(report!$K$1089:$K$1103,MATCH("חופשה לחיוב",report!$I$1089:$I$1103,0)),0)</f>
        <v>2</v>
      </c>
      <c r="F16" s="173">
        <f>IFERROR(INDEX(report!$K$1089:$K$1103,MATCH("מחלה",report!$I$1089:$I$1103,0)),0)</f>
        <v>0</v>
      </c>
      <c r="G16" s="177">
        <f>IFERROR(INDEX(report!$K$1089:$K$1103,MATCH("מילואים",report!$I$1089:$I$1103,0)),0)</f>
        <v>0</v>
      </c>
      <c r="H16" s="175">
        <f>report!G1087</f>
        <v>151.86000000000001</v>
      </c>
      <c r="I16" s="159">
        <f>report!J1087</f>
        <v>133.4</v>
      </c>
      <c r="J16" s="159">
        <f>report!K1087</f>
        <v>17.149999999999999</v>
      </c>
      <c r="K16" s="179">
        <f>report!L1087</f>
        <v>1.31</v>
      </c>
      <c r="L16" s="183">
        <f>report!C1099</f>
        <v>0</v>
      </c>
      <c r="M16" s="181">
        <f>IFERROR(INDEX(report!$K$1089:$K$1103,MATCH("מחלה לקיזוז",report!$I$1089:$I$1103,0)),0)</f>
        <v>0</v>
      </c>
      <c r="N16" s="185">
        <f>IFERROR(INDEX(report!$K$1089:$K$1103,MATCH("חל""ת",report!$I$1089:$I$1103,0)),0)</f>
        <v>0</v>
      </c>
      <c r="O16" s="189">
        <f>IFERROR(INDEX(report!$K$1089:$K$1103,MATCH("היעדרות",report!$I$1089:$I$1103,0)),0)</f>
        <v>0</v>
      </c>
      <c r="P16" s="187">
        <f>IFERROR(INDEX(report!$K$1089:$K$1103,MATCH("חג",report!$I$1089:$I$1103,0)),0)</f>
        <v>3</v>
      </c>
      <c r="Q16" s="160">
        <f>IFERROR(INDEX(report!$K$1089:$K$1103,MATCH("ערב חג",report!$I$1089:$I$1103,0)),0)</f>
        <v>2</v>
      </c>
      <c r="R16" s="160">
        <f>IFERROR(INDEX(report!$K$1089:$K$1103,MATCH("חול המועד",report!$I$1089:$I$1103,0)),0)</f>
        <v>2</v>
      </c>
      <c r="S16" s="191">
        <f>IFERROR(INDEX(report!$K$1089:$K$1103,MATCH("תאונת עבודה",report!$I$1089:$I$1103,0)),0)</f>
        <v>0</v>
      </c>
      <c r="T16" s="195">
        <f>IFERROR(INDEX(report!$K$1089:$K$1103,MATCH("חופש",report!$I$1089:$I$1103,0)),0)</f>
        <v>1</v>
      </c>
      <c r="U16" s="193">
        <f>22-M16-N16-O16</f>
        <v>22</v>
      </c>
      <c r="V16" s="165">
        <f>D16-U16</f>
        <v>0</v>
      </c>
    </row>
    <row r="17" spans="1:22" ht="21.95" customHeight="1" x14ac:dyDescent="0.25">
      <c r="A17" s="168">
        <v>86</v>
      </c>
      <c r="B17" s="172" t="s">
        <v>1197</v>
      </c>
      <c r="C17" s="170">
        <f>report!C1508</f>
        <v>14</v>
      </c>
      <c r="D17" s="161">
        <f>report!C1509</f>
        <v>22</v>
      </c>
      <c r="E17" s="162">
        <f>IFERROR(INDEX(report!$K$1507:$K$1521,MATCH("חופשה לחיוב",report!$I$1507:$I$1521,0)),0)</f>
        <v>0</v>
      </c>
      <c r="F17" s="174">
        <f>IFERROR(INDEX(report!$K$1507:$K$1521,MATCH("מחלה",report!$I$1507:$I$1521,0)),0)</f>
        <v>0</v>
      </c>
      <c r="G17" s="178">
        <f>IFERROR(INDEX(report!$K$1507:$K$1521,MATCH("מילואים",report!$I$1507:$I$1521,0)),0)</f>
        <v>23</v>
      </c>
      <c r="H17" s="176">
        <f>report!G1505</f>
        <v>128.4</v>
      </c>
      <c r="I17" s="163">
        <f>report!J1505</f>
        <v>112.11</v>
      </c>
      <c r="J17" s="163">
        <f>report!K1505</f>
        <v>15.51</v>
      </c>
      <c r="K17" s="180">
        <f>report!L1505</f>
        <v>0.76</v>
      </c>
      <c r="L17" s="184">
        <f>report!C1517</f>
        <v>78.51666666666668</v>
      </c>
      <c r="M17" s="182">
        <f>IFERROR(INDEX(report!$K$1507:$K$1521,MATCH("מחלה לקיזוז",report!$I$1507:$I$1521,0)),0)</f>
        <v>0</v>
      </c>
      <c r="N17" s="186">
        <f>IFERROR(INDEX(report!$K$1507:$K$1521,MATCH("חל""ת",report!$I$1507:$I$1521,0)),0)</f>
        <v>0</v>
      </c>
      <c r="O17" s="190">
        <f>IFERROR(INDEX(report!$K$1507:$K$1521,MATCH("היעדרות",report!$I$1507:$I$1521,0)),0)</f>
        <v>0</v>
      </c>
      <c r="P17" s="188">
        <f>IFERROR(INDEX(report!$K$1507:$K$1521,MATCH("חג",report!$I$1507:$I$1521,0)),0)</f>
        <v>3</v>
      </c>
      <c r="Q17" s="164">
        <f>IFERROR(INDEX(report!$K$1507:$K$1521,MATCH("ערב חג",report!$I$1507:$I$1521,0)),0)</f>
        <v>0</v>
      </c>
      <c r="R17" s="164">
        <f>IFERROR(INDEX(report!$K$1507:$K$1521,MATCH("חול המועד",report!$I$1507:$I$1521,0)),0)</f>
        <v>0</v>
      </c>
      <c r="S17" s="192">
        <f>IFERROR(INDEX(report!$K$1507:$K$1521,MATCH("תאונת עבודה",report!$I$1507:$I$1521,0)),0)</f>
        <v>0</v>
      </c>
      <c r="T17" s="196">
        <f>IFERROR(INDEX(report!$K$1507:$K$1521,MATCH("חופש",report!$I$1507:$I$1521,0)),0)</f>
        <v>0</v>
      </c>
      <c r="U17" s="194">
        <f>22-M17-N17-O17</f>
        <v>22</v>
      </c>
      <c r="V17" s="166">
        <f>D17-U17</f>
        <v>0</v>
      </c>
    </row>
    <row r="18" spans="1:22" ht="21.95" customHeight="1" x14ac:dyDescent="0.25">
      <c r="A18" s="167">
        <v>87</v>
      </c>
      <c r="B18" s="171" t="s">
        <v>1226</v>
      </c>
      <c r="C18" s="169">
        <f>report!C1560</f>
        <v>6</v>
      </c>
      <c r="D18" s="157">
        <f>report!C1561</f>
        <v>7</v>
      </c>
      <c r="E18" s="158">
        <f>IFERROR(INDEX(report!$K$1559:$K$1573,MATCH("חופשה לחיוב",report!$I$1559:$I$1573,0)),0)</f>
        <v>0</v>
      </c>
      <c r="F18" s="173">
        <f>IFERROR(INDEX(report!$K$1559:$K$1573,MATCH("מחלה",report!$I$1559:$I$1573,0)),0)</f>
        <v>0</v>
      </c>
      <c r="G18" s="177">
        <f>IFERROR(INDEX(report!$K$1559:$K$1573,MATCH("מילואים",report!$I$1559:$I$1573,0)),0)</f>
        <v>0</v>
      </c>
      <c r="H18" s="175">
        <f>report!G1557</f>
        <v>38.950000000000003</v>
      </c>
      <c r="I18" s="159">
        <f>report!J1557</f>
        <v>38.950000000000003</v>
      </c>
      <c r="J18" s="159">
        <v>0</v>
      </c>
      <c r="K18" s="179">
        <v>0</v>
      </c>
      <c r="L18" s="183">
        <f>report!C1569</f>
        <v>0</v>
      </c>
      <c r="M18" s="181">
        <f>IFERROR(INDEX(report!$K$1559:$K$1573,MATCH("מחלה לקיזוז",report!$I$1559:$I$1573,0)),0)</f>
        <v>0</v>
      </c>
      <c r="N18" s="185">
        <f>IFERROR(INDEX(report!$K$1559:$K$1573,MATCH("חל""ת",report!$I$1559:$I$1573,0)),0)</f>
        <v>15</v>
      </c>
      <c r="O18" s="189">
        <f>IFERROR(INDEX(report!$K$1559:$K$1573,MATCH("היעדרות",report!$I$1559:$I$1573,0)),0)</f>
        <v>0</v>
      </c>
      <c r="P18" s="187">
        <f>IFERROR(INDEX(report!$K$1559:$K$1573,MATCH("חג",report!$I$1559:$I$1573,0)),0)</f>
        <v>1</v>
      </c>
      <c r="Q18" s="160">
        <f>IFERROR(INDEX(report!$K$1559:$K$1573,MATCH("ערב חג",report!$I$1559:$I$1573,0)),0)</f>
        <v>0</v>
      </c>
      <c r="R18" s="160">
        <f>IFERROR(INDEX(report!$K$1559:$K$1573,MATCH("חול המועד",report!$I$1559:$I$1573,0)),0)</f>
        <v>0</v>
      </c>
      <c r="S18" s="191">
        <f>IFERROR(INDEX(report!$K$1559:$K$1573,MATCH("תאונת עבודה",report!$I$1559:$I$1573,0)),0)</f>
        <v>0</v>
      </c>
      <c r="T18" s="195">
        <f>IFERROR(INDEX(report!$K$1559:$K$1573,MATCH("חופש",report!$I$1559:$I$1573,0)),0)</f>
        <v>0</v>
      </c>
      <c r="U18" s="193">
        <f>22-M18-N18-O18</f>
        <v>7</v>
      </c>
      <c r="V18" s="165">
        <f>D18-U18</f>
        <v>0</v>
      </c>
    </row>
    <row r="19" spans="1:22" ht="21.95" customHeight="1" x14ac:dyDescent="0.25">
      <c r="A19" s="168">
        <v>92</v>
      </c>
      <c r="B19" s="172" t="s">
        <v>1146</v>
      </c>
      <c r="C19" s="170">
        <f>report!C1403</f>
        <v>14</v>
      </c>
      <c r="D19" s="161">
        <f>report!C1404</f>
        <v>22</v>
      </c>
      <c r="E19" s="162">
        <f>IFERROR(INDEX(report!$K$1402:$K$1416,MATCH("חופשה לחיוב",report!$I$1402:$I$1416,0)),0)</f>
        <v>1</v>
      </c>
      <c r="F19" s="174">
        <f>IFERROR(INDEX(report!$K$1402:$K$1416,MATCH("מחלה",report!$I$1402:$I$1416,0)),0)</f>
        <v>0</v>
      </c>
      <c r="G19" s="178">
        <f>IFERROR(INDEX(report!$K$1402:$K$1416,MATCH("מילואים",report!$I$1402:$I$1416,0)),0)</f>
        <v>3</v>
      </c>
      <c r="H19" s="176">
        <f>report!G1400</f>
        <v>118</v>
      </c>
      <c r="I19" s="163">
        <f>report!J1400</f>
        <v>112.95</v>
      </c>
      <c r="J19" s="163">
        <f>report!K1400</f>
        <v>5.05</v>
      </c>
      <c r="K19" s="180">
        <v>0</v>
      </c>
      <c r="L19" s="184">
        <f>report!C1412</f>
        <v>0</v>
      </c>
      <c r="M19" s="182">
        <f>IFERROR(INDEX(report!$K$1402:$K$1416,MATCH("מחלה לקיזוז",report!$I$1402:$I$1416,0)),0)</f>
        <v>0</v>
      </c>
      <c r="N19" s="186">
        <f>IFERROR(INDEX(report!$K$1402:$K$1416,MATCH("חל""ת",report!$I$1402:$I$1416,0)),0)</f>
        <v>0</v>
      </c>
      <c r="O19" s="190">
        <f>IFERROR(INDEX(report!$K$1402:$K$1416,MATCH("היעדרות",report!$I$1402:$I$1416,0)),0)</f>
        <v>0</v>
      </c>
      <c r="P19" s="188">
        <f>IFERROR(INDEX(report!$K$1402:$K$1416,MATCH("חג",report!$I$1402:$I$1416,0)),0)</f>
        <v>3</v>
      </c>
      <c r="Q19" s="164">
        <f>IFERROR(INDEX(report!$K$1402:$K$1416,MATCH("ערב חג",report!$I$1402:$I$1416,0)),0)</f>
        <v>2</v>
      </c>
      <c r="R19" s="164">
        <f>IFERROR(INDEX(report!$K$1402:$K$1416,MATCH("חול המועד",report!$I$1402:$I$1416,0)),0)</f>
        <v>0</v>
      </c>
      <c r="S19" s="192">
        <f>IFERROR(INDEX(report!$K$1402:$K$1416,MATCH("תאונת עבודה",report!$I$1402:$I$1416,0)),0)</f>
        <v>0</v>
      </c>
      <c r="T19" s="196">
        <f>IFERROR(INDEX(report!$K$1402:$K$1416,MATCH("חופש",report!$I$1402:$I$1416,0)),0)</f>
        <v>0</v>
      </c>
      <c r="U19" s="194">
        <f>22-M19-N19-O19</f>
        <v>22</v>
      </c>
      <c r="V19" s="166">
        <f>D19-U19</f>
        <v>0</v>
      </c>
    </row>
    <row r="20" spans="1:22" ht="21.95" customHeight="1" x14ac:dyDescent="0.25">
      <c r="A20" s="167">
        <v>93</v>
      </c>
      <c r="B20" s="171" t="s">
        <v>1120</v>
      </c>
      <c r="C20" s="169">
        <f>report!C1351</f>
        <v>17</v>
      </c>
      <c r="D20" s="157">
        <f>report!C1352</f>
        <v>22</v>
      </c>
      <c r="E20" s="158">
        <f>IFERROR(INDEX(report!$K$1350:$K$1364,MATCH("חופשה לחיוב",report!$I$1350:$I$1364,0)),0)</f>
        <v>0</v>
      </c>
      <c r="F20" s="173">
        <f>IFERROR(INDEX(report!$K$1350:$K$1364,MATCH("מחלה",report!$I$1350:$I$1364,0)),0)</f>
        <v>0</v>
      </c>
      <c r="G20" s="177">
        <f>IFERROR(INDEX(report!$K$1350:$K$1364,MATCH("מילואים",report!$I$1350:$I$1364,0)),0)</f>
        <v>14</v>
      </c>
      <c r="H20" s="175">
        <f>report!G1348</f>
        <v>147.38</v>
      </c>
      <c r="I20" s="159">
        <f>report!J1348</f>
        <v>136.47999999999999</v>
      </c>
      <c r="J20" s="159">
        <f>report!K1348</f>
        <v>10.63</v>
      </c>
      <c r="K20" s="179">
        <f>report!L1348</f>
        <v>0.26</v>
      </c>
      <c r="L20" s="183">
        <f>report!C1360</f>
        <v>46.650000000000006</v>
      </c>
      <c r="M20" s="181">
        <f>IFERROR(INDEX(report!$K$1350:$K$1364,MATCH("מחלה לקיזוז",report!$I$1350:$I$1364,0)),0)</f>
        <v>0</v>
      </c>
      <c r="N20" s="185">
        <f>IFERROR(INDEX(report!$K$1350:$K$1364,MATCH("חל""ת",report!$I$1350:$I$1364,0)),0)</f>
        <v>0</v>
      </c>
      <c r="O20" s="189">
        <f>IFERROR(INDEX(report!$K$1350:$K$1364,MATCH("היעדרות",report!$I$1350:$I$1364,0)),0)</f>
        <v>0</v>
      </c>
      <c r="P20" s="187">
        <f>IFERROR(INDEX(report!$K$1350:$K$1364,MATCH("חג",report!$I$1350:$I$1364,0)),0)</f>
        <v>3</v>
      </c>
      <c r="Q20" s="160">
        <f>IFERROR(INDEX(report!$K$1350:$K$1364,MATCH("ערב חג",report!$I$1350:$I$1364,0)),0)</f>
        <v>0</v>
      </c>
      <c r="R20" s="160">
        <f>IFERROR(INDEX(report!$K$1350:$K$1364,MATCH("חול המועד",report!$I$1350:$I$1364,0)),0)</f>
        <v>0</v>
      </c>
      <c r="S20" s="191">
        <f>IFERROR(INDEX(report!$K$1350:$K$1364,MATCH("תאונת עבודה",report!$I$1350:$I$1364,0)),0)</f>
        <v>0</v>
      </c>
      <c r="T20" s="195">
        <f>IFERROR(INDEX(report!$K$1350:$K$1364,MATCH("חופש",report!$I$1350:$I$1364,0)),0)</f>
        <v>0</v>
      </c>
      <c r="U20" s="193">
        <f>22-M20-N20-O20</f>
        <v>22</v>
      </c>
      <c r="V20" s="165">
        <f>D20-U20</f>
        <v>0</v>
      </c>
    </row>
    <row r="21" spans="1:22" ht="21.95" customHeight="1" x14ac:dyDescent="0.25">
      <c r="A21" s="168">
        <v>94</v>
      </c>
      <c r="B21" s="172" t="s">
        <v>1318</v>
      </c>
      <c r="C21" s="170">
        <f>report!C1820</f>
        <v>19</v>
      </c>
      <c r="D21" s="161">
        <f>report!C1821</f>
        <v>22</v>
      </c>
      <c r="E21" s="162">
        <f>IFERROR(INDEX(report!$K$1819:$K$1833,MATCH("חופשה לחיוב",report!$I$1819:$I$1833,0)),0)</f>
        <v>0</v>
      </c>
      <c r="F21" s="174">
        <f>IFERROR(INDEX(report!$K$1819:$K$1833,MATCH("מחלה",report!$I$1819:$I$1833,0)),0)</f>
        <v>0</v>
      </c>
      <c r="G21" s="178">
        <f>IFERROR(INDEX(report!$K$1819:$K$1833,MATCH("מילואים",report!$I$1819:$I$1833,0)),0)</f>
        <v>0</v>
      </c>
      <c r="H21" s="176">
        <f>report!G1817</f>
        <v>151.96</v>
      </c>
      <c r="I21" s="163">
        <f>report!J1817</f>
        <v>150.9</v>
      </c>
      <c r="J21" s="163">
        <f>report!K1817</f>
        <v>1.06</v>
      </c>
      <c r="K21" s="180">
        <v>0</v>
      </c>
      <c r="L21" s="184">
        <f>report!C1829</f>
        <v>0</v>
      </c>
      <c r="M21" s="182">
        <f>IFERROR(INDEX(report!$K$1819:$K$1833,MATCH("מחלה לקיזוז",report!$I$1819:$I$1833,0)),0)</f>
        <v>0</v>
      </c>
      <c r="N21" s="186">
        <f>IFERROR(INDEX(report!$K$1819:$K$1833,MATCH("חל""ת",report!$I$1819:$I$1833,0)),0)</f>
        <v>0</v>
      </c>
      <c r="O21" s="190">
        <f>IFERROR(INDEX(report!$K$1819:$K$1833,MATCH("היעדרות",report!$I$1819:$I$1833,0)),0)</f>
        <v>0</v>
      </c>
      <c r="P21" s="188">
        <f>IFERROR(INDEX(report!$K$1819:$K$1833,MATCH("חג",report!$I$1819:$I$1833,0)),0)</f>
        <v>3</v>
      </c>
      <c r="Q21" s="164">
        <f>IFERROR(INDEX(report!$K$1819:$K$1833,MATCH("ערב חג",report!$I$1819:$I$1833,0)),0)</f>
        <v>0</v>
      </c>
      <c r="R21" s="164">
        <f>IFERROR(INDEX(report!$K$1819:$K$1833,MATCH("חול המועד",report!$I$1819:$I$1833,0)),0)</f>
        <v>2</v>
      </c>
      <c r="S21" s="192">
        <f>IFERROR(INDEX(report!$K$1819:$K$1833,MATCH("תאונת עבודה",report!$I$1819:$I$1833,0)),0)</f>
        <v>0</v>
      </c>
      <c r="T21" s="196">
        <f>IFERROR(INDEX(report!$K$1819:$K$1833,MATCH("חופש",report!$I$1819:$I$1833,0)),0)</f>
        <v>0</v>
      </c>
      <c r="U21" s="194">
        <f>22-M21-N21-O21</f>
        <v>22</v>
      </c>
      <c r="V21" s="166">
        <f>D21-U21</f>
        <v>0</v>
      </c>
    </row>
    <row r="22" spans="1:22" ht="21.95" customHeight="1" x14ac:dyDescent="0.25">
      <c r="A22" s="167">
        <v>95</v>
      </c>
      <c r="B22" s="171" t="s">
        <v>377</v>
      </c>
      <c r="C22" s="169">
        <f>report!C253</f>
        <v>0</v>
      </c>
      <c r="D22" s="157">
        <f>report!C254</f>
        <v>22</v>
      </c>
      <c r="E22" s="158">
        <f>IFERROR(INDEX(report!$K$252:$K$266,MATCH("חופשה לחיוב",report!$I$252:$I$266,0)),0)</f>
        <v>0</v>
      </c>
      <c r="F22" s="173">
        <f>IFERROR(INDEX(report!$K$252:$K$266,MATCH("מחלה",report!$I$252:$I$266,0)),0)</f>
        <v>0</v>
      </c>
      <c r="G22" s="177">
        <f>IFERROR(INDEX(report!$K$252:$K$266,MATCH("מילואים",report!$I$252:$I$266,0)),0)</f>
        <v>0</v>
      </c>
      <c r="H22" s="175">
        <f>report!G250</f>
        <v>0</v>
      </c>
      <c r="I22" s="159">
        <v>0</v>
      </c>
      <c r="J22" s="159">
        <v>0</v>
      </c>
      <c r="K22" s="179">
        <v>0</v>
      </c>
      <c r="L22" s="183">
        <f>report!C262</f>
        <v>0</v>
      </c>
      <c r="M22" s="181">
        <f>IFERROR(INDEX(report!$K$252:$K$266,MATCH("מחלה לקיזוז",report!$I$252:$I$266,0)),0)</f>
        <v>0</v>
      </c>
      <c r="N22" s="185">
        <f>IFERROR(INDEX(report!$K$252:$K$266,MATCH("חל""ת",report!$I$252:$I$266,0)),0)</f>
        <v>0</v>
      </c>
      <c r="O22" s="189">
        <f>IFERROR(INDEX(report!$K$252:$K$266,MATCH("היעדרות",report!$I$252:$I$266,0)),0)</f>
        <v>0</v>
      </c>
      <c r="P22" s="187">
        <f>IFERROR(INDEX(report!$K$252:$K$266,MATCH("חג",report!$I$252:$I$266,0)),0)</f>
        <v>0</v>
      </c>
      <c r="Q22" s="160">
        <f>IFERROR(INDEX(report!$K$252:$K$266,MATCH("ערב חג",report!$I$252:$I$266,0)),0)</f>
        <v>0</v>
      </c>
      <c r="R22" s="160">
        <f>IFERROR(INDEX(report!$K$252:$K$266,MATCH("חול המועד",report!$I$252:$I$266,0)),0)</f>
        <v>0</v>
      </c>
      <c r="S22" s="191">
        <f>IFERROR(INDEX(report!$K$252:$K$266,MATCH("תאונת עבודה",report!$I$252:$I$266,0)),0)</f>
        <v>22</v>
      </c>
      <c r="T22" s="195">
        <f>IFERROR(INDEX(report!$K$252:$K$266,MATCH("חופש",report!$I$252:$I$266,0)),0)</f>
        <v>0</v>
      </c>
      <c r="U22" s="193">
        <f>22-M22-N22-O22</f>
        <v>22</v>
      </c>
      <c r="V22" s="165">
        <f>D22-U22</f>
        <v>0</v>
      </c>
    </row>
    <row r="23" spans="1:22" ht="21.95" customHeight="1" x14ac:dyDescent="0.25">
      <c r="A23" s="168">
        <v>96</v>
      </c>
      <c r="B23" s="172" t="s">
        <v>529</v>
      </c>
      <c r="C23" s="170">
        <f>report!C462</f>
        <v>0</v>
      </c>
      <c r="D23" s="161">
        <f>report!C463</f>
        <v>22</v>
      </c>
      <c r="E23" s="162">
        <f>IFERROR(INDEX(report!$K$461:$K$475,MATCH("חופשה לחיוב",report!$I$461:$I$475,0)),0)</f>
        <v>2.5</v>
      </c>
      <c r="F23" s="174">
        <f>IFERROR(INDEX(report!$K$461:$K$475,MATCH("מחלה",report!$I$461:$I$475,0)),0)</f>
        <v>0</v>
      </c>
      <c r="G23" s="178">
        <f>IFERROR(INDEX(report!$K$461:$K$475,MATCH("מילואים",report!$I$461:$I$475,0)),0)</f>
        <v>28</v>
      </c>
      <c r="H23" s="176">
        <f>report!G459</f>
        <v>0</v>
      </c>
      <c r="I23" s="163">
        <v>0</v>
      </c>
      <c r="J23" s="163">
        <v>0</v>
      </c>
      <c r="K23" s="180">
        <v>0</v>
      </c>
      <c r="L23" s="184">
        <f>report!C471</f>
        <v>0</v>
      </c>
      <c r="M23" s="182">
        <f>IFERROR(INDEX(report!$K$461:$K$475,MATCH("מחלה לקיזוז",report!$I$461:$I$475,0)),0)</f>
        <v>0</v>
      </c>
      <c r="N23" s="186">
        <f>IFERROR(INDEX(report!$K$461:$K$475,MATCH("חל""ת",report!$I$461:$I$475,0)),0)</f>
        <v>0</v>
      </c>
      <c r="O23" s="190">
        <f>IFERROR(INDEX(report!$K$461:$K$475,MATCH("היעדרות",report!$I$461:$I$475,0)),0)</f>
        <v>0</v>
      </c>
      <c r="P23" s="188">
        <f>IFERROR(INDEX(report!$K$461:$K$475,MATCH("חג",report!$I$461:$I$475,0)),0)</f>
        <v>0</v>
      </c>
      <c r="Q23" s="164">
        <f>IFERROR(INDEX(report!$K$461:$K$475,MATCH("ערב חג",report!$I$461:$I$475,0)),0)</f>
        <v>0</v>
      </c>
      <c r="R23" s="164">
        <f>IFERROR(INDEX(report!$K$461:$K$475,MATCH("חול המועד",report!$I$461:$I$475,0)),0)</f>
        <v>0</v>
      </c>
      <c r="S23" s="192">
        <f>IFERROR(INDEX(report!$K$461:$K$475,MATCH("תאונת עבודה",report!$I$461:$I$475,0)),0)</f>
        <v>0</v>
      </c>
      <c r="T23" s="196">
        <f>IFERROR(INDEX(report!$K$461:$K$475,MATCH("חופש",report!$I$461:$I$475,0)),0)</f>
        <v>2</v>
      </c>
      <c r="U23" s="194">
        <f>22-M23-N23-O23</f>
        <v>22</v>
      </c>
      <c r="V23" s="166">
        <f>D23-U23</f>
        <v>0</v>
      </c>
    </row>
    <row r="24" spans="1:22" ht="21.95" customHeight="1" x14ac:dyDescent="0.25">
      <c r="A24" s="167">
        <v>97</v>
      </c>
      <c r="B24" s="171" t="s">
        <v>1419</v>
      </c>
      <c r="C24" s="169">
        <f>report!C2084</f>
        <v>16</v>
      </c>
      <c r="D24" s="157">
        <f>report!C2085</f>
        <v>22</v>
      </c>
      <c r="E24" s="158">
        <f>IFERROR(INDEX(report!$K$2083:$K$2097,MATCH("חופשה לחיוב",report!$I$2083:$I$2097,0)),0)</f>
        <v>1</v>
      </c>
      <c r="F24" s="173">
        <f>IFERROR(INDEX(report!$K$2083:$K$2097,MATCH("מחלה",report!$I$2083:$I$2097,0)),0)</f>
        <v>0</v>
      </c>
      <c r="G24" s="177">
        <f>IFERROR(INDEX(report!$K$2083:$K$2097,MATCH("מילואים",report!$I$2083:$I$2097,0)),0)</f>
        <v>6</v>
      </c>
      <c r="H24" s="175">
        <f>report!G2081</f>
        <v>137.43</v>
      </c>
      <c r="I24" s="159">
        <f>report!J2081</f>
        <v>127.76</v>
      </c>
      <c r="J24" s="159">
        <f>report!K2081</f>
        <v>9.06</v>
      </c>
      <c r="K24" s="179">
        <f>report!L2081</f>
        <v>0.6</v>
      </c>
      <c r="L24" s="183">
        <f>report!C2093</f>
        <v>0</v>
      </c>
      <c r="M24" s="181">
        <f>IFERROR(INDEX(report!$K$2083:$K$2097,MATCH("מחלה לקיזוז",report!$I$2083:$I$2097,0)),0)</f>
        <v>0</v>
      </c>
      <c r="N24" s="185">
        <f>IFERROR(INDEX(report!$K$2083:$K$2097,MATCH("חל""ת",report!$I$2083:$I$2097,0)),0)</f>
        <v>0</v>
      </c>
      <c r="O24" s="189">
        <f>IFERROR(INDEX(report!$K$2083:$K$2097,MATCH("היעדרות",report!$I$2083:$I$2097,0)),0)</f>
        <v>0</v>
      </c>
      <c r="P24" s="187">
        <f>IFERROR(INDEX(report!$K$2083:$K$2097,MATCH("חג",report!$I$2083:$I$2097,0)),0)</f>
        <v>3</v>
      </c>
      <c r="Q24" s="160">
        <f>IFERROR(INDEX(report!$K$2083:$K$2097,MATCH("ערב חג",report!$I$2083:$I$2097,0)),0)</f>
        <v>0</v>
      </c>
      <c r="R24" s="160">
        <f>IFERROR(INDEX(report!$K$2083:$K$2097,MATCH("חול המועד",report!$I$2083:$I$2097,0)),0)</f>
        <v>0</v>
      </c>
      <c r="S24" s="191">
        <f>IFERROR(INDEX(report!$K$2083:$K$2097,MATCH("תאונת עבודה",report!$I$2083:$I$2097,0)),0)</f>
        <v>0</v>
      </c>
      <c r="T24" s="195">
        <f>IFERROR(INDEX(report!$K$2083:$K$2097,MATCH("חופש",report!$I$2083:$I$2097,0)),0)</f>
        <v>1</v>
      </c>
      <c r="U24" s="193">
        <f>22-M24-N24-O24</f>
        <v>22</v>
      </c>
      <c r="V24" s="165">
        <f>D24-U24</f>
        <v>0</v>
      </c>
    </row>
    <row r="25" spans="1:22" ht="21.95" customHeight="1" x14ac:dyDescent="0.25">
      <c r="A25" s="168">
        <v>100</v>
      </c>
      <c r="B25" s="172" t="s">
        <v>872</v>
      </c>
      <c r="C25" s="170">
        <f>report!C985</f>
        <v>15</v>
      </c>
      <c r="D25" s="161">
        <f>report!C986</f>
        <v>22</v>
      </c>
      <c r="E25" s="162">
        <f>IFERROR(INDEX(report!$K$984:$K$998,MATCH("חופשה לחיוב",report!$I$984:$I$998,0)),0)</f>
        <v>3</v>
      </c>
      <c r="F25" s="174">
        <f>IFERROR(INDEX(report!$K$984:$K$998,MATCH("מחלה",report!$I$984:$I$998,0)),0)</f>
        <v>0</v>
      </c>
      <c r="G25" s="178">
        <f>IFERROR(INDEX(report!$K$984:$K$998,MATCH("מילואים",report!$I$984:$I$998,0)),0)</f>
        <v>0</v>
      </c>
      <c r="H25" s="176">
        <f>report!G982</f>
        <v>120.03</v>
      </c>
      <c r="I25" s="163">
        <f>report!J982</f>
        <v>119.03</v>
      </c>
      <c r="J25" s="163">
        <f>report!K982</f>
        <v>1</v>
      </c>
      <c r="K25" s="180">
        <v>0</v>
      </c>
      <c r="L25" s="184">
        <f>report!C994</f>
        <v>0</v>
      </c>
      <c r="M25" s="182">
        <f>IFERROR(INDEX(report!$K$984:$K$998,MATCH("מחלה לקיזוז",report!$I$984:$I$998,0)),0)</f>
        <v>0</v>
      </c>
      <c r="N25" s="186">
        <f>IFERROR(INDEX(report!$K$984:$K$998,MATCH("חל""ת",report!$I$984:$I$998,0)),0)</f>
        <v>0</v>
      </c>
      <c r="O25" s="190">
        <f>IFERROR(INDEX(report!$K$984:$K$998,MATCH("היעדרות",report!$I$984:$I$998,0)),0)</f>
        <v>0</v>
      </c>
      <c r="P25" s="188">
        <f>IFERROR(INDEX(report!$K$984:$K$998,MATCH("חג",report!$I$984:$I$998,0)),0)</f>
        <v>3</v>
      </c>
      <c r="Q25" s="164">
        <f>IFERROR(INDEX(report!$K$984:$K$998,MATCH("ערב חג",report!$I$984:$I$998,0)),0)</f>
        <v>2</v>
      </c>
      <c r="R25" s="164">
        <f>IFERROR(INDEX(report!$K$984:$K$998,MATCH("חול המועד",report!$I$984:$I$998,0)),0)</f>
        <v>0</v>
      </c>
      <c r="S25" s="192">
        <f>IFERROR(INDEX(report!$K$984:$K$998,MATCH("תאונת עבודה",report!$I$984:$I$998,0)),0)</f>
        <v>0</v>
      </c>
      <c r="T25" s="196">
        <f>IFERROR(INDEX(report!$K$984:$K$998,MATCH("חופש",report!$I$984:$I$998,0)),0)</f>
        <v>2</v>
      </c>
      <c r="U25" s="194">
        <f>22-M25-N25-O25</f>
        <v>22</v>
      </c>
      <c r="V25" s="166">
        <f>D25-U25</f>
        <v>0</v>
      </c>
    </row>
    <row r="26" spans="1:22" ht="21.95" customHeight="1" x14ac:dyDescent="0.25">
      <c r="A26" s="167">
        <v>101</v>
      </c>
      <c r="B26" s="171" t="s">
        <v>701</v>
      </c>
      <c r="C26" s="169">
        <f>report!C723</f>
        <v>14</v>
      </c>
      <c r="D26" s="157">
        <f>report!C724</f>
        <v>22</v>
      </c>
      <c r="E26" s="158">
        <f>IFERROR(INDEX(report!$K$722:$K$736,MATCH("חופשה לחיוב",report!$I$722:$I$736,0)),0)</f>
        <v>0.5</v>
      </c>
      <c r="F26" s="173">
        <f>IFERROR(INDEX(report!$K$722:$K$736,MATCH("מחלה",report!$I$722:$I$736,0)),0)</f>
        <v>0</v>
      </c>
      <c r="G26" s="177">
        <f>IFERROR(INDEX(report!$K$722:$K$736,MATCH("מילואים",report!$I$722:$I$736,0)),0)</f>
        <v>11</v>
      </c>
      <c r="H26" s="175">
        <f>report!G720</f>
        <v>117.4</v>
      </c>
      <c r="I26" s="159">
        <f>report!J720</f>
        <v>103.36</v>
      </c>
      <c r="J26" s="159">
        <f>report!K720</f>
        <v>12.85</v>
      </c>
      <c r="K26" s="179">
        <f>report!L720</f>
        <v>1.18</v>
      </c>
      <c r="L26" s="183">
        <f>report!C732</f>
        <v>0</v>
      </c>
      <c r="M26" s="181">
        <f>IFERROR(INDEX(report!$K$722:$K$736,MATCH("מחלה לקיזוז",report!$I$722:$I$736,0)),0)</f>
        <v>0</v>
      </c>
      <c r="N26" s="185">
        <f>IFERROR(INDEX(report!$K$722:$K$736,MATCH("חל""ת",report!$I$722:$I$736,0)),0)</f>
        <v>0</v>
      </c>
      <c r="O26" s="189">
        <f>IFERROR(INDEX(report!$K$722:$K$736,MATCH("היעדרות",report!$I$722:$I$736,0)),0)</f>
        <v>0</v>
      </c>
      <c r="P26" s="187">
        <f>IFERROR(INDEX(report!$K$722:$K$736,MATCH("חג",report!$I$722:$I$736,0)),0)</f>
        <v>3</v>
      </c>
      <c r="Q26" s="160">
        <f>IFERROR(INDEX(report!$K$722:$K$736,MATCH("ערב חג",report!$I$722:$I$736,0)),0)</f>
        <v>0</v>
      </c>
      <c r="R26" s="160">
        <f>IFERROR(INDEX(report!$K$722:$K$736,MATCH("חול המועד",report!$I$722:$I$736,0)),0)</f>
        <v>0</v>
      </c>
      <c r="S26" s="191">
        <f>IFERROR(INDEX(report!$K$722:$K$736,MATCH("תאונת עבודה",report!$I$722:$I$736,0)),0)</f>
        <v>0</v>
      </c>
      <c r="T26" s="195">
        <f>IFERROR(INDEX(report!$K$722:$K$736,MATCH("חופש",report!$I$722:$I$736,0)),0)</f>
        <v>0</v>
      </c>
      <c r="U26" s="193">
        <f>22-M26-N26-O26</f>
        <v>22</v>
      </c>
      <c r="V26" s="165">
        <f>D26-U26</f>
        <v>0</v>
      </c>
    </row>
    <row r="27" spans="1:22" ht="21.95" customHeight="1" x14ac:dyDescent="0.25">
      <c r="A27" s="168">
        <v>105</v>
      </c>
      <c r="B27" s="172" t="s">
        <v>651</v>
      </c>
      <c r="C27" s="170">
        <f>report!C671</f>
        <v>16</v>
      </c>
      <c r="D27" s="161">
        <f>report!C672</f>
        <v>22</v>
      </c>
      <c r="E27" s="162">
        <f>IFERROR(INDEX(report!$K$670:$K$684,MATCH("חופשה לחיוב",report!$I$670:$I$684,0)),0)</f>
        <v>1.5</v>
      </c>
      <c r="F27" s="174">
        <f>IFERROR(INDEX(report!$K$670:$K$684,MATCH("מחלה",report!$I$670:$I$684,0)),0)</f>
        <v>0</v>
      </c>
      <c r="G27" s="178">
        <f>IFERROR(INDEX(report!$K$670:$K$684,MATCH("מילואים",report!$I$670:$I$684,0)),0)</f>
        <v>0</v>
      </c>
      <c r="H27" s="176">
        <f>report!G668</f>
        <v>146.31</v>
      </c>
      <c r="I27" s="163">
        <f>report!J668</f>
        <v>134.4</v>
      </c>
      <c r="J27" s="163">
        <f>report!K668</f>
        <v>11.43</v>
      </c>
      <c r="K27" s="180">
        <f>report!L668</f>
        <v>0.48</v>
      </c>
      <c r="L27" s="184">
        <f>report!C680</f>
        <v>0</v>
      </c>
      <c r="M27" s="182">
        <f>IFERROR(INDEX(report!$K$670:$K$684,MATCH("מחלה לקיזוז",report!$I$670:$I$684,0)),0)</f>
        <v>0</v>
      </c>
      <c r="N27" s="186">
        <f>IFERROR(INDEX(report!$K$670:$K$684,MATCH("חל""ת",report!$I$670:$I$684,0)),0)</f>
        <v>0</v>
      </c>
      <c r="O27" s="190">
        <f>IFERROR(INDEX(report!$K$670:$K$684,MATCH("היעדרות",report!$I$670:$I$684,0)),0)</f>
        <v>0</v>
      </c>
      <c r="P27" s="188">
        <f>IFERROR(INDEX(report!$K$670:$K$684,MATCH("חג",report!$I$670:$I$684,0)),0)</f>
        <v>3</v>
      </c>
      <c r="Q27" s="164">
        <f>IFERROR(INDEX(report!$K$670:$K$684,MATCH("ערב חג",report!$I$670:$I$684,0)),0)</f>
        <v>3</v>
      </c>
      <c r="R27" s="164">
        <f>IFERROR(INDEX(report!$K$670:$K$684,MATCH("חול המועד",report!$I$670:$I$684,0)),0)</f>
        <v>2</v>
      </c>
      <c r="S27" s="192">
        <f>IFERROR(INDEX(report!$K$670:$K$684,MATCH("תאונת עבודה",report!$I$670:$I$684,0)),0)</f>
        <v>0</v>
      </c>
      <c r="T27" s="196">
        <f>IFERROR(INDEX(report!$K$670:$K$684,MATCH("חופש",report!$I$670:$I$684,0)),0)</f>
        <v>0</v>
      </c>
      <c r="U27" s="194">
        <f>22-M27-N27-O27</f>
        <v>22</v>
      </c>
      <c r="V27" s="166">
        <f>D27-U27</f>
        <v>0</v>
      </c>
    </row>
    <row r="28" spans="1:22" ht="21.95" customHeight="1" x14ac:dyDescent="0.25">
      <c r="A28" s="167">
        <v>106</v>
      </c>
      <c r="B28" s="171" t="s">
        <v>1267</v>
      </c>
      <c r="C28" s="169">
        <f>report!C1664</f>
        <v>14</v>
      </c>
      <c r="D28" s="157">
        <f>report!C1665</f>
        <v>20</v>
      </c>
      <c r="E28" s="158">
        <f>IFERROR(INDEX(report!$K$1663:$K$1677,MATCH("חופשה לחיוב",report!$I$1663:$I$1677,0)),0)</f>
        <v>0.5</v>
      </c>
      <c r="F28" s="173">
        <f>IFERROR(INDEX(report!$K$1663:$K$1677,MATCH("מחלה",report!$I$1663:$I$1677,0)),0)</f>
        <v>4</v>
      </c>
      <c r="G28" s="177">
        <f>IFERROR(INDEX(report!$K$1663:$K$1677,MATCH("מילואים",report!$I$1663:$I$1677,0)),0)</f>
        <v>0</v>
      </c>
      <c r="H28" s="175">
        <f>report!G1661</f>
        <v>123.78</v>
      </c>
      <c r="I28" s="159">
        <f>report!J1661</f>
        <v>113.83</v>
      </c>
      <c r="J28" s="159">
        <f>report!K1661</f>
        <v>9.8800000000000008</v>
      </c>
      <c r="K28" s="179">
        <f>report!L1661</f>
        <v>0.06</v>
      </c>
      <c r="L28" s="183">
        <f>report!C1673</f>
        <v>0</v>
      </c>
      <c r="M28" s="181">
        <f>IFERROR(INDEX(report!$K$1663:$K$1677,MATCH("מחלה לקיזוז",report!$I$1663:$I$1677,0)),0)</f>
        <v>2</v>
      </c>
      <c r="N28" s="185">
        <f>IFERROR(INDEX(report!$K$1663:$K$1677,MATCH("חל""ת",report!$I$1663:$I$1677,0)),0)</f>
        <v>0</v>
      </c>
      <c r="O28" s="189">
        <f>IFERROR(INDEX(report!$K$1663:$K$1677,MATCH("היעדרות",report!$I$1663:$I$1677,0)),0)</f>
        <v>0</v>
      </c>
      <c r="P28" s="187">
        <f>IFERROR(INDEX(report!$K$1663:$K$1677,MATCH("חג",report!$I$1663:$I$1677,0)),0)</f>
        <v>3</v>
      </c>
      <c r="Q28" s="160">
        <f>IFERROR(INDEX(report!$K$1663:$K$1677,MATCH("ערב חג",report!$I$1663:$I$1677,0)),0)</f>
        <v>1</v>
      </c>
      <c r="R28" s="160">
        <f>IFERROR(INDEX(report!$K$1663:$K$1677,MATCH("חול המועד",report!$I$1663:$I$1677,0)),0)</f>
        <v>0</v>
      </c>
      <c r="S28" s="191">
        <f>IFERROR(INDEX(report!$K$1663:$K$1677,MATCH("תאונת עבודה",report!$I$1663:$I$1677,0)),0)</f>
        <v>0</v>
      </c>
      <c r="T28" s="195">
        <f>IFERROR(INDEX(report!$K$1663:$K$1677,MATCH("חופש",report!$I$1663:$I$1677,0)),0)</f>
        <v>0</v>
      </c>
      <c r="U28" s="193">
        <f>22-M28-N28-O28</f>
        <v>20</v>
      </c>
      <c r="V28" s="165">
        <f>D28-U28</f>
        <v>0</v>
      </c>
    </row>
    <row r="29" spans="1:22" ht="21.95" customHeight="1" x14ac:dyDescent="0.25">
      <c r="A29" s="168">
        <v>109</v>
      </c>
      <c r="B29" s="172" t="s">
        <v>1437</v>
      </c>
      <c r="C29" s="170">
        <f>report!C2136</f>
        <v>15</v>
      </c>
      <c r="D29" s="161">
        <f>report!C2137</f>
        <v>22</v>
      </c>
      <c r="E29" s="162">
        <f>IFERROR(INDEX(report!$K$2135:$K$2149,MATCH("חופשה לחיוב",report!$I$2135:$I$2149,0)),0)</f>
        <v>3</v>
      </c>
      <c r="F29" s="174">
        <f>IFERROR(INDEX(report!$K$2135:$K$2149,MATCH("מחלה",report!$I$2135:$I$2149,0)),0)</f>
        <v>0</v>
      </c>
      <c r="G29" s="178">
        <f>IFERROR(INDEX(report!$K$2135:$K$2149,MATCH("מילואים",report!$I$2135:$I$2149,0)),0)</f>
        <v>0</v>
      </c>
      <c r="H29" s="176">
        <f>report!G2133</f>
        <v>138.22999999999999</v>
      </c>
      <c r="I29" s="163">
        <f>report!J2133</f>
        <v>122.38</v>
      </c>
      <c r="J29" s="163">
        <f>report!K2133</f>
        <v>15.4</v>
      </c>
      <c r="K29" s="180">
        <f>report!L2133</f>
        <v>0.45</v>
      </c>
      <c r="L29" s="184">
        <f>report!C2145</f>
        <v>0</v>
      </c>
      <c r="M29" s="182">
        <f>IFERROR(INDEX(report!$K$2135:$K$2149,MATCH("מחלה לקיזוז",report!$I$2135:$I$2149,0)),0)</f>
        <v>0</v>
      </c>
      <c r="N29" s="186">
        <f>IFERROR(INDEX(report!$K$2135:$K$2149,MATCH("חל""ת",report!$I$2135:$I$2149,0)),0)</f>
        <v>0</v>
      </c>
      <c r="O29" s="190">
        <f>IFERROR(INDEX(report!$K$2135:$K$2149,MATCH("היעדרות",report!$I$2135:$I$2149,0)),0)</f>
        <v>0</v>
      </c>
      <c r="P29" s="188">
        <f>IFERROR(INDEX(report!$K$2135:$K$2149,MATCH("חג",report!$I$2135:$I$2149,0)),0)</f>
        <v>3</v>
      </c>
      <c r="Q29" s="164">
        <f>IFERROR(INDEX(report!$K$2135:$K$2149,MATCH("ערב חג",report!$I$2135:$I$2149,0)),0)</f>
        <v>2</v>
      </c>
      <c r="R29" s="164">
        <f>IFERROR(INDEX(report!$K$2135:$K$2149,MATCH("חול המועד",report!$I$2135:$I$2149,0)),0)</f>
        <v>2</v>
      </c>
      <c r="S29" s="192">
        <f>IFERROR(INDEX(report!$K$2135:$K$2149,MATCH("תאונת עבודה",report!$I$2135:$I$2149,0)),0)</f>
        <v>0</v>
      </c>
      <c r="T29" s="196">
        <f>IFERROR(INDEX(report!$K$2135:$K$2149,MATCH("חופש",report!$I$2135:$I$2149,0)),0)</f>
        <v>0</v>
      </c>
      <c r="U29" s="194">
        <f>22-M29-N29-O29</f>
        <v>22</v>
      </c>
      <c r="V29" s="166">
        <f>D29-U29</f>
        <v>0</v>
      </c>
    </row>
    <row r="30" spans="1:22" ht="21.95" customHeight="1" x14ac:dyDescent="0.25">
      <c r="A30" s="167">
        <v>110</v>
      </c>
      <c r="B30" s="171" t="s">
        <v>380</v>
      </c>
      <c r="C30" s="169">
        <f>report!C305</f>
        <v>15</v>
      </c>
      <c r="D30" s="157">
        <f>report!C306</f>
        <v>22</v>
      </c>
      <c r="E30" s="158">
        <f>IFERROR(INDEX(report!$K$304:$K$318,MATCH("חופשה לחיוב",report!$I$304:$I$318,0)),0)</f>
        <v>2.5</v>
      </c>
      <c r="F30" s="173">
        <f>IFERROR(INDEX(report!$K$304:$K$318,MATCH("מחלה",report!$I$304:$I$318,0)),0)</f>
        <v>0</v>
      </c>
      <c r="G30" s="177">
        <f>IFERROR(INDEX(report!$K$304:$K$318,MATCH("מילואים",report!$I$304:$I$318,0)),0)</f>
        <v>0</v>
      </c>
      <c r="H30" s="175">
        <f>report!G302</f>
        <v>133.72999999999999</v>
      </c>
      <c r="I30" s="159">
        <f>report!J302</f>
        <v>122.05</v>
      </c>
      <c r="J30" s="159">
        <f>report!K302</f>
        <v>10.95</v>
      </c>
      <c r="K30" s="179">
        <f>report!L302</f>
        <v>0.73</v>
      </c>
      <c r="L30" s="183">
        <f>report!C314</f>
        <v>0</v>
      </c>
      <c r="M30" s="181">
        <f>IFERROR(INDEX(report!$K$304:$K$318,MATCH("מחלה לקיזוז",report!$I$304:$I$318,0)),0)</f>
        <v>0</v>
      </c>
      <c r="N30" s="185">
        <f>IFERROR(INDEX(report!$K$304:$K$318,MATCH("חל""ת",report!$I$304:$I$318,0)),0)</f>
        <v>0</v>
      </c>
      <c r="O30" s="189">
        <f>IFERROR(INDEX(report!$K$304:$K$318,MATCH("היעדרות",report!$I$304:$I$318,0)),0)</f>
        <v>0</v>
      </c>
      <c r="P30" s="187">
        <f>IFERROR(INDEX(report!$K$304:$K$318,MATCH("חג",report!$I$304:$I$318,0)),0)</f>
        <v>3</v>
      </c>
      <c r="Q30" s="160">
        <f>IFERROR(INDEX(report!$K$304:$K$318,MATCH("ערב חג",report!$I$304:$I$318,0)),0)</f>
        <v>3</v>
      </c>
      <c r="R30" s="160">
        <f>IFERROR(INDEX(report!$K$304:$K$318,MATCH("חול המועד",report!$I$304:$I$318,0)),0)</f>
        <v>2</v>
      </c>
      <c r="S30" s="191">
        <f>IFERROR(INDEX(report!$K$304:$K$318,MATCH("תאונת עבודה",report!$I$304:$I$318,0)),0)</f>
        <v>0</v>
      </c>
      <c r="T30" s="195">
        <f>IFERROR(INDEX(report!$K$304:$K$318,MATCH("חופש",report!$I$304:$I$318,0)),0)</f>
        <v>1</v>
      </c>
      <c r="U30" s="193">
        <f>22-M30-N30-O30</f>
        <v>22</v>
      </c>
      <c r="V30" s="165">
        <f>D30-U30</f>
        <v>0</v>
      </c>
    </row>
    <row r="31" spans="1:22" ht="21.95" customHeight="1" x14ac:dyDescent="0.25">
      <c r="A31" s="168">
        <v>112</v>
      </c>
      <c r="B31" s="172" t="s">
        <v>633</v>
      </c>
      <c r="C31" s="170">
        <f>report!C619</f>
        <v>4</v>
      </c>
      <c r="D31" s="161">
        <f>report!C620</f>
        <v>22</v>
      </c>
      <c r="E31" s="162">
        <f>IFERROR(INDEX(report!$K$618:$K$632,MATCH("חופשה לחיוב",report!$I$618:$I$632,0)),0)</f>
        <v>2.5</v>
      </c>
      <c r="F31" s="174">
        <f>IFERROR(INDEX(report!$K$618:$K$632,MATCH("מחלה",report!$I$618:$I$632,0)),0)</f>
        <v>0</v>
      </c>
      <c r="G31" s="178">
        <f>IFERROR(INDEX(report!$K$618:$K$632,MATCH("מילואים",report!$I$618:$I$632,0)),0)</f>
        <v>16</v>
      </c>
      <c r="H31" s="176">
        <f>report!G616</f>
        <v>29.63</v>
      </c>
      <c r="I31" s="163">
        <f>report!J616</f>
        <v>27.11</v>
      </c>
      <c r="J31" s="163">
        <f>report!K616</f>
        <v>2.5099999999999998</v>
      </c>
      <c r="K31" s="180">
        <v>0</v>
      </c>
      <c r="L31" s="184">
        <f>report!C628</f>
        <v>1.9166666666666665</v>
      </c>
      <c r="M31" s="182">
        <f>IFERROR(INDEX(report!$K$618:$K$632,MATCH("מחלה לקיזוז",report!$I$618:$I$632,0)),0)</f>
        <v>0</v>
      </c>
      <c r="N31" s="186">
        <f>IFERROR(INDEX(report!$K$618:$K$632,MATCH("חל""ת",report!$I$618:$I$632,0)),0)</f>
        <v>0</v>
      </c>
      <c r="O31" s="190">
        <f>IFERROR(INDEX(report!$K$618:$K$632,MATCH("היעדרות",report!$I$618:$I$632,0)),0)</f>
        <v>0</v>
      </c>
      <c r="P31" s="188">
        <f>IFERROR(INDEX(report!$K$618:$K$632,MATCH("חג",report!$I$618:$I$632,0)),0)</f>
        <v>3</v>
      </c>
      <c r="Q31" s="164">
        <f>IFERROR(INDEX(report!$K$618:$K$632,MATCH("ערב חג",report!$I$618:$I$632,0)),0)</f>
        <v>3</v>
      </c>
      <c r="R31" s="164">
        <f>IFERROR(INDEX(report!$K$618:$K$632,MATCH("חול המועד",report!$I$618:$I$632,0)),0)</f>
        <v>2</v>
      </c>
      <c r="S31" s="192">
        <f>IFERROR(INDEX(report!$K$618:$K$632,MATCH("תאונת עבודה",report!$I$618:$I$632,0)),0)</f>
        <v>0</v>
      </c>
      <c r="T31" s="196">
        <f>IFERROR(INDEX(report!$K$618:$K$632,MATCH("חופש",report!$I$618:$I$632,0)),0)</f>
        <v>1</v>
      </c>
      <c r="U31" s="194">
        <f>22-M31-N31-O31</f>
        <v>22</v>
      </c>
      <c r="V31" s="166">
        <f>D31-U31</f>
        <v>0</v>
      </c>
    </row>
    <row r="32" spans="1:22" ht="21.95" customHeight="1" x14ac:dyDescent="0.25">
      <c r="A32" s="167">
        <v>113</v>
      </c>
      <c r="B32" s="171" t="s">
        <v>0</v>
      </c>
      <c r="C32" s="169">
        <f>report!C43</f>
        <v>14</v>
      </c>
      <c r="D32" s="157">
        <f>report!C44</f>
        <v>22</v>
      </c>
      <c r="E32" s="158">
        <f>IFERROR(INDEX(report!$K$42:$K$56,MATCH("חופשה לחיוב",report!$I$42:$I$56,0)),0)</f>
        <v>3.5</v>
      </c>
      <c r="F32" s="173">
        <f>IFERROR(INDEX(report!$K$42:$K$56,MATCH("מחלה",report!$I$42:$I$56,0)),0)</f>
        <v>0</v>
      </c>
      <c r="G32" s="177">
        <f>IFERROR(INDEX(report!$K$42:$K$56,MATCH("מילואים",report!$I$42:$I$56,0)),0)</f>
        <v>0</v>
      </c>
      <c r="H32" s="175">
        <f>report!G40</f>
        <v>117.25</v>
      </c>
      <c r="I32" s="159">
        <f>report!J40</f>
        <v>114.51</v>
      </c>
      <c r="J32" s="159">
        <f>report!K40</f>
        <v>2.73</v>
      </c>
      <c r="K32" s="179">
        <v>0</v>
      </c>
      <c r="L32" s="183">
        <f>report!C52</f>
        <v>0</v>
      </c>
      <c r="M32" s="181">
        <f>IFERROR(INDEX(report!$K$42:$K$56,MATCH("מחלה לקיזוז",report!$I$42:$I$56,0)),0)</f>
        <v>0</v>
      </c>
      <c r="N32" s="185">
        <f>IFERROR(INDEX(report!$K$42:$K$56,MATCH("חל""ת",report!$I$42:$I$56,0)),0)</f>
        <v>0</v>
      </c>
      <c r="O32" s="189">
        <f>IFERROR(INDEX(report!$K$42:$K$56,MATCH("היעדרות",report!$I$42:$I$56,0)),0)</f>
        <v>0</v>
      </c>
      <c r="P32" s="187">
        <f>IFERROR(INDEX(report!$K$42:$K$56,MATCH("חג",report!$I$42:$I$56,0)),0)</f>
        <v>3</v>
      </c>
      <c r="Q32" s="160">
        <f>IFERROR(INDEX(report!$K$42:$K$56,MATCH("ערב חג",report!$I$42:$I$56,0)),0)</f>
        <v>3</v>
      </c>
      <c r="R32" s="160">
        <f>IFERROR(INDEX(report!$K$42:$K$56,MATCH("חול המועד",report!$I$42:$I$56,0)),0)</f>
        <v>2</v>
      </c>
      <c r="S32" s="191">
        <f>IFERROR(INDEX(report!$K$42:$K$56,MATCH("תאונת עבודה",report!$I$42:$I$56,0)),0)</f>
        <v>0</v>
      </c>
      <c r="T32" s="195">
        <f>IFERROR(INDEX(report!$K$42:$K$56,MATCH("חופש",report!$I$42:$I$56,0)),0)</f>
        <v>0</v>
      </c>
      <c r="U32" s="193">
        <f>22-M32-N32-O32</f>
        <v>22</v>
      </c>
      <c r="V32" s="165">
        <f>D32-U32</f>
        <v>0</v>
      </c>
    </row>
    <row r="33" spans="1:22" ht="21.95" customHeight="1" x14ac:dyDescent="0.25">
      <c r="A33" s="168">
        <v>115</v>
      </c>
      <c r="B33" s="172" t="s">
        <v>1339</v>
      </c>
      <c r="C33" s="170">
        <f>report!C1872</f>
        <v>16</v>
      </c>
      <c r="D33" s="161">
        <f>report!C1873</f>
        <v>21</v>
      </c>
      <c r="E33" s="162">
        <f>IFERROR(INDEX(report!$K$1871:$K$1885,MATCH("חופשה לחיוב",report!$I$1871:$I$1885,0)),0)</f>
        <v>1</v>
      </c>
      <c r="F33" s="174">
        <f>IFERROR(INDEX(report!$K$1871:$K$1885,MATCH("מחלה",report!$I$1871:$I$1885,0)),0)</f>
        <v>1</v>
      </c>
      <c r="G33" s="178">
        <f>IFERROR(INDEX(report!$K$1871:$K$1885,MATCH("מילואים",report!$I$1871:$I$1885,0)),0)</f>
        <v>0</v>
      </c>
      <c r="H33" s="176">
        <f>report!G1869</f>
        <v>127.2</v>
      </c>
      <c r="I33" s="163">
        <f>report!J1869</f>
        <v>124.03</v>
      </c>
      <c r="J33" s="163">
        <f>report!K1869</f>
        <v>3.16</v>
      </c>
      <c r="K33" s="180">
        <v>0</v>
      </c>
      <c r="L33" s="184">
        <f>report!C1881</f>
        <v>0</v>
      </c>
      <c r="M33" s="182">
        <f>IFERROR(INDEX(report!$K$1871:$K$1885,MATCH("מחלה לקיזוז",report!$I$1871:$I$1885,0)),0)</f>
        <v>1</v>
      </c>
      <c r="N33" s="186">
        <f>IFERROR(INDEX(report!$K$1871:$K$1885,MATCH("חל""ת",report!$I$1871:$I$1885,0)),0)</f>
        <v>0</v>
      </c>
      <c r="O33" s="190">
        <f>IFERROR(INDEX(report!$K$1871:$K$1885,MATCH("היעדרות",report!$I$1871:$I$1885,0)),0)</f>
        <v>0</v>
      </c>
      <c r="P33" s="188">
        <f>IFERROR(INDEX(report!$K$1871:$K$1885,MATCH("חג",report!$I$1871:$I$1885,0)),0)</f>
        <v>3</v>
      </c>
      <c r="Q33" s="164">
        <f>IFERROR(INDEX(report!$K$1871:$K$1885,MATCH("ערב חג",report!$I$1871:$I$1885,0)),0)</f>
        <v>2</v>
      </c>
      <c r="R33" s="164">
        <f>IFERROR(INDEX(report!$K$1871:$K$1885,MATCH("חול המועד",report!$I$1871:$I$1885,0)),0)</f>
        <v>0</v>
      </c>
      <c r="S33" s="192">
        <f>IFERROR(INDEX(report!$K$1871:$K$1885,MATCH("תאונת עבודה",report!$I$1871:$I$1885,0)),0)</f>
        <v>0</v>
      </c>
      <c r="T33" s="196">
        <f>IFERROR(INDEX(report!$K$1871:$K$1885,MATCH("חופש",report!$I$1871:$I$1885,0)),0)</f>
        <v>0</v>
      </c>
      <c r="U33" s="194">
        <f>22-M33-N33-O33</f>
        <v>21</v>
      </c>
      <c r="V33" s="166">
        <f>D33-U33</f>
        <v>0</v>
      </c>
    </row>
    <row r="34" spans="1:22" ht="21.95" customHeight="1" x14ac:dyDescent="0.25">
      <c r="A34" s="167">
        <v>116</v>
      </c>
      <c r="B34" s="171" t="s">
        <v>1488</v>
      </c>
      <c r="C34" s="169">
        <f>report!C2240</f>
        <v>16</v>
      </c>
      <c r="D34" s="157">
        <f>report!C2241</f>
        <v>22</v>
      </c>
      <c r="E34" s="158">
        <f>IFERROR(INDEX(report!$K$2239:$K$2253,MATCH("חופשה לחיוב",report!$I$2239:$I$2253,0)),0)</f>
        <v>3</v>
      </c>
      <c r="F34" s="173">
        <f>IFERROR(INDEX(report!$K$2239:$K$2253,MATCH("מחלה",report!$I$2239:$I$2253,0)),0)</f>
        <v>0</v>
      </c>
      <c r="G34" s="177">
        <f>IFERROR(INDEX(report!$K$2239:$K$2253,MATCH("מילואים",report!$I$2239:$I$2253,0)),0)</f>
        <v>0</v>
      </c>
      <c r="H34" s="175">
        <f>report!G2237</f>
        <v>152.38</v>
      </c>
      <c r="I34" s="159">
        <f>report!J2237</f>
        <v>107.8</v>
      </c>
      <c r="J34" s="159">
        <f>report!K2237</f>
        <v>16.7</v>
      </c>
      <c r="K34" s="179">
        <f>report!L2237</f>
        <v>27.88</v>
      </c>
      <c r="L34" s="183">
        <f>report!C2249</f>
        <v>0</v>
      </c>
      <c r="M34" s="181">
        <f>IFERROR(INDEX(report!$K$2239:$K$2253,MATCH("מחלה לקיזוז",report!$I$2239:$I$2253,0)),0)</f>
        <v>0</v>
      </c>
      <c r="N34" s="185">
        <f>IFERROR(INDEX(report!$K$2239:$K$2253,MATCH("חל""ת",report!$I$2239:$I$2253,0)),0)</f>
        <v>0</v>
      </c>
      <c r="O34" s="189">
        <f>IFERROR(INDEX(report!$K$2239:$K$2253,MATCH("היעדרות",report!$I$2239:$I$2253,0)),0)</f>
        <v>0</v>
      </c>
      <c r="P34" s="187">
        <f>IFERROR(INDEX(report!$K$2239:$K$2253,MATCH("חג",report!$I$2239:$I$2253,0)),0)</f>
        <v>3</v>
      </c>
      <c r="Q34" s="160">
        <f>IFERROR(INDEX(report!$K$2239:$K$2253,MATCH("ערב חג",report!$I$2239:$I$2253,0)),0)</f>
        <v>2</v>
      </c>
      <c r="R34" s="160">
        <f>IFERROR(INDEX(report!$K$2239:$K$2253,MATCH("חול המועד",report!$I$2239:$I$2253,0)),0)</f>
        <v>2</v>
      </c>
      <c r="S34" s="191">
        <f>IFERROR(INDEX(report!$K$2239:$K$2253,MATCH("תאונת עבודה",report!$I$2239:$I$2253,0)),0)</f>
        <v>0</v>
      </c>
      <c r="T34" s="195">
        <f>IFERROR(INDEX(report!$K$2239:$K$2253,MATCH("חופש",report!$I$2239:$I$2253,0)),0)</f>
        <v>0</v>
      </c>
      <c r="U34" s="193">
        <f>22-M34-N34-O34</f>
        <v>22</v>
      </c>
      <c r="V34" s="165">
        <f>D34-U34</f>
        <v>0</v>
      </c>
    </row>
    <row r="35" spans="1:22" ht="21.95" customHeight="1" x14ac:dyDescent="0.25">
      <c r="A35" s="168">
        <v>117</v>
      </c>
      <c r="B35" s="172" t="s">
        <v>1036</v>
      </c>
      <c r="C35" s="170">
        <f>report!C1246</f>
        <v>12</v>
      </c>
      <c r="D35" s="161">
        <f>report!C1247</f>
        <v>21</v>
      </c>
      <c r="E35" s="162">
        <f>IFERROR(INDEX(report!$K$1245:$K$1259,MATCH("חופשה לחיוב",report!$I$1245:$I$1259,0)),0)</f>
        <v>4.5</v>
      </c>
      <c r="F35" s="174">
        <f>IFERROR(INDEX(report!$K$1245:$K$1259,MATCH("מחלה",report!$I$1245:$I$1259,0)),0)</f>
        <v>0</v>
      </c>
      <c r="G35" s="178">
        <f>IFERROR(INDEX(report!$K$1245:$K$1259,MATCH("מילואים",report!$I$1245:$I$1259,0)),0)</f>
        <v>0</v>
      </c>
      <c r="H35" s="176">
        <f>report!G1243</f>
        <v>116.65</v>
      </c>
      <c r="I35" s="163">
        <f>report!J1243</f>
        <v>99.5</v>
      </c>
      <c r="J35" s="163">
        <f>report!K1243</f>
        <v>14.21</v>
      </c>
      <c r="K35" s="180">
        <f>report!L1243</f>
        <v>2.93</v>
      </c>
      <c r="L35" s="184">
        <f>report!C1255</f>
        <v>0</v>
      </c>
      <c r="M35" s="182">
        <f>IFERROR(INDEX(report!$K$1245:$K$1259,MATCH("מחלה לקיזוז",report!$I$1245:$I$1259,0)),0)</f>
        <v>0</v>
      </c>
      <c r="N35" s="186">
        <f>IFERROR(INDEX(report!$K$1245:$K$1259,MATCH("חל""ת",report!$I$1245:$I$1259,0)),0)</f>
        <v>0</v>
      </c>
      <c r="O35" s="190">
        <f>IFERROR(INDEX(report!$K$1245:$K$1259,MATCH("היעדרות",report!$I$1245:$I$1259,0)),0)</f>
        <v>0</v>
      </c>
      <c r="P35" s="188">
        <f>IFERROR(INDEX(report!$K$1245:$K$1259,MATCH("חג",report!$I$1245:$I$1259,0)),0)</f>
        <v>3</v>
      </c>
      <c r="Q35" s="164">
        <f>IFERROR(INDEX(report!$K$1245:$K$1259,MATCH("ערב חג",report!$I$1245:$I$1259,0)),0)</f>
        <v>3</v>
      </c>
      <c r="R35" s="164">
        <f>IFERROR(INDEX(report!$K$1245:$K$1259,MATCH("חול המועד",report!$I$1245:$I$1259,0)),0)</f>
        <v>2</v>
      </c>
      <c r="S35" s="192">
        <f>IFERROR(INDEX(report!$K$1245:$K$1259,MATCH("תאונת עבודה",report!$I$1245:$I$1259,0)),0)</f>
        <v>0</v>
      </c>
      <c r="T35" s="196">
        <f>IFERROR(INDEX(report!$K$1245:$K$1259,MATCH("חופש",report!$I$1245:$I$1259,0)),0)</f>
        <v>1</v>
      </c>
      <c r="U35" s="194">
        <f>22-M35-N35-O35</f>
        <v>22</v>
      </c>
      <c r="V35" s="166">
        <f>D35-U35</f>
        <v>-1</v>
      </c>
    </row>
    <row r="36" spans="1:22" ht="21.95" customHeight="1" x14ac:dyDescent="0.25">
      <c r="A36" s="167">
        <v>118</v>
      </c>
      <c r="B36" s="171" t="s">
        <v>182</v>
      </c>
      <c r="C36" s="169">
        <f>report!C96</f>
        <v>12</v>
      </c>
      <c r="D36" s="157">
        <f>report!C97</f>
        <v>20</v>
      </c>
      <c r="E36" s="158">
        <f>IFERROR(INDEX(report!$K$95:$K$109,MATCH("חופשה לחיוב",report!$I$95:$I$109,0)),0)</f>
        <v>0</v>
      </c>
      <c r="F36" s="173">
        <f>IFERROR(INDEX(report!$K$95:$K$109,MATCH("מחלה",report!$I$95:$I$109,0)),0)</f>
        <v>0</v>
      </c>
      <c r="G36" s="177">
        <f>IFERROR(INDEX(report!$K$95:$K$109,MATCH("מילואים",report!$I$95:$I$109,0)),0)</f>
        <v>3</v>
      </c>
      <c r="H36" s="175">
        <f>report!G93</f>
        <v>79</v>
      </c>
      <c r="I36" s="159">
        <f>report!J93</f>
        <v>77.81</v>
      </c>
      <c r="J36" s="159">
        <f>report!K93</f>
        <v>1.18</v>
      </c>
      <c r="K36" s="179">
        <v>0</v>
      </c>
      <c r="L36" s="183">
        <f>report!C105</f>
        <v>3.083333333333333</v>
      </c>
      <c r="M36" s="181">
        <f>IFERROR(INDEX(report!$K$95:$K$109,MATCH("מחלה לקיזוז",report!$I$95:$I$109,0)),0)</f>
        <v>0</v>
      </c>
      <c r="N36" s="185">
        <f>IFERROR(INDEX(report!$K$95:$K$109,MATCH("חל""ת",report!$I$95:$I$109,0)),0)</f>
        <v>0</v>
      </c>
      <c r="O36" s="189">
        <f>IFERROR(INDEX(report!$K$95:$K$109,MATCH("היעדרות",report!$I$95:$I$109,0)),0)</f>
        <v>0</v>
      </c>
      <c r="P36" s="187">
        <f>IFERROR(INDEX(report!$K$95:$K$109,MATCH("חג",report!$I$95:$I$109,0)),0)</f>
        <v>3</v>
      </c>
      <c r="Q36" s="160">
        <f>IFERROR(INDEX(report!$K$95:$K$109,MATCH("ערב חג",report!$I$95:$I$109,0)),0)</f>
        <v>2</v>
      </c>
      <c r="R36" s="160">
        <f>IFERROR(INDEX(report!$K$95:$K$109,MATCH("חול המועד",report!$I$95:$I$109,0)),0)</f>
        <v>2</v>
      </c>
      <c r="S36" s="191">
        <f>IFERROR(INDEX(report!$K$95:$K$109,MATCH("תאונת עבודה",report!$I$95:$I$109,0)),0)</f>
        <v>0</v>
      </c>
      <c r="T36" s="195">
        <f>IFERROR(INDEX(report!$K$95:$K$109,MATCH("חופש",report!$I$95:$I$109,0)),0)</f>
        <v>1</v>
      </c>
      <c r="U36" s="193">
        <f>22-M36-N36-O36</f>
        <v>22</v>
      </c>
      <c r="V36" s="165">
        <f>D36-U36</f>
        <v>-2</v>
      </c>
    </row>
    <row r="37" spans="1:22" ht="21.95" customHeight="1" x14ac:dyDescent="0.25">
      <c r="A37" s="168">
        <v>119</v>
      </c>
      <c r="B37" s="172" t="s">
        <v>1071</v>
      </c>
      <c r="C37" s="170">
        <f>report!C1299</f>
        <v>12</v>
      </c>
      <c r="D37" s="161">
        <f>report!C1300</f>
        <v>11</v>
      </c>
      <c r="E37" s="162">
        <f>IFERROR(INDEX(report!$K$1298:$K$1312,MATCH("חופשה לחיוב",report!$I$1298:$I$1312,0)),0)</f>
        <v>2.5</v>
      </c>
      <c r="F37" s="174">
        <f>IFERROR(INDEX(report!$K$1298:$K$1312,MATCH("מחלה",report!$I$1298:$I$1312,0)),0)</f>
        <v>0</v>
      </c>
      <c r="G37" s="178">
        <f>IFERROR(INDEX(report!$K$1298:$K$1312,MATCH("מילואים",report!$I$1298:$I$1312,0)),0)</f>
        <v>0</v>
      </c>
      <c r="H37" s="176">
        <f>report!G1296</f>
        <v>83.11</v>
      </c>
      <c r="I37" s="163">
        <f>report!J1296</f>
        <v>82.96</v>
      </c>
      <c r="J37" s="163">
        <f>report!K1296</f>
        <v>0.15</v>
      </c>
      <c r="K37" s="180">
        <v>0</v>
      </c>
      <c r="L37" s="184">
        <f>report!C1308</f>
        <v>0</v>
      </c>
      <c r="M37" s="182">
        <f>IFERROR(INDEX(report!$K$1298:$K$1312,MATCH("מחלה לקיזוז",report!$I$1298:$I$1312,0)),0)</f>
        <v>0</v>
      </c>
      <c r="N37" s="186">
        <f>IFERROR(INDEX(report!$K$1298:$K$1312,MATCH("חל""ת",report!$I$1298:$I$1312,0)),0)</f>
        <v>11</v>
      </c>
      <c r="O37" s="190">
        <f>IFERROR(INDEX(report!$K$1298:$K$1312,MATCH("היעדרות",report!$I$1298:$I$1312,0)),0)</f>
        <v>0</v>
      </c>
      <c r="P37" s="188">
        <f>IFERROR(INDEX(report!$K$1298:$K$1312,MATCH("חג",report!$I$1298:$I$1312,0)),0)</f>
        <v>3</v>
      </c>
      <c r="Q37" s="164">
        <f>IFERROR(INDEX(report!$K$1298:$K$1312,MATCH("ערב חג",report!$I$1298:$I$1312,0)),0)</f>
        <v>3</v>
      </c>
      <c r="R37" s="164">
        <f>IFERROR(INDEX(report!$K$1298:$K$1312,MATCH("חול המועד",report!$I$1298:$I$1312,0)),0)</f>
        <v>0</v>
      </c>
      <c r="S37" s="192">
        <f>IFERROR(INDEX(report!$K$1298:$K$1312,MATCH("תאונת עבודה",report!$I$1298:$I$1312,0)),0)</f>
        <v>0</v>
      </c>
      <c r="T37" s="196">
        <f>IFERROR(INDEX(report!$K$1298:$K$1312,MATCH("חופש",report!$I$1298:$I$1312,0)),0)</f>
        <v>1</v>
      </c>
      <c r="U37" s="194">
        <f>22-M37-N37-O37</f>
        <v>11</v>
      </c>
      <c r="V37" s="166">
        <f>D37-U37</f>
        <v>0</v>
      </c>
    </row>
    <row r="38" spans="1:22" ht="21.95" customHeight="1" x14ac:dyDescent="0.25">
      <c r="A38" s="167">
        <v>121</v>
      </c>
      <c r="B38" s="171" t="s">
        <v>266</v>
      </c>
      <c r="C38" s="169">
        <f>report!C148</f>
        <v>5</v>
      </c>
      <c r="D38" s="157">
        <f>report!C149</f>
        <v>22</v>
      </c>
      <c r="E38" s="158">
        <f>IFERROR(INDEX(report!$K$147:$K$161,MATCH("חופשה לחיוב",report!$I$147:$I$161,0)),0)</f>
        <v>3.5</v>
      </c>
      <c r="F38" s="173">
        <f>IFERROR(INDEX(report!$K$147:$K$161,MATCH("מחלה",report!$I$147:$I$161,0)),0)</f>
        <v>0</v>
      </c>
      <c r="G38" s="177">
        <f>IFERROR(INDEX(report!$K$147:$K$161,MATCH("מילואים",report!$I$147:$I$161,0)),0)</f>
        <v>9</v>
      </c>
      <c r="H38" s="175">
        <f>report!G145</f>
        <v>45.96</v>
      </c>
      <c r="I38" s="159">
        <f>report!J145</f>
        <v>42</v>
      </c>
      <c r="J38" s="159">
        <f>report!K145</f>
        <v>3.86</v>
      </c>
      <c r="K38" s="179">
        <f>report!L145</f>
        <v>0.1</v>
      </c>
      <c r="L38" s="183">
        <f>report!C157</f>
        <v>0</v>
      </c>
      <c r="M38" s="181">
        <f>IFERROR(INDEX(report!$K$147:$K$161,MATCH("מחלה לקיזוז",report!$I$147:$I$161,0)),0)</f>
        <v>0</v>
      </c>
      <c r="N38" s="185">
        <f>IFERROR(INDEX(report!$K$147:$K$161,MATCH("חל""ת",report!$I$147:$I$161,0)),0)</f>
        <v>0</v>
      </c>
      <c r="O38" s="189">
        <f>IFERROR(INDEX(report!$K$147:$K$161,MATCH("היעדרות",report!$I$147:$I$161,0)),0)</f>
        <v>0</v>
      </c>
      <c r="P38" s="187">
        <f>IFERROR(INDEX(report!$K$147:$K$161,MATCH("חג",report!$I$147:$I$161,0)),0)</f>
        <v>3</v>
      </c>
      <c r="Q38" s="160">
        <f>IFERROR(INDEX(report!$K$147:$K$161,MATCH("ערב חג",report!$I$147:$I$161,0)),0)</f>
        <v>3</v>
      </c>
      <c r="R38" s="160">
        <f>IFERROR(INDEX(report!$K$147:$K$161,MATCH("חול המועד",report!$I$147:$I$161,0)),0)</f>
        <v>2</v>
      </c>
      <c r="S38" s="191">
        <f>IFERROR(INDEX(report!$K$147:$K$161,MATCH("תאונת עבודה",report!$I$147:$I$161,0)),0)</f>
        <v>0</v>
      </c>
      <c r="T38" s="195">
        <f>IFERROR(INDEX(report!$K$147:$K$161,MATCH("חופש",report!$I$147:$I$161,0)),0)</f>
        <v>0</v>
      </c>
      <c r="U38" s="193">
        <f>22-M38-N38-O38</f>
        <v>22</v>
      </c>
      <c r="V38" s="165">
        <f>D38-U38</f>
        <v>0</v>
      </c>
    </row>
    <row r="39" spans="1:22" ht="21.95" customHeight="1" x14ac:dyDescent="0.25">
      <c r="A39" s="168">
        <v>122</v>
      </c>
      <c r="B39" s="172" t="s">
        <v>833</v>
      </c>
      <c r="C39" s="170">
        <f>report!C879</f>
        <v>8</v>
      </c>
      <c r="D39" s="161">
        <f>report!C880</f>
        <v>22</v>
      </c>
      <c r="E39" s="162">
        <f>IFERROR(INDEX(report!$K$878:$K$892,MATCH("חופשה לחיוב",report!$I$878:$I$892,0)),0)</f>
        <v>3.5</v>
      </c>
      <c r="F39" s="174">
        <f>IFERROR(INDEX(report!$K$878:$K$892,MATCH("מחלה",report!$I$878:$I$892,0)),0)</f>
        <v>0</v>
      </c>
      <c r="G39" s="178">
        <f>IFERROR(INDEX(report!$K$878:$K$892,MATCH("מילואים",report!$I$878:$I$892,0)),0)</f>
        <v>0</v>
      </c>
      <c r="H39" s="176">
        <f>report!G876</f>
        <v>23.91</v>
      </c>
      <c r="I39" s="163">
        <f>report!J876</f>
        <v>23.08</v>
      </c>
      <c r="J39" s="163">
        <f>report!K876</f>
        <v>0.83</v>
      </c>
      <c r="K39" s="180">
        <v>0</v>
      </c>
      <c r="L39" s="184">
        <f>report!C888</f>
        <v>0</v>
      </c>
      <c r="M39" s="182">
        <f>IFERROR(INDEX(report!$K$878:$K$892,MATCH("מחלה לקיזוז",report!$I$878:$I$892,0)),0)</f>
        <v>0</v>
      </c>
      <c r="N39" s="186">
        <f>IFERROR(INDEX(report!$K$878:$K$892,MATCH("חל""ת",report!$I$878:$I$892,0)),0)</f>
        <v>0</v>
      </c>
      <c r="O39" s="190">
        <f>IFERROR(INDEX(report!$K$878:$K$892,MATCH("היעדרות",report!$I$878:$I$892,0)),0)</f>
        <v>0</v>
      </c>
      <c r="P39" s="188">
        <f>IFERROR(INDEX(report!$K$878:$K$892,MATCH("חג",report!$I$878:$I$892,0)),0)</f>
        <v>3</v>
      </c>
      <c r="Q39" s="164">
        <f>IFERROR(INDEX(report!$K$878:$K$892,MATCH("ערב חג",report!$I$878:$I$892,0)),0)</f>
        <v>3</v>
      </c>
      <c r="R39" s="164">
        <f>IFERROR(INDEX(report!$K$878:$K$892,MATCH("חול המועד",report!$I$878:$I$892,0)),0)</f>
        <v>2</v>
      </c>
      <c r="S39" s="192">
        <f>IFERROR(INDEX(report!$K$878:$K$892,MATCH("תאונת עבודה",report!$I$878:$I$892,0)),0)</f>
        <v>0</v>
      </c>
      <c r="T39" s="196">
        <f>IFERROR(INDEX(report!$K$878:$K$892,MATCH("חופש",report!$I$878:$I$892,0)),0)</f>
        <v>0</v>
      </c>
      <c r="U39" s="194">
        <f>22-M39-N39-O39</f>
        <v>22</v>
      </c>
      <c r="V39" s="166">
        <f>D39-U39</f>
        <v>0</v>
      </c>
    </row>
    <row r="40" spans="1:22" ht="21.95" customHeight="1" x14ac:dyDescent="0.25">
      <c r="A40" s="167">
        <v>123</v>
      </c>
      <c r="B40" s="171" t="s">
        <v>1300</v>
      </c>
      <c r="C40" s="169">
        <f>report!C1768</f>
        <v>13</v>
      </c>
      <c r="D40" s="157">
        <f>report!C1769</f>
        <v>20</v>
      </c>
      <c r="E40" s="158">
        <f>IFERROR(INDEX(report!$K$1767:$K$1781,MATCH("חופשה לחיוב",report!$I$1767:$I$1781,0)),0)</f>
        <v>3</v>
      </c>
      <c r="F40" s="173">
        <f>IFERROR(INDEX(report!$K$1767:$K$1781,MATCH("מחלה",report!$I$1767:$I$1781,0)),0)</f>
        <v>0</v>
      </c>
      <c r="G40" s="177">
        <f>IFERROR(INDEX(report!$K$1767:$K$1781,MATCH("מילואים",report!$I$1767:$I$1781,0)),0)</f>
        <v>0</v>
      </c>
      <c r="H40" s="175">
        <f>report!G1765</f>
        <v>107.96</v>
      </c>
      <c r="I40" s="159">
        <f>report!J1765</f>
        <v>106.25</v>
      </c>
      <c r="J40" s="159">
        <f>report!K1765</f>
        <v>1.71</v>
      </c>
      <c r="K40" s="179">
        <v>0</v>
      </c>
      <c r="L40" s="183">
        <f>report!C1777</f>
        <v>0</v>
      </c>
      <c r="M40" s="181">
        <f>IFERROR(INDEX(report!$K$1767:$K$1781,MATCH("מחלה לקיזוז",report!$I$1767:$I$1781,0)),0)</f>
        <v>0</v>
      </c>
      <c r="N40" s="185">
        <f>IFERROR(INDEX(report!$K$1767:$K$1781,MATCH("חל""ת",report!$I$1767:$I$1781,0)),0)</f>
        <v>0</v>
      </c>
      <c r="O40" s="189">
        <f>IFERROR(INDEX(report!$K$1767:$K$1781,MATCH("היעדרות",report!$I$1767:$I$1781,0)),0)</f>
        <v>0</v>
      </c>
      <c r="P40" s="187">
        <f>IFERROR(INDEX(report!$K$1767:$K$1781,MATCH("חג",report!$I$1767:$I$1781,0)),0)</f>
        <v>3</v>
      </c>
      <c r="Q40" s="160">
        <f>IFERROR(INDEX(report!$K$1767:$K$1781,MATCH("ערב חג",report!$I$1767:$I$1781,0)),0)</f>
        <v>2</v>
      </c>
      <c r="R40" s="160">
        <f>IFERROR(INDEX(report!$K$1767:$K$1781,MATCH("חול המועד",report!$I$1767:$I$1781,0)),0)</f>
        <v>2</v>
      </c>
      <c r="S40" s="191">
        <f>IFERROR(INDEX(report!$K$1767:$K$1781,MATCH("תאונת עבודה",report!$I$1767:$I$1781,0)),0)</f>
        <v>0</v>
      </c>
      <c r="T40" s="195">
        <f>IFERROR(INDEX(report!$K$1767:$K$1781,MATCH("חופש",report!$I$1767:$I$1781,0)),0)</f>
        <v>0</v>
      </c>
      <c r="U40" s="193">
        <f>22-M40-N40-O40</f>
        <v>22</v>
      </c>
      <c r="V40" s="165">
        <f>D40-U40</f>
        <v>-2</v>
      </c>
    </row>
    <row r="41" spans="1:22" ht="21.95" customHeight="1" x14ac:dyDescent="0.25">
      <c r="A41" s="168">
        <v>124</v>
      </c>
      <c r="B41" s="172" t="s">
        <v>1177</v>
      </c>
      <c r="C41" s="170">
        <f>report!C1456</f>
        <v>8</v>
      </c>
      <c r="D41" s="161">
        <f>report!C1457</f>
        <v>22</v>
      </c>
      <c r="E41" s="162">
        <f>IFERROR(INDEX(report!$K$1455:$K$1469,MATCH("חופשה לחיוב",report!$I$1455:$I$1469,0)),0)</f>
        <v>2.5</v>
      </c>
      <c r="F41" s="174">
        <f>IFERROR(INDEX(report!$K$1455:$K$1469,MATCH("מחלה",report!$I$1455:$I$1469,0)),0)</f>
        <v>0</v>
      </c>
      <c r="G41" s="178">
        <f>IFERROR(INDEX(report!$K$1455:$K$1469,MATCH("מילואים",report!$I$1455:$I$1469,0)),0)</f>
        <v>12</v>
      </c>
      <c r="H41" s="176">
        <f>report!G1453</f>
        <v>55.63</v>
      </c>
      <c r="I41" s="163">
        <f>report!J1453</f>
        <v>54.86</v>
      </c>
      <c r="J41" s="163">
        <f>report!K1453</f>
        <v>0.76</v>
      </c>
      <c r="K41" s="180">
        <v>0</v>
      </c>
      <c r="L41" s="184">
        <f>report!C1465</f>
        <v>0</v>
      </c>
      <c r="M41" s="182">
        <f>IFERROR(INDEX(report!$K$1455:$K$1469,MATCH("מחלה לקיזוז",report!$I$1455:$I$1469,0)),0)</f>
        <v>0</v>
      </c>
      <c r="N41" s="186">
        <f>IFERROR(INDEX(report!$K$1455:$K$1469,MATCH("חל""ת",report!$I$1455:$I$1469,0)),0)</f>
        <v>0</v>
      </c>
      <c r="O41" s="190">
        <f>IFERROR(INDEX(report!$K$1455:$K$1469,MATCH("היעדרות",report!$I$1455:$I$1469,0)),0)</f>
        <v>0</v>
      </c>
      <c r="P41" s="188">
        <f>IFERROR(INDEX(report!$K$1455:$K$1469,MATCH("חג",report!$I$1455:$I$1469,0)),0)</f>
        <v>3</v>
      </c>
      <c r="Q41" s="164">
        <f>IFERROR(INDEX(report!$K$1455:$K$1469,MATCH("ערב חג",report!$I$1455:$I$1469,0)),0)</f>
        <v>3</v>
      </c>
      <c r="R41" s="164">
        <f>IFERROR(INDEX(report!$K$1455:$K$1469,MATCH("חול המועד",report!$I$1455:$I$1469,0)),0)</f>
        <v>2</v>
      </c>
      <c r="S41" s="192">
        <f>IFERROR(INDEX(report!$K$1455:$K$1469,MATCH("תאונת עבודה",report!$I$1455:$I$1469,0)),0)</f>
        <v>0</v>
      </c>
      <c r="T41" s="196">
        <f>IFERROR(INDEX(report!$K$1455:$K$1469,MATCH("חופש",report!$I$1455:$I$1469,0)),0)</f>
        <v>1</v>
      </c>
      <c r="U41" s="194">
        <f>22-M41-N41-O41</f>
        <v>22</v>
      </c>
      <c r="V41" s="166">
        <f>D41-U41</f>
        <v>0</v>
      </c>
    </row>
    <row r="42" spans="1:22" ht="21.95" customHeight="1" x14ac:dyDescent="0.25">
      <c r="A42" s="167">
        <v>125</v>
      </c>
      <c r="B42" s="171" t="s">
        <v>1021</v>
      </c>
      <c r="C42" s="169">
        <f>report!C1194</f>
        <v>8</v>
      </c>
      <c r="D42" s="157">
        <f>report!C1195</f>
        <v>22</v>
      </c>
      <c r="E42" s="158">
        <f>IFERROR(INDEX(report!$K$1193:$K$1207,MATCH("חופשה לחיוב",report!$I$1193:$I$1207,0)),0)</f>
        <v>0</v>
      </c>
      <c r="F42" s="173">
        <f>IFERROR(INDEX(report!$K$1193:$K$1207,MATCH("מחלה",report!$I$1193:$I$1207,0)),0)</f>
        <v>0</v>
      </c>
      <c r="G42" s="177">
        <f>IFERROR(INDEX(report!$K$1193:$K$1207,MATCH("מילואים",report!$I$1193:$I$1207,0)),0)</f>
        <v>28</v>
      </c>
      <c r="H42" s="175">
        <f>report!G1191</f>
        <v>55.08</v>
      </c>
      <c r="I42" s="159">
        <f>report!J1191</f>
        <v>55.08</v>
      </c>
      <c r="J42" s="159">
        <v>0</v>
      </c>
      <c r="K42" s="179">
        <v>0</v>
      </c>
      <c r="L42" s="183">
        <f>report!C1203</f>
        <v>40.299999999999997</v>
      </c>
      <c r="M42" s="181">
        <f>IFERROR(INDEX(report!$K$1193:$K$1207,MATCH("מחלה לקיזוז",report!$I$1193:$I$1207,0)),0)</f>
        <v>0</v>
      </c>
      <c r="N42" s="185">
        <f>IFERROR(INDEX(report!$K$1193:$K$1207,MATCH("חל""ת",report!$I$1193:$I$1207,0)),0)</f>
        <v>0</v>
      </c>
      <c r="O42" s="189">
        <f>IFERROR(INDEX(report!$K$1193:$K$1207,MATCH("היעדרות",report!$I$1193:$I$1207,0)),0)</f>
        <v>0</v>
      </c>
      <c r="P42" s="187">
        <f>IFERROR(INDEX(report!$K$1193:$K$1207,MATCH("חג",report!$I$1193:$I$1207,0)),0)</f>
        <v>0</v>
      </c>
      <c r="Q42" s="160">
        <f>IFERROR(INDEX(report!$K$1193:$K$1207,MATCH("ערב חג",report!$I$1193:$I$1207,0)),0)</f>
        <v>0</v>
      </c>
      <c r="R42" s="160">
        <f>IFERROR(INDEX(report!$K$1193:$K$1207,MATCH("חול המועד",report!$I$1193:$I$1207,0)),0)</f>
        <v>0</v>
      </c>
      <c r="S42" s="191">
        <f>IFERROR(INDEX(report!$K$1193:$K$1207,MATCH("תאונת עבודה",report!$I$1193:$I$1207,0)),0)</f>
        <v>0</v>
      </c>
      <c r="T42" s="195">
        <f>IFERROR(INDEX(report!$K$1193:$K$1207,MATCH("חופש",report!$I$1193:$I$1207,0)),0)</f>
        <v>0</v>
      </c>
      <c r="U42" s="193">
        <f>22-M42-N42-O42</f>
        <v>22</v>
      </c>
      <c r="V42" s="165">
        <f>D42-U42</f>
        <v>0</v>
      </c>
    </row>
    <row r="43" spans="1:22" ht="21.95" customHeight="1" x14ac:dyDescent="0.25">
      <c r="A43" s="168">
        <v>126</v>
      </c>
      <c r="B43" s="172" t="s">
        <v>1517</v>
      </c>
      <c r="C43" s="170">
        <f>report!C2292</f>
        <v>9</v>
      </c>
      <c r="D43" s="161">
        <f>report!C2293</f>
        <v>10</v>
      </c>
      <c r="E43" s="162">
        <f>IFERROR(INDEX(report!$K$2291:$K$2305,MATCH("חופשה לחיוב",report!$I$2291:$I$2305,0)),0)</f>
        <v>3</v>
      </c>
      <c r="F43" s="174">
        <f>IFERROR(INDEX(report!$K$2291:$K$2305,MATCH("מחלה",report!$I$2291:$I$2305,0)),0)</f>
        <v>0</v>
      </c>
      <c r="G43" s="178">
        <f>IFERROR(INDEX(report!$K$2291:$K$2305,MATCH("מילואים",report!$I$2291:$I$2305,0)),0)</f>
        <v>0</v>
      </c>
      <c r="H43" s="176">
        <f>report!G2289</f>
        <v>85.98</v>
      </c>
      <c r="I43" s="163">
        <f>report!J2289</f>
        <v>68.13</v>
      </c>
      <c r="J43" s="163">
        <f>report!K2289</f>
        <v>10.31</v>
      </c>
      <c r="K43" s="180">
        <f>report!L2289</f>
        <v>7.53</v>
      </c>
      <c r="L43" s="184">
        <f>report!C2301</f>
        <v>0</v>
      </c>
      <c r="M43" s="182">
        <f>IFERROR(INDEX(report!$K$2291:$K$2305,MATCH("מחלה לקיזוז",report!$I$2291:$I$2305,0)),0)</f>
        <v>0</v>
      </c>
      <c r="N43" s="186">
        <f>IFERROR(INDEX(report!$K$2291:$K$2305,MATCH("חל""ת",report!$I$2291:$I$2305,0)),0)</f>
        <v>0</v>
      </c>
      <c r="O43" s="190">
        <f>IFERROR(INDEX(report!$K$2291:$K$2305,MATCH("היעדרות",report!$I$2291:$I$2305,0)),0)</f>
        <v>0</v>
      </c>
      <c r="P43" s="188">
        <f>IFERROR(INDEX(report!$K$2291:$K$2305,MATCH("חג",report!$I$2291:$I$2305,0)),0)</f>
        <v>0</v>
      </c>
      <c r="Q43" s="164">
        <f>IFERROR(INDEX(report!$K$2291:$K$2305,MATCH("ערב חג",report!$I$2291:$I$2305,0)),0)</f>
        <v>0</v>
      </c>
      <c r="R43" s="164">
        <f>IFERROR(INDEX(report!$K$2291:$K$2305,MATCH("חול המועד",report!$I$2291:$I$2305,0)),0)</f>
        <v>0</v>
      </c>
      <c r="S43" s="192">
        <f>IFERROR(INDEX(report!$K$2291:$K$2305,MATCH("תאונת עבודה",report!$I$2291:$I$2305,0)),0)</f>
        <v>0</v>
      </c>
      <c r="T43" s="196">
        <f>IFERROR(INDEX(report!$K$2291:$K$2305,MATCH("חופש",report!$I$2291:$I$2305,0)),0)</f>
        <v>0</v>
      </c>
      <c r="U43" s="194">
        <v>10</v>
      </c>
      <c r="V43" s="166">
        <f>D43-U43</f>
        <v>0</v>
      </c>
    </row>
    <row r="44" spans="1:22" ht="21.95" customHeight="1" x14ac:dyDescent="0.25">
      <c r="A44" s="167">
        <v>127</v>
      </c>
      <c r="B44" s="171" t="s">
        <v>816</v>
      </c>
      <c r="C44" s="169">
        <f>report!C827</f>
        <v>4</v>
      </c>
      <c r="D44" s="157">
        <f>report!C828</f>
        <v>4</v>
      </c>
      <c r="E44" s="158">
        <f>IFERROR(INDEX(report!$K$826:$K$840,MATCH("חופשה לחיוב",report!$I$826:$I$840,0)),0)</f>
        <v>3.5</v>
      </c>
      <c r="F44" s="173">
        <f>IFERROR(INDEX(report!$K$826:$K$840,MATCH("מחלה",report!$I$826:$I$840,0)),0)</f>
        <v>0</v>
      </c>
      <c r="G44" s="177">
        <f>IFERROR(INDEX(report!$K$826:$K$840,MATCH("מילואים",report!$I$826:$I$840,0)),0)</f>
        <v>0</v>
      </c>
      <c r="H44" s="175">
        <f>report!G824</f>
        <v>36.31</v>
      </c>
      <c r="I44" s="159">
        <f>report!J824</f>
        <v>33.479999999999997</v>
      </c>
      <c r="J44" s="159">
        <f>report!K824</f>
        <v>2.6</v>
      </c>
      <c r="K44" s="179">
        <f>report!L824</f>
        <v>0.23</v>
      </c>
      <c r="L44" s="183">
        <f>report!C836</f>
        <v>0</v>
      </c>
      <c r="M44" s="181">
        <f>IFERROR(INDEX(report!$K$826:$K$840,MATCH("מחלה לקיזוז",report!$I$826:$I$840,0)),0)</f>
        <v>0</v>
      </c>
      <c r="N44" s="185">
        <f>IFERROR(INDEX(report!$K$826:$K$840,MATCH("חל""ת",report!$I$826:$I$840,0)),0)</f>
        <v>0</v>
      </c>
      <c r="O44" s="189">
        <f>IFERROR(INDEX(report!$K$826:$K$840,MATCH("היעדרות",report!$I$826:$I$840,0)),0)</f>
        <v>0</v>
      </c>
      <c r="P44" s="187">
        <f>IFERROR(INDEX(report!$K$826:$K$840,MATCH("חג",report!$I$826:$I$840,0)),0)</f>
        <v>0</v>
      </c>
      <c r="Q44" s="160">
        <f>IFERROR(INDEX(report!$K$826:$K$840,MATCH("ערב חג",report!$I$826:$I$840,0)),0)</f>
        <v>0</v>
      </c>
      <c r="R44" s="160">
        <f>IFERROR(INDEX(report!$K$826:$K$840,MATCH("חול המועד",report!$I$826:$I$840,0)),0)</f>
        <v>0</v>
      </c>
      <c r="S44" s="191">
        <f>IFERROR(INDEX(report!$K$826:$K$840,MATCH("תאונת עבודה",report!$I$826:$I$840,0)),0)</f>
        <v>0</v>
      </c>
      <c r="T44" s="195">
        <f>IFERROR(INDEX(report!$K$826:$K$840,MATCH("חופש",report!$I$826:$I$840,0)),0)</f>
        <v>0</v>
      </c>
      <c r="U44" s="193">
        <v>4</v>
      </c>
      <c r="V44" s="165">
        <f>D44-U44</f>
        <v>0</v>
      </c>
    </row>
    <row r="45" spans="1:22" ht="21.95" customHeight="1" x14ac:dyDescent="0.25">
      <c r="A45" s="168" t="s">
        <v>1710</v>
      </c>
      <c r="B45" s="172" t="s">
        <v>901</v>
      </c>
      <c r="C45" s="170">
        <f>report!C1037</f>
        <v>11</v>
      </c>
      <c r="D45" s="161">
        <f>report!C1038</f>
        <v>22</v>
      </c>
      <c r="E45" s="162">
        <f>IFERROR(INDEX(report!$K$1036:$K$1050,MATCH("חופשה לחיוב",report!$I$1036:$I$1050,0)),0)</f>
        <v>1</v>
      </c>
      <c r="F45" s="174">
        <f>IFERROR(INDEX(report!$K$1036:$K$1050,MATCH("מחלה",report!$I$1036:$I$1050,0)),0)</f>
        <v>0</v>
      </c>
      <c r="G45" s="178">
        <f>IFERROR(INDEX(report!$K$1036:$K$1050,MATCH("מילואים",report!$I$1036:$I$1050,0)),0)</f>
        <v>0</v>
      </c>
      <c r="H45" s="176">
        <f>report!G1034</f>
        <v>69.709999999999994</v>
      </c>
      <c r="I45" s="163">
        <f>report!J1034</f>
        <v>69.650000000000006</v>
      </c>
      <c r="J45" s="163">
        <f>report!K1034</f>
        <v>0.06</v>
      </c>
      <c r="K45" s="180">
        <v>0</v>
      </c>
      <c r="L45" s="184">
        <f>report!C1046</f>
        <v>0</v>
      </c>
      <c r="M45" s="182">
        <f>IFERROR(INDEX(report!$K$1036:$K$1050,MATCH("מחלה לקיזוז",report!$I$1036:$I$1050,0)),0)</f>
        <v>0</v>
      </c>
      <c r="N45" s="186">
        <f>IFERROR(INDEX(report!$K$1036:$K$1050,MATCH("חל""ת",report!$I$1036:$I$1050,0)),0)</f>
        <v>0</v>
      </c>
      <c r="O45" s="190">
        <f>IFERROR(INDEX(report!$K$1036:$K$1050,MATCH("היעדרות",report!$I$1036:$I$1050,0)),0)</f>
        <v>0</v>
      </c>
      <c r="P45" s="188">
        <f>IFERROR(INDEX(report!$K$1036:$K$1050,MATCH("חג",report!$I$1036:$I$1050,0)),0)</f>
        <v>3</v>
      </c>
      <c r="Q45" s="164">
        <f>IFERROR(INDEX(report!$K$1036:$K$1050,MATCH("ערב חג",report!$I$1036:$I$1050,0)),0)</f>
        <v>2</v>
      </c>
      <c r="R45" s="164">
        <f>IFERROR(INDEX(report!$K$1036:$K$1050,MATCH("חול המועד",report!$I$1036:$I$1050,0)),0)</f>
        <v>2</v>
      </c>
      <c r="S45" s="192">
        <f>IFERROR(INDEX(report!$K$1036:$K$1050,MATCH("תאונת עבודה",report!$I$1036:$I$1050,0)),0)</f>
        <v>0</v>
      </c>
      <c r="T45" s="196">
        <f>IFERROR(INDEX(report!$K$1036:$K$1050,MATCH("חופש",report!$I$1036:$I$1050,0)),0)</f>
        <v>0</v>
      </c>
      <c r="U45" s="194">
        <f>22-M45-N45-O45</f>
        <v>22</v>
      </c>
      <c r="V45" s="166">
        <f>D45-U45</f>
        <v>0</v>
      </c>
    </row>
    <row r="46" spans="1:22" ht="21.95" customHeight="1" thickBot="1" x14ac:dyDescent="0.3">
      <c r="A46" s="236" t="s">
        <v>1710</v>
      </c>
      <c r="B46" s="237" t="s">
        <v>509</v>
      </c>
      <c r="C46" s="238">
        <f>report!C410</f>
        <v>5</v>
      </c>
      <c r="D46" s="239">
        <f>report!C411</f>
        <v>22</v>
      </c>
      <c r="E46" s="240">
        <f>IFERROR(INDEX(report!$K$409:$K$423,MATCH("חופשה לחיוב",report!$I$409:$I$423,0)),0)</f>
        <v>3.5</v>
      </c>
      <c r="F46" s="241">
        <f>IFERROR(INDEX(report!$K$409:$K$423,MATCH("מחלה",report!$I$409:$I$423,0)),0)</f>
        <v>0</v>
      </c>
      <c r="G46" s="242">
        <f>IFERROR(INDEX(report!$K$409:$K$423,MATCH("מילואים",report!$I$409:$I$423,0)),0)</f>
        <v>0</v>
      </c>
      <c r="H46" s="243">
        <f>report!G407</f>
        <v>42.21</v>
      </c>
      <c r="I46" s="244">
        <f>report!J407</f>
        <v>41.78</v>
      </c>
      <c r="J46" s="244">
        <f>report!K407</f>
        <v>0.43</v>
      </c>
      <c r="K46" s="245">
        <v>0</v>
      </c>
      <c r="L46" s="246">
        <f>report!C419</f>
        <v>0</v>
      </c>
      <c r="M46" s="247">
        <f>IFERROR(INDEX(report!$K$409:$K$423,MATCH("מחלה לקיזוז",report!$I$409:$I$423,0)),0)</f>
        <v>0</v>
      </c>
      <c r="N46" s="248">
        <f>IFERROR(INDEX(report!$K$409:$K$423,MATCH("חל""ת",report!$I$409:$I$423,0)),0)</f>
        <v>0</v>
      </c>
      <c r="O46" s="249">
        <f>IFERROR(INDEX(report!$K$409:$K$423,MATCH("היעדרות",report!$I$409:$I$423,0)),0)</f>
        <v>0</v>
      </c>
      <c r="P46" s="250">
        <f>IFERROR(INDEX(report!$K$409:$K$423,MATCH("חג",report!$I$409:$I$423,0)),0)</f>
        <v>3</v>
      </c>
      <c r="Q46" s="251">
        <f>IFERROR(INDEX(report!$K$409:$K$423,MATCH("ערב חג",report!$I$409:$I$423,0)),0)</f>
        <v>3</v>
      </c>
      <c r="R46" s="251">
        <f>IFERROR(INDEX(report!$K$409:$K$423,MATCH("חול המועד",report!$I$409:$I$423,0)),0)</f>
        <v>2</v>
      </c>
      <c r="S46" s="252">
        <f>IFERROR(INDEX(report!$K$409:$K$423,MATCH("תאונת עבודה",report!$I$409:$I$423,0)),0)</f>
        <v>0</v>
      </c>
      <c r="T46" s="253">
        <f>IFERROR(INDEX(report!$K$409:$K$423,MATCH("חופש",report!$I$409:$I$423,0)),0)</f>
        <v>0</v>
      </c>
      <c r="U46" s="254">
        <f>22-M46-N46-O46</f>
        <v>22</v>
      </c>
      <c r="V46" s="255">
        <f>D46-U46</f>
        <v>0</v>
      </c>
    </row>
    <row r="47" spans="1:22" ht="27.95" customHeight="1" thickTop="1" thickBot="1" x14ac:dyDescent="0.3">
      <c r="A47" s="256" t="s">
        <v>1555</v>
      </c>
      <c r="B47" s="257"/>
      <c r="C47" s="258">
        <f>SUM(C4:C46)</f>
        <v>492</v>
      </c>
      <c r="D47" s="259">
        <f>SUM(D4:D46)</f>
        <v>873.5</v>
      </c>
      <c r="E47" s="260">
        <f>SUM(E4:E46)</f>
        <v>90.5</v>
      </c>
      <c r="F47" s="261">
        <f>SUM(F4:F46)</f>
        <v>11</v>
      </c>
      <c r="G47" s="262">
        <f>SUM(G4:G46)</f>
        <v>222</v>
      </c>
      <c r="H47" s="263">
        <f>SUM(H4:H46)</f>
        <v>4154.380000000001</v>
      </c>
      <c r="I47" s="260">
        <f>SUM(I4:I46)</f>
        <v>3796.1100000000019</v>
      </c>
      <c r="J47" s="260">
        <f>SUM(J4:J46)</f>
        <v>299.44999999999993</v>
      </c>
      <c r="K47" s="264">
        <f>SUM(K4:K46)</f>
        <v>58.65</v>
      </c>
      <c r="L47" s="265">
        <f>SUM(L4:L46)</f>
        <v>304.86666666666673</v>
      </c>
      <c r="M47" s="263">
        <f>SUM(M4:M46)</f>
        <v>6.5</v>
      </c>
      <c r="N47" s="261">
        <f>SUM(N4:N46)</f>
        <v>28</v>
      </c>
      <c r="O47" s="262">
        <f>SUM(O4:O46)</f>
        <v>2</v>
      </c>
      <c r="P47" s="266">
        <f>SUM(P4:P46)</f>
        <v>109</v>
      </c>
      <c r="Q47" s="267">
        <f>SUM(Q4:Q46)</f>
        <v>70</v>
      </c>
      <c r="R47" s="267">
        <f>SUM(R4:R46)</f>
        <v>48</v>
      </c>
      <c r="S47" s="268">
        <f>SUM(S4:S46)</f>
        <v>22</v>
      </c>
      <c r="T47" s="269">
        <f>SUM(T4:T46)</f>
        <v>23</v>
      </c>
      <c r="U47" s="270">
        <f>SUM(U4:U46)</f>
        <v>879.5</v>
      </c>
      <c r="V47" s="271">
        <f>SUM(V4:V46)</f>
        <v>-6</v>
      </c>
    </row>
    <row r="48" spans="1:22" ht="15" thickTop="1" x14ac:dyDescent="0.2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</row>
    <row r="49" spans="1:12" x14ac:dyDescent="0.2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</row>
    <row r="50" spans="1:12" x14ac:dyDescent="0.2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</row>
    <row r="51" spans="1:12" x14ac:dyDescent="0.2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</row>
    <row r="52" spans="1:12" x14ac:dyDescent="0.2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</row>
    <row r="53" spans="1:12" x14ac:dyDescent="0.2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</row>
    <row r="54" spans="1:12" x14ac:dyDescent="0.2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</row>
    <row r="55" spans="1:12" x14ac:dyDescent="0.2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</row>
    <row r="56" spans="1:12" x14ac:dyDescent="0.2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</row>
    <row r="57" spans="1:12" x14ac:dyDescent="0.2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</row>
    <row r="58" spans="1:12" x14ac:dyDescent="0.2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</row>
    <row r="59" spans="1:12" x14ac:dyDescent="0.2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</row>
    <row r="60" spans="1:12" x14ac:dyDescent="0.2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</row>
    <row r="61" spans="1:12" x14ac:dyDescent="0.2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</row>
    <row r="62" spans="1:12" x14ac:dyDescent="0.2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</row>
    <row r="63" spans="1:12" x14ac:dyDescent="0.2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</row>
    <row r="64" spans="1:12" x14ac:dyDescent="0.2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</row>
    <row r="65" spans="1:12" x14ac:dyDescent="0.2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</row>
    <row r="66" spans="1:12" x14ac:dyDescent="0.2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</row>
    <row r="67" spans="1:12" x14ac:dyDescent="0.2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</row>
    <row r="68" spans="1:12" x14ac:dyDescent="0.2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</row>
    <row r="69" spans="1:12" x14ac:dyDescent="0.2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</row>
    <row r="70" spans="1:12" x14ac:dyDescent="0.2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</row>
    <row r="71" spans="1:12" x14ac:dyDescent="0.2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</row>
    <row r="72" spans="1:12" x14ac:dyDescent="0.2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</row>
    <row r="73" spans="1:12" x14ac:dyDescent="0.2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</row>
    <row r="74" spans="1:12" x14ac:dyDescent="0.2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</row>
    <row r="75" spans="1:12" x14ac:dyDescent="0.2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</row>
    <row r="76" spans="1:12" x14ac:dyDescent="0.2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</row>
    <row r="77" spans="1:12" x14ac:dyDescent="0.2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</row>
    <row r="78" spans="1:12" x14ac:dyDescent="0.2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</row>
    <row r="79" spans="1:12" x14ac:dyDescent="0.2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</row>
    <row r="80" spans="1:12" x14ac:dyDescent="0.2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</row>
    <row r="81" spans="1:12" x14ac:dyDescent="0.2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</row>
    <row r="82" spans="1:12" x14ac:dyDescent="0.2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</row>
    <row r="83" spans="1:12" x14ac:dyDescent="0.2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</row>
    <row r="84" spans="1:12" x14ac:dyDescent="0.2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</row>
    <row r="85" spans="1:12" x14ac:dyDescent="0.2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</row>
    <row r="86" spans="1:12" x14ac:dyDescent="0.2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</row>
    <row r="87" spans="1:12" x14ac:dyDescent="0.2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</row>
    <row r="88" spans="1:12" x14ac:dyDescent="0.2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</row>
    <row r="89" spans="1:12" x14ac:dyDescent="0.2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</row>
    <row r="90" spans="1:12" x14ac:dyDescent="0.2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</row>
    <row r="91" spans="1:12" x14ac:dyDescent="0.2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</row>
    <row r="92" spans="1:12" x14ac:dyDescent="0.2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</row>
    <row r="93" spans="1:12" x14ac:dyDescent="0.2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</row>
    <row r="94" spans="1:12" x14ac:dyDescent="0.2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</row>
    <row r="95" spans="1:12" x14ac:dyDescent="0.2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</row>
    <row r="96" spans="1:12" x14ac:dyDescent="0.2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</row>
    <row r="97" spans="1:12" x14ac:dyDescent="0.2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</row>
    <row r="98" spans="1:12" x14ac:dyDescent="0.2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</row>
    <row r="99" spans="1:12" x14ac:dyDescent="0.2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</row>
    <row r="100" spans="1:12" x14ac:dyDescent="0.2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</row>
  </sheetData>
  <mergeCells count="1">
    <mergeCell ref="A1:L1"/>
  </mergeCells>
  <conditionalFormatting sqref="L4:L46">
    <cfRule type="cellIs" dxfId="6" priority="13" operator="greaterThan">
      <formula>0</formula>
    </cfRule>
  </conditionalFormatting>
  <conditionalFormatting sqref="M4:M46">
    <cfRule type="cellIs" dxfId="5" priority="14" operator="greaterThan">
      <formula>0</formula>
    </cfRule>
  </conditionalFormatting>
  <conditionalFormatting sqref="N4:N46">
    <cfRule type="cellIs" dxfId="4" priority="15" operator="greaterThan">
      <formula>0</formula>
    </cfRule>
  </conditionalFormatting>
  <conditionalFormatting sqref="O4:O46">
    <cfRule type="cellIs" dxfId="3" priority="16" operator="greaterThan">
      <formula>0</formula>
    </cfRule>
  </conditionalFormatting>
  <conditionalFormatting sqref="V4:V46">
    <cfRule type="cellIs" dxfId="2" priority="17" operator="greaterThan">
      <formula>0.05</formula>
    </cfRule>
  </conditionalFormatting>
  <conditionalFormatting sqref="V4:V46">
    <cfRule type="cellIs" dxfId="1" priority="18" operator="lessThan">
      <formula>-0.05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228A7-A065-4C9D-8DF0-F7B5349CD081}">
  <dimension ref="A1:R200"/>
  <sheetViews>
    <sheetView rightToLeft="1" workbookViewId="0">
      <selection activeCell="D24" sqref="D24"/>
    </sheetView>
  </sheetViews>
  <sheetFormatPr defaultRowHeight="14.25" x14ac:dyDescent="0.2"/>
  <cols>
    <col min="5" max="5" width="10.875" bestFit="1" customWidth="1"/>
    <col min="6" max="6" width="10.75" bestFit="1" customWidth="1"/>
    <col min="17" max="18" width="13.375" customWidth="1"/>
  </cols>
  <sheetData>
    <row r="1" spans="1:18" ht="18" x14ac:dyDescent="0.25">
      <c r="A1" s="44" t="s">
        <v>1763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8" x14ac:dyDescent="0.2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</row>
    <row r="3" spans="1:18" ht="15" x14ac:dyDescent="0.25">
      <c r="A3" s="46" t="s">
        <v>1709</v>
      </c>
      <c r="B3" s="46" t="s">
        <v>1532</v>
      </c>
      <c r="C3" s="46" t="s">
        <v>175</v>
      </c>
      <c r="D3" s="46" t="s">
        <v>1595</v>
      </c>
      <c r="E3" s="46" t="s">
        <v>1593</v>
      </c>
      <c r="F3" s="46" t="s">
        <v>1597</v>
      </c>
      <c r="G3" s="46" t="s">
        <v>265</v>
      </c>
      <c r="H3" s="46" t="s">
        <v>1598</v>
      </c>
      <c r="I3" s="46" t="s">
        <v>1533</v>
      </c>
      <c r="J3" s="46" t="s">
        <v>1768</v>
      </c>
      <c r="K3" s="46" t="s">
        <v>27</v>
      </c>
      <c r="L3" s="46" t="s">
        <v>22</v>
      </c>
      <c r="M3" s="46" t="s">
        <v>1600</v>
      </c>
      <c r="N3" s="46" t="s">
        <v>1531</v>
      </c>
      <c r="O3" s="46" t="s">
        <v>1601</v>
      </c>
      <c r="P3" s="46" t="s">
        <v>19</v>
      </c>
      <c r="Q3" s="123" t="s">
        <v>1020</v>
      </c>
      <c r="R3" s="123" t="s">
        <v>632</v>
      </c>
    </row>
    <row r="4" spans="1:18" x14ac:dyDescent="0.2">
      <c r="A4" s="70">
        <v>2</v>
      </c>
      <c r="B4" s="70" t="s">
        <v>871</v>
      </c>
      <c r="C4" s="70">
        <f>report!C931</f>
        <v>0</v>
      </c>
      <c r="D4" s="70">
        <f>IFERROR(INDEX(report!$K$930:$K$944,MATCH("חופש",report!$I$930:$I$944,0)),0)</f>
        <v>0</v>
      </c>
      <c r="E4" s="70">
        <f>IFERROR(INDEX(report!$K$930:$K$944,MATCH("חופשה לחיוב",report!$I$930:$I$944,0)),0)</f>
        <v>3.5</v>
      </c>
      <c r="F4" s="70">
        <f>E4</f>
        <v>3.5</v>
      </c>
      <c r="G4" s="70">
        <f>IFERROR(INDEX(report!$K$930:$K$944,MATCH("מילואים",report!$I$930:$I$944,0)),0)</f>
        <v>0</v>
      </c>
      <c r="H4" s="70">
        <f>IFERROR(INDEX(report!$K$930:$K$944,MATCH("תאונת עבודה",report!$I$930:$I$944,0)),0)</f>
        <v>0</v>
      </c>
      <c r="I4" s="70">
        <f>IFERROR(INDEX(report!$K$930:$K$944,MATCH("מחלה",report!$I$930:$I$944,0)),0)</f>
        <v>0</v>
      </c>
      <c r="J4" s="70">
        <f>IFERROR(INDEX(report!$K$930:$K$944,MATCH("מחלה לקיזוז",report!$I$930:$I$944,0)),0)</f>
        <v>0</v>
      </c>
      <c r="K4" s="70">
        <f>IFERROR(INDEX(report!$K$930:$K$944,MATCH("חג",report!$I$930:$I$944,0)),0)</f>
        <v>3</v>
      </c>
      <c r="L4" s="70">
        <f>IFERROR(INDEX(report!$K$930:$K$944,MATCH("ערב חג",report!$I$930:$I$944,0)),0)</f>
        <v>3</v>
      </c>
      <c r="M4" s="70">
        <f>IFERROR(INDEX(report!$K$930:$K$944,MATCH("חול המועד",report!$I$930:$I$944,0)),0)</f>
        <v>2</v>
      </c>
      <c r="N4" s="70">
        <f>report!C932</f>
        <v>22</v>
      </c>
      <c r="O4" s="70" t="s">
        <v>1602</v>
      </c>
      <c r="P4" s="70"/>
      <c r="Q4" s="96">
        <f>IFERROR(INDEX(report!$K$930:$K$944,MATCH("חל""ת",report!$I$930:$I$944,0)),0)</f>
        <v>0</v>
      </c>
      <c r="R4" s="96">
        <f>IFERROR(INDEX(report!$K$930:$K$944,MATCH("היעדרות",report!$I$930:$I$944,0)),0)</f>
        <v>0</v>
      </c>
    </row>
    <row r="5" spans="1:18" x14ac:dyDescent="0.2">
      <c r="A5" s="70">
        <v>7</v>
      </c>
      <c r="B5" s="70" t="s">
        <v>530</v>
      </c>
      <c r="C5" s="70">
        <f>report!C514</f>
        <v>12</v>
      </c>
      <c r="D5" s="70">
        <f>IFERROR(INDEX(report!$K$513:$K$527,MATCH("חופש",report!$I$513:$I$527,0)),0)</f>
        <v>2</v>
      </c>
      <c r="E5" s="70">
        <f>IFERROR(INDEX(report!$K$513:$K$527,MATCH("חופשה לחיוב",report!$I$513:$I$527,0)),0)</f>
        <v>4.5</v>
      </c>
      <c r="F5" s="70">
        <f>E5</f>
        <v>4.5</v>
      </c>
      <c r="G5" s="70">
        <f>IFERROR(INDEX(report!$K$513:$K$527,MATCH("מילואים",report!$I$513:$I$527,0)),0)</f>
        <v>0</v>
      </c>
      <c r="H5" s="70">
        <f>IFERROR(INDEX(report!$K$513:$K$527,MATCH("תאונת עבודה",report!$I$513:$I$527,0)),0)</f>
        <v>0</v>
      </c>
      <c r="I5" s="70">
        <f>IFERROR(INDEX(report!$K$513:$K$527,MATCH("מחלה",report!$I$513:$I$527,0)),0)</f>
        <v>0</v>
      </c>
      <c r="J5" s="70">
        <f>IFERROR(INDEX(report!$K$513:$K$527,MATCH("מחלה לקיזוז",report!$I$513:$I$527,0)),0)</f>
        <v>0</v>
      </c>
      <c r="K5" s="70">
        <f>IFERROR(INDEX(report!$K$513:$K$527,MATCH("חג",report!$I$513:$I$527,0)),0)</f>
        <v>3</v>
      </c>
      <c r="L5" s="70">
        <f>IFERROR(INDEX(report!$K$513:$K$527,MATCH("ערב חג",report!$I$513:$I$527,0)),0)</f>
        <v>3</v>
      </c>
      <c r="M5" s="70">
        <f>IFERROR(INDEX(report!$K$513:$K$527,MATCH("חול המועד",report!$I$513:$I$527,0)),0)</f>
        <v>2</v>
      </c>
      <c r="N5" s="70">
        <f>report!C515</f>
        <v>21</v>
      </c>
      <c r="O5" s="70" t="s">
        <v>1602</v>
      </c>
      <c r="P5" s="70"/>
      <c r="Q5" s="96">
        <f>IFERROR(INDEX(report!$K$513:$K$527,MATCH("חל""ת",report!$I$513:$I$527,0)),0)</f>
        <v>0</v>
      </c>
      <c r="R5" s="96">
        <f>IFERROR(INDEX(report!$K$513:$K$527,MATCH("היעדרות",report!$I$513:$I$527,0)),0)</f>
        <v>0</v>
      </c>
    </row>
    <row r="6" spans="1:18" x14ac:dyDescent="0.2">
      <c r="A6" s="70">
        <v>8</v>
      </c>
      <c r="B6" s="70" t="s">
        <v>447</v>
      </c>
      <c r="C6" s="70">
        <f>report!C358</f>
        <v>12</v>
      </c>
      <c r="D6" s="70">
        <f>IFERROR(INDEX(report!$K$357:$K$371,MATCH("חופש",report!$I$357:$I$371,0)),0)</f>
        <v>2</v>
      </c>
      <c r="E6" s="70">
        <f>IFERROR(INDEX(report!$K$357:$K$371,MATCH("חופשה לחיוב",report!$I$357:$I$371,0)),0)</f>
        <v>5.5</v>
      </c>
      <c r="F6" s="70">
        <f>E6</f>
        <v>5.5</v>
      </c>
      <c r="G6" s="70">
        <f>IFERROR(INDEX(report!$K$357:$K$371,MATCH("מילואים",report!$I$357:$I$371,0)),0)</f>
        <v>0</v>
      </c>
      <c r="H6" s="70">
        <f>IFERROR(INDEX(report!$K$357:$K$371,MATCH("תאונת עבודה",report!$I$357:$I$371,0)),0)</f>
        <v>0</v>
      </c>
      <c r="I6" s="70">
        <f>IFERROR(INDEX(report!$K$357:$K$371,MATCH("מחלה",report!$I$357:$I$371,0)),0)</f>
        <v>0</v>
      </c>
      <c r="J6" s="70">
        <f>IFERROR(INDEX(report!$K$357:$K$371,MATCH("מחלה לקיזוז",report!$I$357:$I$371,0)),0)</f>
        <v>0</v>
      </c>
      <c r="K6" s="70">
        <f>IFERROR(INDEX(report!$K$357:$K$371,MATCH("חג",report!$I$357:$I$371,0)),0)</f>
        <v>3</v>
      </c>
      <c r="L6" s="70">
        <f>IFERROR(INDEX(report!$K$357:$K$371,MATCH("ערב חג",report!$I$357:$I$371,0)),0)</f>
        <v>3</v>
      </c>
      <c r="M6" s="70">
        <f>IFERROR(INDEX(report!$K$357:$K$371,MATCH("חול המועד",report!$I$357:$I$371,0)),0)</f>
        <v>2</v>
      </c>
      <c r="N6" s="70">
        <f>report!C359</f>
        <v>22</v>
      </c>
      <c r="O6" s="70" t="s">
        <v>1602</v>
      </c>
      <c r="P6" s="70"/>
      <c r="Q6" s="96">
        <f>IFERROR(INDEX(report!$K$357:$K$371,MATCH("חל""ת",report!$I$357:$I$371,0)),0)</f>
        <v>0</v>
      </c>
      <c r="R6" s="96">
        <f>IFERROR(INDEX(report!$K$357:$K$371,MATCH("היעדרות",report!$I$357:$I$371,0)),0)</f>
        <v>0</v>
      </c>
    </row>
    <row r="7" spans="1:18" x14ac:dyDescent="0.2">
      <c r="A7" s="70">
        <v>11</v>
      </c>
      <c r="B7" s="70" t="s">
        <v>576</v>
      </c>
      <c r="C7" s="70">
        <f>report!C566</f>
        <v>12</v>
      </c>
      <c r="D7" s="70">
        <f>IFERROR(INDEX(report!$K$565:$K$579,MATCH("חופש",report!$I$565:$I$579,0)),0)</f>
        <v>0</v>
      </c>
      <c r="E7" s="70">
        <f>IFERROR(INDEX(report!$K$565:$K$579,MATCH("חופשה לחיוב",report!$I$565:$I$579,0)),0)</f>
        <v>1.5</v>
      </c>
      <c r="F7" s="70">
        <f>E7</f>
        <v>1.5</v>
      </c>
      <c r="G7" s="70">
        <f>IFERROR(INDEX(report!$K$565:$K$579,MATCH("מילואים",report!$I$565:$I$579,0)),0)</f>
        <v>0</v>
      </c>
      <c r="H7" s="70">
        <f>IFERROR(INDEX(report!$K$565:$K$579,MATCH("תאונת עבודה",report!$I$565:$I$579,0)),0)</f>
        <v>0</v>
      </c>
      <c r="I7" s="70">
        <f>IFERROR(INDEX(report!$K$565:$K$579,MATCH("מחלה",report!$I$565:$I$579,0)),0)</f>
        <v>0</v>
      </c>
      <c r="J7" s="70">
        <f>IFERROR(INDEX(report!$K$565:$K$579,MATCH("מחלה לקיזוז",report!$I$565:$I$579,0)),0)</f>
        <v>0</v>
      </c>
      <c r="K7" s="70">
        <f>IFERROR(INDEX(report!$K$565:$K$579,MATCH("חג",report!$I$565:$I$579,0)),0)</f>
        <v>3</v>
      </c>
      <c r="L7" s="70">
        <f>IFERROR(INDEX(report!$K$565:$K$579,MATCH("ערב חג",report!$I$565:$I$579,0)),0)</f>
        <v>3</v>
      </c>
      <c r="M7" s="70">
        <f>IFERROR(INDEX(report!$K$565:$K$579,MATCH("חול המועד",report!$I$565:$I$579,0)),0)</f>
        <v>2</v>
      </c>
      <c r="N7" s="70">
        <f>report!C567</f>
        <v>20</v>
      </c>
      <c r="O7" s="70" t="s">
        <v>1602</v>
      </c>
      <c r="P7" s="70"/>
      <c r="Q7" s="96">
        <f>IFERROR(INDEX(report!$K$565:$K$579,MATCH("חל""ת",report!$I$565:$I$579,0)),0)</f>
        <v>0</v>
      </c>
      <c r="R7" s="96">
        <f>IFERROR(INDEX(report!$K$565:$K$579,MATCH("היעדרות",report!$I$565:$I$579,0)),0)</f>
        <v>2</v>
      </c>
    </row>
    <row r="8" spans="1:18" x14ac:dyDescent="0.2">
      <c r="A8" s="70">
        <v>22</v>
      </c>
      <c r="B8" s="70" t="s">
        <v>298</v>
      </c>
      <c r="C8" s="70">
        <f>report!C201</f>
        <v>14</v>
      </c>
      <c r="D8" s="70">
        <f>IFERROR(INDEX(report!$K$200:$K$214,MATCH("חופש",report!$I$200:$I$214,0)),0)</f>
        <v>2</v>
      </c>
      <c r="E8" s="70">
        <f>IFERROR(INDEX(report!$K$200:$K$214,MATCH("חופשה לחיוב",report!$I$200:$I$214,0)),0)</f>
        <v>3.5</v>
      </c>
      <c r="F8" s="70">
        <f>E8</f>
        <v>3.5</v>
      </c>
      <c r="G8" s="70">
        <f>IFERROR(INDEX(report!$K$200:$K$214,MATCH("מילואים",report!$I$200:$I$214,0)),0)</f>
        <v>0</v>
      </c>
      <c r="H8" s="70">
        <f>IFERROR(INDEX(report!$K$200:$K$214,MATCH("תאונת עבודה",report!$I$200:$I$214,0)),0)</f>
        <v>0</v>
      </c>
      <c r="I8" s="70">
        <f>IFERROR(INDEX(report!$K$200:$K$214,MATCH("מחלה",report!$I$200:$I$214,0)),0)</f>
        <v>0</v>
      </c>
      <c r="J8" s="70">
        <f>IFERROR(INDEX(report!$K$200:$K$214,MATCH("מחלה לקיזוז",report!$I$200:$I$214,0)),0)</f>
        <v>0</v>
      </c>
      <c r="K8" s="70">
        <f>IFERROR(INDEX(report!$K$200:$K$214,MATCH("חג",report!$I$200:$I$214,0)),0)</f>
        <v>3</v>
      </c>
      <c r="L8" s="70">
        <f>IFERROR(INDEX(report!$K$200:$K$214,MATCH("ערב חג",report!$I$200:$I$214,0)),0)</f>
        <v>3</v>
      </c>
      <c r="M8" s="70">
        <f>IFERROR(INDEX(report!$K$200:$K$214,MATCH("חול המועד",report!$I$200:$I$214,0)),0)</f>
        <v>0</v>
      </c>
      <c r="N8" s="70">
        <f>report!C202</f>
        <v>22</v>
      </c>
      <c r="O8" s="70" t="s">
        <v>1602</v>
      </c>
      <c r="P8" s="70"/>
      <c r="Q8" s="96">
        <f>IFERROR(INDEX(report!$K$200:$K$214,MATCH("חל""ת",report!$I$200:$I$214,0)),0)</f>
        <v>0</v>
      </c>
      <c r="R8" s="96">
        <f>IFERROR(INDEX(report!$K$200:$K$214,MATCH("היעדרות",report!$I$200:$I$214,0)),0)</f>
        <v>0</v>
      </c>
    </row>
    <row r="9" spans="1:18" x14ac:dyDescent="0.2">
      <c r="A9" s="70">
        <v>54</v>
      </c>
      <c r="B9" s="70" t="s">
        <v>984</v>
      </c>
      <c r="C9" s="70">
        <f>report!C1142</f>
        <v>10</v>
      </c>
      <c r="D9" s="70">
        <f>IFERROR(INDEX(report!$K$1141:$K$1155,MATCH("חופש",report!$I$1141:$I$1155,0)),0)</f>
        <v>1</v>
      </c>
      <c r="E9" s="70">
        <f>IFERROR(INDEX(report!$K$1141:$K$1155,MATCH("חופשה לחיוב",report!$I$1141:$I$1155,0)),0)</f>
        <v>4</v>
      </c>
      <c r="F9" s="70">
        <f>E9</f>
        <v>4</v>
      </c>
      <c r="G9" s="70">
        <f>IFERROR(INDEX(report!$K$1141:$K$1155,MATCH("מילואים",report!$I$1141:$I$1155,0)),0)</f>
        <v>0</v>
      </c>
      <c r="H9" s="70">
        <f>IFERROR(INDEX(report!$K$1141:$K$1155,MATCH("תאונת עבודה",report!$I$1141:$I$1155,0)),0)</f>
        <v>0</v>
      </c>
      <c r="I9" s="70">
        <f>IFERROR(INDEX(report!$K$1141:$K$1155,MATCH("מחלה",report!$I$1141:$I$1155,0)),0)</f>
        <v>4</v>
      </c>
      <c r="J9" s="70">
        <f>IFERROR(INDEX(report!$K$1141:$K$1155,MATCH("מחלה לקיזוז",report!$I$1141:$I$1155,0)),0)</f>
        <v>2</v>
      </c>
      <c r="K9" s="70">
        <f>IFERROR(INDEX(report!$K$1141:$K$1155,MATCH("חג",report!$I$1141:$I$1155,0)),0)</f>
        <v>3</v>
      </c>
      <c r="L9" s="70">
        <f>IFERROR(INDEX(report!$K$1141:$K$1155,MATCH("ערב חג",report!$I$1141:$I$1155,0)),0)</f>
        <v>2</v>
      </c>
      <c r="M9" s="70">
        <f>IFERROR(INDEX(report!$K$1141:$K$1155,MATCH("חול המועד",report!$I$1141:$I$1155,0)),0)</f>
        <v>2</v>
      </c>
      <c r="N9" s="70">
        <f>report!C1143</f>
        <v>18</v>
      </c>
      <c r="O9" s="70" t="s">
        <v>1602</v>
      </c>
      <c r="P9" s="70"/>
      <c r="Q9" s="96">
        <f>IFERROR(INDEX(report!$K$1141:$K$1155,MATCH("חל""ת",report!$I$1141:$I$1155,0)),0)</f>
        <v>2</v>
      </c>
      <c r="R9" s="96">
        <f>IFERROR(INDEX(report!$K$1141:$K$1155,MATCH("היעדרות",report!$I$1141:$I$1155,0)),0)</f>
        <v>0</v>
      </c>
    </row>
    <row r="10" spans="1:18" x14ac:dyDescent="0.2">
      <c r="A10" s="70">
        <v>60</v>
      </c>
      <c r="B10" s="70" t="s">
        <v>1236</v>
      </c>
      <c r="C10" s="70">
        <f>report!C1612</f>
        <v>15</v>
      </c>
      <c r="D10" s="70">
        <f>IFERROR(INDEX(report!$K$1611:$K$1625,MATCH("חופש",report!$I$1611:$I$1625,0)),0)</f>
        <v>2</v>
      </c>
      <c r="E10" s="70">
        <f>IFERROR(INDEX(report!$K$1611:$K$1625,MATCH("חופשה לחיוב",report!$I$1611:$I$1625,0)),0)</f>
        <v>3</v>
      </c>
      <c r="F10" s="70">
        <f>E10</f>
        <v>3</v>
      </c>
      <c r="G10" s="70">
        <f>IFERROR(INDEX(report!$K$1611:$K$1625,MATCH("מילואים",report!$I$1611:$I$1625,0)),0)</f>
        <v>0</v>
      </c>
      <c r="H10" s="70">
        <f>IFERROR(INDEX(report!$K$1611:$K$1625,MATCH("תאונת עבודה",report!$I$1611:$I$1625,0)),0)</f>
        <v>0</v>
      </c>
      <c r="I10" s="70">
        <f>IFERROR(INDEX(report!$K$1611:$K$1625,MATCH("מחלה",report!$I$1611:$I$1625,0)),0)</f>
        <v>0</v>
      </c>
      <c r="J10" s="70">
        <f>IFERROR(INDEX(report!$K$1611:$K$1625,MATCH("מחלה לקיזוז",report!$I$1611:$I$1625,0)),0)</f>
        <v>0</v>
      </c>
      <c r="K10" s="70">
        <f>IFERROR(INDEX(report!$K$1611:$K$1625,MATCH("חג",report!$I$1611:$I$1625,0)),0)</f>
        <v>3</v>
      </c>
      <c r="L10" s="70">
        <f>IFERROR(INDEX(report!$K$1611:$K$1625,MATCH("ערב חג",report!$I$1611:$I$1625,0)),0)</f>
        <v>2</v>
      </c>
      <c r="M10" s="70">
        <f>IFERROR(INDEX(report!$K$1611:$K$1625,MATCH("חול המועד",report!$I$1611:$I$1625,0)),0)</f>
        <v>0</v>
      </c>
      <c r="N10" s="70">
        <f>report!C1613</f>
        <v>22</v>
      </c>
      <c r="O10" s="70" t="s">
        <v>1602</v>
      </c>
      <c r="P10" s="70"/>
      <c r="Q10" s="96">
        <f>IFERROR(INDEX(report!$K$1611:$K$1625,MATCH("חל""ת",report!$I$1611:$I$1625,0)),0)</f>
        <v>0</v>
      </c>
      <c r="R10" s="96">
        <f>IFERROR(INDEX(report!$K$1611:$K$1625,MATCH("היעדרות",report!$I$1611:$I$1625,0)),0)</f>
        <v>0</v>
      </c>
    </row>
    <row r="11" spans="1:18" x14ac:dyDescent="0.2">
      <c r="A11" s="70">
        <v>62</v>
      </c>
      <c r="B11" s="70" t="s">
        <v>1360</v>
      </c>
      <c r="C11" s="70">
        <f>report!C1924</f>
        <v>3</v>
      </c>
      <c r="D11" s="70">
        <f>IFERROR(INDEX(report!$K$1923:$K$1937,MATCH("חופש",report!$I$1923:$I$1937,0)),0)</f>
        <v>2</v>
      </c>
      <c r="E11" s="70">
        <f>IFERROR(INDEX(report!$K$1923:$K$1937,MATCH("חופשה לחיוב",report!$I$1923:$I$1937,0)),0)</f>
        <v>5</v>
      </c>
      <c r="F11" s="70">
        <f>E11</f>
        <v>5</v>
      </c>
      <c r="G11" s="70">
        <f>IFERROR(INDEX(report!$K$1923:$K$1937,MATCH("מילואים",report!$I$1923:$I$1937,0)),0)</f>
        <v>15</v>
      </c>
      <c r="H11" s="70">
        <f>IFERROR(INDEX(report!$K$1923:$K$1937,MATCH("תאונת עבודה",report!$I$1923:$I$1937,0)),0)</f>
        <v>0</v>
      </c>
      <c r="I11" s="70">
        <f>IFERROR(INDEX(report!$K$1923:$K$1937,MATCH("מחלה",report!$I$1923:$I$1937,0)),0)</f>
        <v>0</v>
      </c>
      <c r="J11" s="70">
        <f>IFERROR(INDEX(report!$K$1923:$K$1937,MATCH("מחלה לקיזוז",report!$I$1923:$I$1937,0)),0)</f>
        <v>0</v>
      </c>
      <c r="K11" s="70">
        <f>IFERROR(INDEX(report!$K$1923:$K$1937,MATCH("חג",report!$I$1923:$I$1937,0)),0)</f>
        <v>3</v>
      </c>
      <c r="L11" s="70">
        <f>IFERROR(INDEX(report!$K$1923:$K$1937,MATCH("ערב חג",report!$I$1923:$I$1937,0)),0)</f>
        <v>2</v>
      </c>
      <c r="M11" s="70">
        <f>IFERROR(INDEX(report!$K$1923:$K$1937,MATCH("חול המועד",report!$I$1923:$I$1937,0)),0)</f>
        <v>2</v>
      </c>
      <c r="N11" s="70">
        <f>report!C1925</f>
        <v>22</v>
      </c>
      <c r="O11" s="70" t="s">
        <v>1602</v>
      </c>
      <c r="P11" s="70"/>
      <c r="Q11" s="96">
        <f>IFERROR(INDEX(report!$K$1923:$K$1937,MATCH("חל""ת",report!$I$1923:$I$1937,0)),0)</f>
        <v>0</v>
      </c>
      <c r="R11" s="96">
        <f>IFERROR(INDEX(report!$K$1923:$K$1937,MATCH("היעדרות",report!$I$1923:$I$1937,0)),0)</f>
        <v>0</v>
      </c>
    </row>
    <row r="12" spans="1:18" x14ac:dyDescent="0.2">
      <c r="A12" s="70">
        <v>64</v>
      </c>
      <c r="B12" s="70" t="s">
        <v>1467</v>
      </c>
      <c r="C12" s="70">
        <f>report!C2188</f>
        <v>12</v>
      </c>
      <c r="D12" s="70">
        <f>IFERROR(INDEX(report!$K$2187:$K$2201,MATCH("חופש",report!$I$2187:$I$2201,0)),0)</f>
        <v>0</v>
      </c>
      <c r="E12" s="70">
        <f>IFERROR(INDEX(report!$K$2187:$K$2201,MATCH("חופשה לחיוב",report!$I$2187:$I$2201,0)),0)</f>
        <v>3</v>
      </c>
      <c r="F12" s="70">
        <f>E12</f>
        <v>3</v>
      </c>
      <c r="G12" s="70">
        <f>IFERROR(INDEX(report!$K$2187:$K$2201,MATCH("מילואים",report!$I$2187:$I$2201,0)),0)</f>
        <v>1</v>
      </c>
      <c r="H12" s="70">
        <f>IFERROR(INDEX(report!$K$2187:$K$2201,MATCH("תאונת עבודה",report!$I$2187:$I$2201,0)),0)</f>
        <v>0</v>
      </c>
      <c r="I12" s="70">
        <f>IFERROR(INDEX(report!$K$2187:$K$2201,MATCH("מחלה",report!$I$2187:$I$2201,0)),0)</f>
        <v>2</v>
      </c>
      <c r="J12" s="70">
        <f>IFERROR(INDEX(report!$K$2187:$K$2201,MATCH("מחלה לקיזוז",report!$I$2187:$I$2201,0)),0)</f>
        <v>1.5</v>
      </c>
      <c r="K12" s="70">
        <f>IFERROR(INDEX(report!$K$2187:$K$2201,MATCH("חג",report!$I$2187:$I$2201,0)),0)</f>
        <v>3</v>
      </c>
      <c r="L12" s="70">
        <f>IFERROR(INDEX(report!$K$2187:$K$2201,MATCH("ערב חג",report!$I$2187:$I$2201,0)),0)</f>
        <v>2</v>
      </c>
      <c r="M12" s="70">
        <f>IFERROR(INDEX(report!$K$2187:$K$2201,MATCH("חול המועד",report!$I$2187:$I$2201,0)),0)</f>
        <v>2</v>
      </c>
      <c r="N12" s="70">
        <f>report!C2189</f>
        <v>20.5</v>
      </c>
      <c r="O12" s="70" t="s">
        <v>1602</v>
      </c>
      <c r="P12" s="70"/>
      <c r="Q12" s="96">
        <f>IFERROR(INDEX(report!$K$2187:$K$2201,MATCH("חל""ת",report!$I$2187:$I$2201,0)),0)</f>
        <v>0</v>
      </c>
      <c r="R12" s="96">
        <f>IFERROR(INDEX(report!$K$2187:$K$2201,MATCH("היעדרות",report!$I$2187:$I$2201,0)),0)</f>
        <v>0</v>
      </c>
    </row>
    <row r="13" spans="1:18" x14ac:dyDescent="0.2">
      <c r="A13" s="70">
        <v>65</v>
      </c>
      <c r="B13" s="70" t="s">
        <v>751</v>
      </c>
      <c r="C13" s="70">
        <f>report!C775</f>
        <v>18</v>
      </c>
      <c r="D13" s="70">
        <f>IFERROR(INDEX(report!$K$774:$K$788,MATCH("חופש",report!$I$774:$I$788,0)),0)</f>
        <v>0</v>
      </c>
      <c r="E13" s="70">
        <f>IFERROR(INDEX(report!$K$774:$K$788,MATCH("חופשה לחיוב",report!$I$774:$I$788,0)),0)</f>
        <v>0.5</v>
      </c>
      <c r="F13" s="70">
        <f>E13</f>
        <v>0.5</v>
      </c>
      <c r="G13" s="70">
        <f>IFERROR(INDEX(report!$K$774:$K$788,MATCH("מילואים",report!$I$774:$I$788,0)),0)</f>
        <v>0</v>
      </c>
      <c r="H13" s="70">
        <f>IFERROR(INDEX(report!$K$774:$K$788,MATCH("תאונת עבודה",report!$I$774:$I$788,0)),0)</f>
        <v>0</v>
      </c>
      <c r="I13" s="70">
        <f>IFERROR(INDEX(report!$K$774:$K$788,MATCH("מחלה",report!$I$774:$I$788,0)),0)</f>
        <v>0</v>
      </c>
      <c r="J13" s="70">
        <f>IFERROR(INDEX(report!$K$774:$K$788,MATCH("מחלה לקיזוז",report!$I$774:$I$788,0)),0)</f>
        <v>0</v>
      </c>
      <c r="K13" s="70">
        <f>IFERROR(INDEX(report!$K$774:$K$788,MATCH("חג",report!$I$774:$I$788,0)),0)</f>
        <v>3</v>
      </c>
      <c r="L13" s="70">
        <f>IFERROR(INDEX(report!$K$774:$K$788,MATCH("ערב חג",report!$I$774:$I$788,0)),0)</f>
        <v>1</v>
      </c>
      <c r="M13" s="70">
        <f>IFERROR(INDEX(report!$K$774:$K$788,MATCH("חול המועד",report!$I$774:$I$788,0)),0)</f>
        <v>2</v>
      </c>
      <c r="N13" s="70">
        <f>report!C776</f>
        <v>22</v>
      </c>
      <c r="O13" s="70" t="s">
        <v>1602</v>
      </c>
      <c r="P13" s="70"/>
      <c r="Q13" s="96">
        <f>IFERROR(INDEX(report!$K$774:$K$788,MATCH("חל""ת",report!$I$774:$I$788,0)),0)</f>
        <v>0</v>
      </c>
      <c r="R13" s="96">
        <f>IFERROR(INDEX(report!$K$774:$K$788,MATCH("היעדרות",report!$I$774:$I$788,0)),0)</f>
        <v>0</v>
      </c>
    </row>
    <row r="14" spans="1:18" x14ac:dyDescent="0.2">
      <c r="A14" s="70">
        <v>66</v>
      </c>
      <c r="B14" s="70" t="s">
        <v>1366</v>
      </c>
      <c r="C14" s="70">
        <f>report!C1980</f>
        <v>17</v>
      </c>
      <c r="D14" s="70">
        <f>IFERROR(INDEX(report!$K$1979:$K$1993,MATCH("חופש",report!$I$1979:$I$1993,0)),0)</f>
        <v>0</v>
      </c>
      <c r="E14" s="70">
        <f>IFERROR(INDEX(report!$K$1979:$K$1993,MATCH("חופשה לחיוב",report!$I$1979:$I$1993,0)),0)</f>
        <v>2</v>
      </c>
      <c r="F14" s="70">
        <f>E14</f>
        <v>2</v>
      </c>
      <c r="G14" s="70">
        <f>IFERROR(INDEX(report!$K$1979:$K$1993,MATCH("מילואים",report!$I$1979:$I$1993,0)),0)</f>
        <v>0</v>
      </c>
      <c r="H14" s="70">
        <f>IFERROR(INDEX(report!$K$1979:$K$1993,MATCH("תאונת עבודה",report!$I$1979:$I$1993,0)),0)</f>
        <v>0</v>
      </c>
      <c r="I14" s="70">
        <f>IFERROR(INDEX(report!$K$1979:$K$1993,MATCH("מחלה",report!$I$1979:$I$1993,0)),0)</f>
        <v>0</v>
      </c>
      <c r="J14" s="70">
        <f>IFERROR(INDEX(report!$K$1979:$K$1993,MATCH("מחלה לקיזוז",report!$I$1979:$I$1993,0)),0)</f>
        <v>0</v>
      </c>
      <c r="K14" s="70">
        <f>IFERROR(INDEX(report!$K$1979:$K$1993,MATCH("חג",report!$I$1979:$I$1993,0)),0)</f>
        <v>3</v>
      </c>
      <c r="L14" s="70">
        <f>IFERROR(INDEX(report!$K$1979:$K$1993,MATCH("ערב חג",report!$I$1979:$I$1993,0)),0)</f>
        <v>0</v>
      </c>
      <c r="M14" s="70">
        <f>IFERROR(INDEX(report!$K$1979:$K$1993,MATCH("חול המועד",report!$I$1979:$I$1993,0)),0)</f>
        <v>2</v>
      </c>
      <c r="N14" s="70">
        <f>report!C1981</f>
        <v>22</v>
      </c>
      <c r="O14" s="70" t="s">
        <v>1602</v>
      </c>
      <c r="P14" s="70"/>
      <c r="Q14" s="96">
        <f>IFERROR(INDEX(report!$K$1979:$K$1993,MATCH("חל""ת",report!$I$1979:$I$1993,0)),0)</f>
        <v>0</v>
      </c>
      <c r="R14" s="96">
        <f>IFERROR(INDEX(report!$K$1979:$K$1993,MATCH("היעדרות",report!$I$1979:$I$1993,0)),0)</f>
        <v>0</v>
      </c>
    </row>
    <row r="15" spans="1:18" x14ac:dyDescent="0.2">
      <c r="A15" s="70">
        <v>75</v>
      </c>
      <c r="B15" s="70" t="s">
        <v>1285</v>
      </c>
      <c r="C15" s="70">
        <f>report!C1716</f>
        <v>11</v>
      </c>
      <c r="D15" s="70">
        <f>IFERROR(INDEX(report!$K$1715:$K$1729,MATCH("חופש",report!$I$1715:$I$1729,0)),0)</f>
        <v>0</v>
      </c>
      <c r="E15" s="70">
        <f>IFERROR(INDEX(report!$K$1715:$K$1729,MATCH("חופשה לחיוב",report!$I$1715:$I$1729,0)),0)</f>
        <v>0</v>
      </c>
      <c r="F15" s="70">
        <f>E15</f>
        <v>0</v>
      </c>
      <c r="G15" s="70">
        <f>IFERROR(INDEX(report!$K$1715:$K$1729,MATCH("מילואים",report!$I$1715:$I$1729,0)),0)</f>
        <v>30</v>
      </c>
      <c r="H15" s="70">
        <f>IFERROR(INDEX(report!$K$1715:$K$1729,MATCH("תאונת עבודה",report!$I$1715:$I$1729,0)),0)</f>
        <v>0</v>
      </c>
      <c r="I15" s="70">
        <f>IFERROR(INDEX(report!$K$1715:$K$1729,MATCH("מחלה",report!$I$1715:$I$1729,0)),0)</f>
        <v>0</v>
      </c>
      <c r="J15" s="70">
        <f>IFERROR(INDEX(report!$K$1715:$K$1729,MATCH("מחלה לקיזוז",report!$I$1715:$I$1729,0)),0)</f>
        <v>0</v>
      </c>
      <c r="K15" s="70">
        <f>IFERROR(INDEX(report!$K$1715:$K$1729,MATCH("חג",report!$I$1715:$I$1729,0)),0)</f>
        <v>0</v>
      </c>
      <c r="L15" s="70">
        <f>IFERROR(INDEX(report!$K$1715:$K$1729,MATCH("ערב חג",report!$I$1715:$I$1729,0)),0)</f>
        <v>0</v>
      </c>
      <c r="M15" s="70">
        <f>IFERROR(INDEX(report!$K$1715:$K$1729,MATCH("חול המועד",report!$I$1715:$I$1729,0)),0)</f>
        <v>0</v>
      </c>
      <c r="N15" s="70">
        <f>report!C1717</f>
        <v>22</v>
      </c>
      <c r="O15" s="70" t="s">
        <v>1602</v>
      </c>
      <c r="P15" s="70"/>
      <c r="Q15" s="96">
        <f>IFERROR(INDEX(report!$K$1715:$K$1729,MATCH("חל""ת",report!$I$1715:$I$1729,0)),0)</f>
        <v>0</v>
      </c>
      <c r="R15" s="96">
        <f>IFERROR(INDEX(report!$K$1715:$K$1729,MATCH("היעדרות",report!$I$1715:$I$1729,0)),0)</f>
        <v>0</v>
      </c>
    </row>
    <row r="16" spans="1:18" x14ac:dyDescent="0.2">
      <c r="A16" s="70">
        <v>76</v>
      </c>
      <c r="B16" s="70" t="s">
        <v>1403</v>
      </c>
      <c r="C16" s="70">
        <f>report!C2032</f>
        <v>8</v>
      </c>
      <c r="D16" s="70">
        <f>IFERROR(INDEX(report!$K$2031:$K$2045,MATCH("חופש",report!$I$2031:$I$2045,0)),0)</f>
        <v>0</v>
      </c>
      <c r="E16" s="70">
        <f>IFERROR(INDEX(report!$K$2031:$K$2045,MATCH("חופשה לחיוב",report!$I$2031:$I$2045,0)),0)</f>
        <v>0</v>
      </c>
      <c r="F16" s="70">
        <f>E16</f>
        <v>0</v>
      </c>
      <c r="G16" s="70">
        <f>IFERROR(INDEX(report!$K$2031:$K$2045,MATCH("מילואים",report!$I$2031:$I$2045,0)),0)</f>
        <v>23</v>
      </c>
      <c r="H16" s="70">
        <f>IFERROR(INDEX(report!$K$2031:$K$2045,MATCH("תאונת עבודה",report!$I$2031:$I$2045,0)),0)</f>
        <v>0</v>
      </c>
      <c r="I16" s="70">
        <f>IFERROR(INDEX(report!$K$2031:$K$2045,MATCH("מחלה",report!$I$2031:$I$2045,0)),0)</f>
        <v>0</v>
      </c>
      <c r="J16" s="70">
        <f>IFERROR(INDEX(report!$K$2031:$K$2045,MATCH("מחלה לקיזוז",report!$I$2031:$I$2045,0)),0)</f>
        <v>0</v>
      </c>
      <c r="K16" s="70">
        <f>IFERROR(INDEX(report!$K$2031:$K$2045,MATCH("חג",report!$I$2031:$I$2045,0)),0)</f>
        <v>3</v>
      </c>
      <c r="L16" s="70">
        <f>IFERROR(INDEX(report!$K$2031:$K$2045,MATCH("ערב חג",report!$I$2031:$I$2045,0)),0)</f>
        <v>0</v>
      </c>
      <c r="M16" s="70">
        <f>IFERROR(INDEX(report!$K$2031:$K$2045,MATCH("חול המועד",report!$I$2031:$I$2045,0)),0)</f>
        <v>0</v>
      </c>
      <c r="N16" s="70">
        <f>report!C2033</f>
        <v>22</v>
      </c>
      <c r="O16" s="70" t="s">
        <v>1602</v>
      </c>
      <c r="P16" s="70"/>
      <c r="Q16" s="96">
        <f>IFERROR(INDEX(report!$K$2031:$K$2045,MATCH("חל""ת",report!$I$2031:$I$2045,0)),0)</f>
        <v>0</v>
      </c>
      <c r="R16" s="96">
        <f>IFERROR(INDEX(report!$K$2031:$K$2045,MATCH("היעדרות",report!$I$2031:$I$2045,0)),0)</f>
        <v>0</v>
      </c>
    </row>
    <row r="17" spans="1:18" x14ac:dyDescent="0.2">
      <c r="A17" s="70">
        <v>78</v>
      </c>
      <c r="B17" s="70" t="s">
        <v>943</v>
      </c>
      <c r="C17" s="70">
        <f>report!C1090</f>
        <v>16</v>
      </c>
      <c r="D17" s="70">
        <f>IFERROR(INDEX(report!$K$1089:$K$1103,MATCH("חופש",report!$I$1089:$I$1103,0)),0)</f>
        <v>1</v>
      </c>
      <c r="E17" s="70">
        <f>IFERROR(INDEX(report!$K$1089:$K$1103,MATCH("חופשה לחיוב",report!$I$1089:$I$1103,0)),0)</f>
        <v>2</v>
      </c>
      <c r="F17" s="70">
        <f>E17</f>
        <v>2</v>
      </c>
      <c r="G17" s="70">
        <f>IFERROR(INDEX(report!$K$1089:$K$1103,MATCH("מילואים",report!$I$1089:$I$1103,0)),0)</f>
        <v>0</v>
      </c>
      <c r="H17" s="70">
        <f>IFERROR(INDEX(report!$K$1089:$K$1103,MATCH("תאונת עבודה",report!$I$1089:$I$1103,0)),0)</f>
        <v>0</v>
      </c>
      <c r="I17" s="70">
        <f>IFERROR(INDEX(report!$K$1089:$K$1103,MATCH("מחלה",report!$I$1089:$I$1103,0)),0)</f>
        <v>0</v>
      </c>
      <c r="J17" s="70">
        <f>IFERROR(INDEX(report!$K$1089:$K$1103,MATCH("מחלה לקיזוז",report!$I$1089:$I$1103,0)),0)</f>
        <v>0</v>
      </c>
      <c r="K17" s="70">
        <f>IFERROR(INDEX(report!$K$1089:$K$1103,MATCH("חג",report!$I$1089:$I$1103,0)),0)</f>
        <v>3</v>
      </c>
      <c r="L17" s="70">
        <f>IFERROR(INDEX(report!$K$1089:$K$1103,MATCH("ערב חג",report!$I$1089:$I$1103,0)),0)</f>
        <v>2</v>
      </c>
      <c r="M17" s="70">
        <f>IFERROR(INDEX(report!$K$1089:$K$1103,MATCH("חול המועד",report!$I$1089:$I$1103,0)),0)</f>
        <v>2</v>
      </c>
      <c r="N17" s="70">
        <f>report!C1091</f>
        <v>22</v>
      </c>
      <c r="O17" s="70" t="s">
        <v>1602</v>
      </c>
      <c r="P17" s="70"/>
      <c r="Q17" s="96">
        <f>IFERROR(INDEX(report!$K$1089:$K$1103,MATCH("חל""ת",report!$I$1089:$I$1103,0)),0)</f>
        <v>0</v>
      </c>
      <c r="R17" s="96">
        <f>IFERROR(INDEX(report!$K$1089:$K$1103,MATCH("היעדרות",report!$I$1089:$I$1103,0)),0)</f>
        <v>0</v>
      </c>
    </row>
    <row r="18" spans="1:18" x14ac:dyDescent="0.2">
      <c r="A18" s="70">
        <v>86</v>
      </c>
      <c r="B18" s="70" t="s">
        <v>1197</v>
      </c>
      <c r="C18" s="70">
        <f>report!C1508</f>
        <v>14</v>
      </c>
      <c r="D18" s="70">
        <f>IFERROR(INDEX(report!$K$1507:$K$1521,MATCH("חופש",report!$I$1507:$I$1521,0)),0)</f>
        <v>0</v>
      </c>
      <c r="E18" s="70">
        <f>IFERROR(INDEX(report!$K$1507:$K$1521,MATCH("חופשה לחיוב",report!$I$1507:$I$1521,0)),0)</f>
        <v>0</v>
      </c>
      <c r="F18" s="70">
        <f>E18</f>
        <v>0</v>
      </c>
      <c r="G18" s="70">
        <f>IFERROR(INDEX(report!$K$1507:$K$1521,MATCH("מילואים",report!$I$1507:$I$1521,0)),0)</f>
        <v>23</v>
      </c>
      <c r="H18" s="70">
        <f>IFERROR(INDEX(report!$K$1507:$K$1521,MATCH("תאונת עבודה",report!$I$1507:$I$1521,0)),0)</f>
        <v>0</v>
      </c>
      <c r="I18" s="70">
        <f>IFERROR(INDEX(report!$K$1507:$K$1521,MATCH("מחלה",report!$I$1507:$I$1521,0)),0)</f>
        <v>0</v>
      </c>
      <c r="J18" s="70">
        <f>IFERROR(INDEX(report!$K$1507:$K$1521,MATCH("מחלה לקיזוז",report!$I$1507:$I$1521,0)),0)</f>
        <v>0</v>
      </c>
      <c r="K18" s="70">
        <f>IFERROR(INDEX(report!$K$1507:$K$1521,MATCH("חג",report!$I$1507:$I$1521,0)),0)</f>
        <v>3</v>
      </c>
      <c r="L18" s="70">
        <f>IFERROR(INDEX(report!$K$1507:$K$1521,MATCH("ערב חג",report!$I$1507:$I$1521,0)),0)</f>
        <v>0</v>
      </c>
      <c r="M18" s="70">
        <f>IFERROR(INDEX(report!$K$1507:$K$1521,MATCH("חול המועד",report!$I$1507:$I$1521,0)),0)</f>
        <v>0</v>
      </c>
      <c r="N18" s="70">
        <f>report!C1509</f>
        <v>22</v>
      </c>
      <c r="O18" s="70" t="s">
        <v>1602</v>
      </c>
      <c r="P18" s="70"/>
      <c r="Q18" s="96">
        <f>IFERROR(INDEX(report!$K$1507:$K$1521,MATCH("חל""ת",report!$I$1507:$I$1521,0)),0)</f>
        <v>0</v>
      </c>
      <c r="R18" s="96">
        <f>IFERROR(INDEX(report!$K$1507:$K$1521,MATCH("היעדרות",report!$I$1507:$I$1521,0)),0)</f>
        <v>0</v>
      </c>
    </row>
    <row r="19" spans="1:18" x14ac:dyDescent="0.2">
      <c r="A19" s="70">
        <v>87</v>
      </c>
      <c r="B19" s="70" t="s">
        <v>1226</v>
      </c>
      <c r="C19" s="70">
        <f>report!C1560</f>
        <v>6</v>
      </c>
      <c r="D19" s="70">
        <f>IFERROR(INDEX(report!$K$1559:$K$1573,MATCH("חופש",report!$I$1559:$I$1573,0)),0)</f>
        <v>0</v>
      </c>
      <c r="E19" s="70">
        <f>IFERROR(INDEX(report!$K$1559:$K$1573,MATCH("חופשה לחיוב",report!$I$1559:$I$1573,0)),0)</f>
        <v>0</v>
      </c>
      <c r="F19" s="70">
        <f>E19</f>
        <v>0</v>
      </c>
      <c r="G19" s="70">
        <f>IFERROR(INDEX(report!$K$1559:$K$1573,MATCH("מילואים",report!$I$1559:$I$1573,0)),0)</f>
        <v>0</v>
      </c>
      <c r="H19" s="70">
        <f>IFERROR(INDEX(report!$K$1559:$K$1573,MATCH("תאונת עבודה",report!$I$1559:$I$1573,0)),0)</f>
        <v>0</v>
      </c>
      <c r="I19" s="70">
        <f>IFERROR(INDEX(report!$K$1559:$K$1573,MATCH("מחלה",report!$I$1559:$I$1573,0)),0)</f>
        <v>0</v>
      </c>
      <c r="J19" s="70">
        <f>IFERROR(INDEX(report!$K$1559:$K$1573,MATCH("מחלה לקיזוז",report!$I$1559:$I$1573,0)),0)</f>
        <v>0</v>
      </c>
      <c r="K19" s="70">
        <f>IFERROR(INDEX(report!$K$1559:$K$1573,MATCH("חג",report!$I$1559:$I$1573,0)),0)</f>
        <v>1</v>
      </c>
      <c r="L19" s="70">
        <f>IFERROR(INDEX(report!$K$1559:$K$1573,MATCH("ערב חג",report!$I$1559:$I$1573,0)),0)</f>
        <v>0</v>
      </c>
      <c r="M19" s="70">
        <f>IFERROR(INDEX(report!$K$1559:$K$1573,MATCH("חול המועד",report!$I$1559:$I$1573,0)),0)</f>
        <v>0</v>
      </c>
      <c r="N19" s="70">
        <f>report!C1561</f>
        <v>7</v>
      </c>
      <c r="O19" s="70" t="s">
        <v>1602</v>
      </c>
      <c r="P19" s="70"/>
      <c r="Q19" s="96">
        <f>IFERROR(INDEX(report!$K$1559:$K$1573,MATCH("חל""ת",report!$I$1559:$I$1573,0)),0)</f>
        <v>15</v>
      </c>
      <c r="R19" s="96">
        <f>IFERROR(INDEX(report!$K$1559:$K$1573,MATCH("היעדרות",report!$I$1559:$I$1573,0)),0)</f>
        <v>0</v>
      </c>
    </row>
    <row r="20" spans="1:18" x14ac:dyDescent="0.2">
      <c r="A20" s="70">
        <v>92</v>
      </c>
      <c r="B20" s="70" t="s">
        <v>1146</v>
      </c>
      <c r="C20" s="70">
        <f>report!C1403</f>
        <v>14</v>
      </c>
      <c r="D20" s="70">
        <f>IFERROR(INDEX(report!$K$1402:$K$1416,MATCH("חופש",report!$I$1402:$I$1416,0)),0)</f>
        <v>0</v>
      </c>
      <c r="E20" s="70">
        <f>IFERROR(INDEX(report!$K$1402:$K$1416,MATCH("חופשה לחיוב",report!$I$1402:$I$1416,0)),0)</f>
        <v>1</v>
      </c>
      <c r="F20" s="70">
        <f>E20</f>
        <v>1</v>
      </c>
      <c r="G20" s="70">
        <f>IFERROR(INDEX(report!$K$1402:$K$1416,MATCH("מילואים",report!$I$1402:$I$1416,0)),0)</f>
        <v>3</v>
      </c>
      <c r="H20" s="70">
        <f>IFERROR(INDEX(report!$K$1402:$K$1416,MATCH("תאונת עבודה",report!$I$1402:$I$1416,0)),0)</f>
        <v>0</v>
      </c>
      <c r="I20" s="70">
        <f>IFERROR(INDEX(report!$K$1402:$K$1416,MATCH("מחלה",report!$I$1402:$I$1416,0)),0)</f>
        <v>0</v>
      </c>
      <c r="J20" s="70">
        <f>IFERROR(INDEX(report!$K$1402:$K$1416,MATCH("מחלה לקיזוז",report!$I$1402:$I$1416,0)),0)</f>
        <v>0</v>
      </c>
      <c r="K20" s="70">
        <f>IFERROR(INDEX(report!$K$1402:$K$1416,MATCH("חג",report!$I$1402:$I$1416,0)),0)</f>
        <v>3</v>
      </c>
      <c r="L20" s="70">
        <f>IFERROR(INDEX(report!$K$1402:$K$1416,MATCH("ערב חג",report!$I$1402:$I$1416,0)),0)</f>
        <v>2</v>
      </c>
      <c r="M20" s="70">
        <f>IFERROR(INDEX(report!$K$1402:$K$1416,MATCH("חול המועד",report!$I$1402:$I$1416,0)),0)</f>
        <v>0</v>
      </c>
      <c r="N20" s="70">
        <f>report!C1404</f>
        <v>22</v>
      </c>
      <c r="O20" s="70" t="s">
        <v>1602</v>
      </c>
      <c r="P20" s="70"/>
      <c r="Q20" s="96">
        <f>IFERROR(INDEX(report!$K$1402:$K$1416,MATCH("חל""ת",report!$I$1402:$I$1416,0)),0)</f>
        <v>0</v>
      </c>
      <c r="R20" s="96">
        <f>IFERROR(INDEX(report!$K$1402:$K$1416,MATCH("היעדרות",report!$I$1402:$I$1416,0)),0)</f>
        <v>0</v>
      </c>
    </row>
    <row r="21" spans="1:18" x14ac:dyDescent="0.2">
      <c r="A21" s="70">
        <v>93</v>
      </c>
      <c r="B21" s="70" t="s">
        <v>1120</v>
      </c>
      <c r="C21" s="70">
        <f>report!C1351</f>
        <v>17</v>
      </c>
      <c r="D21" s="70">
        <f>IFERROR(INDEX(report!$K$1350:$K$1364,MATCH("חופש",report!$I$1350:$I$1364,0)),0)</f>
        <v>0</v>
      </c>
      <c r="E21" s="70">
        <f>IFERROR(INDEX(report!$K$1350:$K$1364,MATCH("חופשה לחיוב",report!$I$1350:$I$1364,0)),0)</f>
        <v>0</v>
      </c>
      <c r="F21" s="70">
        <f>E21</f>
        <v>0</v>
      </c>
      <c r="G21" s="70">
        <f>IFERROR(INDEX(report!$K$1350:$K$1364,MATCH("מילואים",report!$I$1350:$I$1364,0)),0)</f>
        <v>14</v>
      </c>
      <c r="H21" s="70">
        <f>IFERROR(INDEX(report!$K$1350:$K$1364,MATCH("תאונת עבודה",report!$I$1350:$I$1364,0)),0)</f>
        <v>0</v>
      </c>
      <c r="I21" s="70">
        <f>IFERROR(INDEX(report!$K$1350:$K$1364,MATCH("מחלה",report!$I$1350:$I$1364,0)),0)</f>
        <v>0</v>
      </c>
      <c r="J21" s="70">
        <f>IFERROR(INDEX(report!$K$1350:$K$1364,MATCH("מחלה לקיזוז",report!$I$1350:$I$1364,0)),0)</f>
        <v>0</v>
      </c>
      <c r="K21" s="70">
        <f>IFERROR(INDEX(report!$K$1350:$K$1364,MATCH("חג",report!$I$1350:$I$1364,0)),0)</f>
        <v>3</v>
      </c>
      <c r="L21" s="70">
        <f>IFERROR(INDEX(report!$K$1350:$K$1364,MATCH("ערב חג",report!$I$1350:$I$1364,0)),0)</f>
        <v>0</v>
      </c>
      <c r="M21" s="70">
        <f>IFERROR(INDEX(report!$K$1350:$K$1364,MATCH("חול המועד",report!$I$1350:$I$1364,0)),0)</f>
        <v>0</v>
      </c>
      <c r="N21" s="70">
        <f>report!C1352</f>
        <v>22</v>
      </c>
      <c r="O21" s="70" t="s">
        <v>1602</v>
      </c>
      <c r="P21" s="70"/>
      <c r="Q21" s="96">
        <f>IFERROR(INDEX(report!$K$1350:$K$1364,MATCH("חל""ת",report!$I$1350:$I$1364,0)),0)</f>
        <v>0</v>
      </c>
      <c r="R21" s="96">
        <f>IFERROR(INDEX(report!$K$1350:$K$1364,MATCH("היעדרות",report!$I$1350:$I$1364,0)),0)</f>
        <v>0</v>
      </c>
    </row>
    <row r="22" spans="1:18" x14ac:dyDescent="0.2">
      <c r="A22" s="70">
        <v>94</v>
      </c>
      <c r="B22" s="70" t="s">
        <v>1318</v>
      </c>
      <c r="C22" s="70">
        <f>report!C1820</f>
        <v>19</v>
      </c>
      <c r="D22" s="70">
        <f>IFERROR(INDEX(report!$K$1819:$K$1833,MATCH("חופש",report!$I$1819:$I$1833,0)),0)</f>
        <v>0</v>
      </c>
      <c r="E22" s="70">
        <f>IFERROR(INDEX(report!$K$1819:$K$1833,MATCH("חופשה לחיוב",report!$I$1819:$I$1833,0)),0)</f>
        <v>0</v>
      </c>
      <c r="F22" s="70">
        <f>E22</f>
        <v>0</v>
      </c>
      <c r="G22" s="70">
        <f>IFERROR(INDEX(report!$K$1819:$K$1833,MATCH("מילואים",report!$I$1819:$I$1833,0)),0)</f>
        <v>0</v>
      </c>
      <c r="H22" s="70">
        <f>IFERROR(INDEX(report!$K$1819:$K$1833,MATCH("תאונת עבודה",report!$I$1819:$I$1833,0)),0)</f>
        <v>0</v>
      </c>
      <c r="I22" s="70">
        <f>IFERROR(INDEX(report!$K$1819:$K$1833,MATCH("מחלה",report!$I$1819:$I$1833,0)),0)</f>
        <v>0</v>
      </c>
      <c r="J22" s="70">
        <f>IFERROR(INDEX(report!$K$1819:$K$1833,MATCH("מחלה לקיזוז",report!$I$1819:$I$1833,0)),0)</f>
        <v>0</v>
      </c>
      <c r="K22" s="70">
        <f>IFERROR(INDEX(report!$K$1819:$K$1833,MATCH("חג",report!$I$1819:$I$1833,0)),0)</f>
        <v>3</v>
      </c>
      <c r="L22" s="70">
        <f>IFERROR(INDEX(report!$K$1819:$K$1833,MATCH("ערב חג",report!$I$1819:$I$1833,0)),0)</f>
        <v>0</v>
      </c>
      <c r="M22" s="70">
        <f>IFERROR(INDEX(report!$K$1819:$K$1833,MATCH("חול המועד",report!$I$1819:$I$1833,0)),0)</f>
        <v>2</v>
      </c>
      <c r="N22" s="70">
        <f>report!C1821</f>
        <v>22</v>
      </c>
      <c r="O22" s="70" t="s">
        <v>1602</v>
      </c>
      <c r="P22" s="70"/>
      <c r="Q22" s="96">
        <f>IFERROR(INDEX(report!$K$1819:$K$1833,MATCH("חל""ת",report!$I$1819:$I$1833,0)),0)</f>
        <v>0</v>
      </c>
      <c r="R22" s="96">
        <f>IFERROR(INDEX(report!$K$1819:$K$1833,MATCH("היעדרות",report!$I$1819:$I$1833,0)),0)</f>
        <v>0</v>
      </c>
    </row>
    <row r="23" spans="1:18" x14ac:dyDescent="0.2">
      <c r="A23" s="70">
        <v>95</v>
      </c>
      <c r="B23" s="70" t="s">
        <v>377</v>
      </c>
      <c r="C23" s="70">
        <f>report!C253</f>
        <v>0</v>
      </c>
      <c r="D23" s="70">
        <f>IFERROR(INDEX(report!$K$252:$K$266,MATCH("חופש",report!$I$252:$I$266,0)),0)</f>
        <v>0</v>
      </c>
      <c r="E23" s="70">
        <f>IFERROR(INDEX(report!$K$252:$K$266,MATCH("חופשה לחיוב",report!$I$252:$I$266,0)),0)</f>
        <v>0</v>
      </c>
      <c r="F23" s="70">
        <f>E23</f>
        <v>0</v>
      </c>
      <c r="G23" s="70">
        <f>IFERROR(INDEX(report!$K$252:$K$266,MATCH("מילואים",report!$I$252:$I$266,0)),0)</f>
        <v>0</v>
      </c>
      <c r="H23" s="70">
        <f>IFERROR(INDEX(report!$K$252:$K$266,MATCH("תאונת עבודה",report!$I$252:$I$266,0)),0)</f>
        <v>22</v>
      </c>
      <c r="I23" s="70">
        <f>IFERROR(INDEX(report!$K$252:$K$266,MATCH("מחלה",report!$I$252:$I$266,0)),0)</f>
        <v>0</v>
      </c>
      <c r="J23" s="70">
        <f>IFERROR(INDEX(report!$K$252:$K$266,MATCH("מחלה לקיזוז",report!$I$252:$I$266,0)),0)</f>
        <v>0</v>
      </c>
      <c r="K23" s="70">
        <f>IFERROR(INDEX(report!$K$252:$K$266,MATCH("חג",report!$I$252:$I$266,0)),0)</f>
        <v>0</v>
      </c>
      <c r="L23" s="70">
        <f>IFERROR(INDEX(report!$K$252:$K$266,MATCH("ערב חג",report!$I$252:$I$266,0)),0)</f>
        <v>0</v>
      </c>
      <c r="M23" s="70">
        <f>IFERROR(INDEX(report!$K$252:$K$266,MATCH("חול המועד",report!$I$252:$I$266,0)),0)</f>
        <v>0</v>
      </c>
      <c r="N23" s="70">
        <f>report!C254</f>
        <v>22</v>
      </c>
      <c r="O23" s="70" t="s">
        <v>1602</v>
      </c>
      <c r="P23" s="70"/>
      <c r="Q23" s="96">
        <f>IFERROR(INDEX(report!$K$252:$K$266,MATCH("חל""ת",report!$I$252:$I$266,0)),0)</f>
        <v>0</v>
      </c>
      <c r="R23" s="96">
        <f>IFERROR(INDEX(report!$K$252:$K$266,MATCH("היעדרות",report!$I$252:$I$266,0)),0)</f>
        <v>0</v>
      </c>
    </row>
    <row r="24" spans="1:18" x14ac:dyDescent="0.2">
      <c r="A24" s="70">
        <v>96</v>
      </c>
      <c r="B24" s="70" t="s">
        <v>529</v>
      </c>
      <c r="C24" s="70">
        <f>report!C462</f>
        <v>0</v>
      </c>
      <c r="D24" s="70">
        <f>IFERROR(INDEX(report!$K$461:$K$475,MATCH("חופש",report!$I$461:$I$475,0)),0)</f>
        <v>2</v>
      </c>
      <c r="E24" s="70">
        <f>IFERROR(INDEX(report!$K$461:$K$475,MATCH("חופשה לחיוב",report!$I$461:$I$475,0)),0)</f>
        <v>2.5</v>
      </c>
      <c r="F24" s="70">
        <f>E24</f>
        <v>2.5</v>
      </c>
      <c r="G24" s="70">
        <f>IFERROR(INDEX(report!$K$461:$K$475,MATCH("מילואים",report!$I$461:$I$475,0)),0)</f>
        <v>28</v>
      </c>
      <c r="H24" s="70">
        <f>IFERROR(INDEX(report!$K$461:$K$475,MATCH("תאונת עבודה",report!$I$461:$I$475,0)),0)</f>
        <v>0</v>
      </c>
      <c r="I24" s="70">
        <f>IFERROR(INDEX(report!$K$461:$K$475,MATCH("מחלה",report!$I$461:$I$475,0)),0)</f>
        <v>0</v>
      </c>
      <c r="J24" s="70">
        <f>IFERROR(INDEX(report!$K$461:$K$475,MATCH("מחלה לקיזוז",report!$I$461:$I$475,0)),0)</f>
        <v>0</v>
      </c>
      <c r="K24" s="70">
        <f>IFERROR(INDEX(report!$K$461:$K$475,MATCH("חג",report!$I$461:$I$475,0)),0)</f>
        <v>0</v>
      </c>
      <c r="L24" s="70">
        <f>IFERROR(INDEX(report!$K$461:$K$475,MATCH("ערב חג",report!$I$461:$I$475,0)),0)</f>
        <v>0</v>
      </c>
      <c r="M24" s="70">
        <f>IFERROR(INDEX(report!$K$461:$K$475,MATCH("חול המועד",report!$I$461:$I$475,0)),0)</f>
        <v>0</v>
      </c>
      <c r="N24" s="70">
        <f>report!C463</f>
        <v>22</v>
      </c>
      <c r="O24" s="70" t="s">
        <v>1602</v>
      </c>
      <c r="P24" s="70"/>
      <c r="Q24" s="96">
        <f>IFERROR(INDEX(report!$K$461:$K$475,MATCH("חל""ת",report!$I$461:$I$475,0)),0)</f>
        <v>0</v>
      </c>
      <c r="R24" s="96">
        <f>IFERROR(INDEX(report!$K$461:$K$475,MATCH("היעדרות",report!$I$461:$I$475,0)),0)</f>
        <v>0</v>
      </c>
    </row>
    <row r="25" spans="1:18" x14ac:dyDescent="0.2">
      <c r="A25" s="70">
        <v>97</v>
      </c>
      <c r="B25" s="70" t="s">
        <v>1419</v>
      </c>
      <c r="C25" s="70">
        <f>report!C2084</f>
        <v>16</v>
      </c>
      <c r="D25" s="70">
        <f>IFERROR(INDEX(report!$K$2083:$K$2097,MATCH("חופש",report!$I$2083:$I$2097,0)),0)</f>
        <v>1</v>
      </c>
      <c r="E25" s="70">
        <f>IFERROR(INDEX(report!$K$2083:$K$2097,MATCH("חופשה לחיוב",report!$I$2083:$I$2097,0)),0)</f>
        <v>1</v>
      </c>
      <c r="F25" s="70">
        <f>E25</f>
        <v>1</v>
      </c>
      <c r="G25" s="70">
        <f>IFERROR(INDEX(report!$K$2083:$K$2097,MATCH("מילואים",report!$I$2083:$I$2097,0)),0)</f>
        <v>6</v>
      </c>
      <c r="H25" s="70">
        <f>IFERROR(INDEX(report!$K$2083:$K$2097,MATCH("תאונת עבודה",report!$I$2083:$I$2097,0)),0)</f>
        <v>0</v>
      </c>
      <c r="I25" s="70">
        <f>IFERROR(INDEX(report!$K$2083:$K$2097,MATCH("מחלה",report!$I$2083:$I$2097,0)),0)</f>
        <v>0</v>
      </c>
      <c r="J25" s="70">
        <f>IFERROR(INDEX(report!$K$2083:$K$2097,MATCH("מחלה לקיזוז",report!$I$2083:$I$2097,0)),0)</f>
        <v>0</v>
      </c>
      <c r="K25" s="70">
        <f>IFERROR(INDEX(report!$K$2083:$K$2097,MATCH("חג",report!$I$2083:$I$2097,0)),0)</f>
        <v>3</v>
      </c>
      <c r="L25" s="70">
        <f>IFERROR(INDEX(report!$K$2083:$K$2097,MATCH("ערב חג",report!$I$2083:$I$2097,0)),0)</f>
        <v>0</v>
      </c>
      <c r="M25" s="70">
        <f>IFERROR(INDEX(report!$K$2083:$K$2097,MATCH("חול המועד",report!$I$2083:$I$2097,0)),0)</f>
        <v>0</v>
      </c>
      <c r="N25" s="70">
        <f>report!C2085</f>
        <v>22</v>
      </c>
      <c r="O25" s="70" t="s">
        <v>1602</v>
      </c>
      <c r="P25" s="70"/>
      <c r="Q25" s="96">
        <f>IFERROR(INDEX(report!$K$2083:$K$2097,MATCH("חל""ת",report!$I$2083:$I$2097,0)),0)</f>
        <v>0</v>
      </c>
      <c r="R25" s="96">
        <f>IFERROR(INDEX(report!$K$2083:$K$2097,MATCH("היעדרות",report!$I$2083:$I$2097,0)),0)</f>
        <v>0</v>
      </c>
    </row>
    <row r="26" spans="1:18" x14ac:dyDescent="0.2">
      <c r="A26" s="70">
        <v>100</v>
      </c>
      <c r="B26" s="70" t="s">
        <v>872</v>
      </c>
      <c r="C26" s="70">
        <f>report!C985</f>
        <v>15</v>
      </c>
      <c r="D26" s="70">
        <f>IFERROR(INDEX(report!$K$984:$K$998,MATCH("חופש",report!$I$984:$I$998,0)),0)</f>
        <v>2</v>
      </c>
      <c r="E26" s="70">
        <f>IFERROR(INDEX(report!$K$984:$K$998,MATCH("חופשה לחיוב",report!$I$984:$I$998,0)),0)</f>
        <v>3</v>
      </c>
      <c r="F26" s="70">
        <f>E26</f>
        <v>3</v>
      </c>
      <c r="G26" s="70">
        <f>IFERROR(INDEX(report!$K$984:$K$998,MATCH("מילואים",report!$I$984:$I$998,0)),0)</f>
        <v>0</v>
      </c>
      <c r="H26" s="70">
        <f>IFERROR(INDEX(report!$K$984:$K$998,MATCH("תאונת עבודה",report!$I$984:$I$998,0)),0)</f>
        <v>0</v>
      </c>
      <c r="I26" s="70">
        <f>IFERROR(INDEX(report!$K$984:$K$998,MATCH("מחלה",report!$I$984:$I$998,0)),0)</f>
        <v>0</v>
      </c>
      <c r="J26" s="70">
        <f>IFERROR(INDEX(report!$K$984:$K$998,MATCH("מחלה לקיזוז",report!$I$984:$I$998,0)),0)</f>
        <v>0</v>
      </c>
      <c r="K26" s="70">
        <f>IFERROR(INDEX(report!$K$984:$K$998,MATCH("חג",report!$I$984:$I$998,0)),0)</f>
        <v>3</v>
      </c>
      <c r="L26" s="70">
        <f>IFERROR(INDEX(report!$K$984:$K$998,MATCH("ערב חג",report!$I$984:$I$998,0)),0)</f>
        <v>2</v>
      </c>
      <c r="M26" s="70">
        <f>IFERROR(INDEX(report!$K$984:$K$998,MATCH("חול המועד",report!$I$984:$I$998,0)),0)</f>
        <v>0</v>
      </c>
      <c r="N26" s="70">
        <f>report!C986</f>
        <v>22</v>
      </c>
      <c r="O26" s="70" t="s">
        <v>1602</v>
      </c>
      <c r="P26" s="70"/>
      <c r="Q26" s="96">
        <f>IFERROR(INDEX(report!$K$984:$K$998,MATCH("חל""ת",report!$I$984:$I$998,0)),0)</f>
        <v>0</v>
      </c>
      <c r="R26" s="96">
        <f>IFERROR(INDEX(report!$K$984:$K$998,MATCH("היעדרות",report!$I$984:$I$998,0)),0)</f>
        <v>0</v>
      </c>
    </row>
    <row r="27" spans="1:18" x14ac:dyDescent="0.2">
      <c r="A27" s="70">
        <v>101</v>
      </c>
      <c r="B27" s="70" t="s">
        <v>701</v>
      </c>
      <c r="C27" s="70">
        <f>report!C723</f>
        <v>14</v>
      </c>
      <c r="D27" s="70">
        <f>IFERROR(INDEX(report!$K$722:$K$736,MATCH("חופש",report!$I$722:$I$736,0)),0)</f>
        <v>0</v>
      </c>
      <c r="E27" s="70">
        <f>IFERROR(INDEX(report!$K$722:$K$736,MATCH("חופשה לחיוב",report!$I$722:$I$736,0)),0)</f>
        <v>0.5</v>
      </c>
      <c r="F27" s="70">
        <f>E27</f>
        <v>0.5</v>
      </c>
      <c r="G27" s="70">
        <f>IFERROR(INDEX(report!$K$722:$K$736,MATCH("מילואים",report!$I$722:$I$736,0)),0)</f>
        <v>11</v>
      </c>
      <c r="H27" s="70">
        <f>IFERROR(INDEX(report!$K$722:$K$736,MATCH("תאונת עבודה",report!$I$722:$I$736,0)),0)</f>
        <v>0</v>
      </c>
      <c r="I27" s="70">
        <f>IFERROR(INDEX(report!$K$722:$K$736,MATCH("מחלה",report!$I$722:$I$736,0)),0)</f>
        <v>0</v>
      </c>
      <c r="J27" s="70">
        <f>IFERROR(INDEX(report!$K$722:$K$736,MATCH("מחלה לקיזוז",report!$I$722:$I$736,0)),0)</f>
        <v>0</v>
      </c>
      <c r="K27" s="70">
        <f>IFERROR(INDEX(report!$K$722:$K$736,MATCH("חג",report!$I$722:$I$736,0)),0)</f>
        <v>3</v>
      </c>
      <c r="L27" s="70">
        <f>IFERROR(INDEX(report!$K$722:$K$736,MATCH("ערב חג",report!$I$722:$I$736,0)),0)</f>
        <v>0</v>
      </c>
      <c r="M27" s="70">
        <f>IFERROR(INDEX(report!$K$722:$K$736,MATCH("חול המועד",report!$I$722:$I$736,0)),0)</f>
        <v>0</v>
      </c>
      <c r="N27" s="70">
        <f>report!C724</f>
        <v>22</v>
      </c>
      <c r="O27" s="70" t="s">
        <v>1602</v>
      </c>
      <c r="P27" s="70"/>
      <c r="Q27" s="96">
        <f>IFERROR(INDEX(report!$K$722:$K$736,MATCH("חל""ת",report!$I$722:$I$736,0)),0)</f>
        <v>0</v>
      </c>
      <c r="R27" s="96">
        <f>IFERROR(INDEX(report!$K$722:$K$736,MATCH("היעדרות",report!$I$722:$I$736,0)),0)</f>
        <v>0</v>
      </c>
    </row>
    <row r="28" spans="1:18" x14ac:dyDescent="0.2">
      <c r="A28" s="70">
        <v>105</v>
      </c>
      <c r="B28" s="70" t="s">
        <v>651</v>
      </c>
      <c r="C28" s="70">
        <f>report!C671</f>
        <v>16</v>
      </c>
      <c r="D28" s="70">
        <f>IFERROR(INDEX(report!$K$670:$K$684,MATCH("חופש",report!$I$670:$I$684,0)),0)</f>
        <v>0</v>
      </c>
      <c r="E28" s="70">
        <f>IFERROR(INDEX(report!$K$670:$K$684,MATCH("חופשה לחיוב",report!$I$670:$I$684,0)),0)</f>
        <v>1.5</v>
      </c>
      <c r="F28" s="70">
        <f>E28</f>
        <v>1.5</v>
      </c>
      <c r="G28" s="70">
        <f>IFERROR(INDEX(report!$K$670:$K$684,MATCH("מילואים",report!$I$670:$I$684,0)),0)</f>
        <v>0</v>
      </c>
      <c r="H28" s="70">
        <f>IFERROR(INDEX(report!$K$670:$K$684,MATCH("תאונת עבודה",report!$I$670:$I$684,0)),0)</f>
        <v>0</v>
      </c>
      <c r="I28" s="70">
        <f>IFERROR(INDEX(report!$K$670:$K$684,MATCH("מחלה",report!$I$670:$I$684,0)),0)</f>
        <v>0</v>
      </c>
      <c r="J28" s="70">
        <f>IFERROR(INDEX(report!$K$670:$K$684,MATCH("מחלה לקיזוז",report!$I$670:$I$684,0)),0)</f>
        <v>0</v>
      </c>
      <c r="K28" s="70">
        <f>IFERROR(INDEX(report!$K$670:$K$684,MATCH("חג",report!$I$670:$I$684,0)),0)</f>
        <v>3</v>
      </c>
      <c r="L28" s="70">
        <f>IFERROR(INDEX(report!$K$670:$K$684,MATCH("ערב חג",report!$I$670:$I$684,0)),0)</f>
        <v>3</v>
      </c>
      <c r="M28" s="70">
        <f>IFERROR(INDEX(report!$K$670:$K$684,MATCH("חול המועד",report!$I$670:$I$684,0)),0)</f>
        <v>2</v>
      </c>
      <c r="N28" s="70">
        <f>report!C672</f>
        <v>22</v>
      </c>
      <c r="O28" s="70" t="s">
        <v>1602</v>
      </c>
      <c r="P28" s="70"/>
      <c r="Q28" s="96">
        <f>IFERROR(INDEX(report!$K$670:$K$684,MATCH("חל""ת",report!$I$670:$I$684,0)),0)</f>
        <v>0</v>
      </c>
      <c r="R28" s="96">
        <f>IFERROR(INDEX(report!$K$670:$K$684,MATCH("היעדרות",report!$I$670:$I$684,0)),0)</f>
        <v>0</v>
      </c>
    </row>
    <row r="29" spans="1:18" x14ac:dyDescent="0.2">
      <c r="A29" s="70">
        <v>106</v>
      </c>
      <c r="B29" s="70" t="s">
        <v>1267</v>
      </c>
      <c r="C29" s="70">
        <f>report!C1664</f>
        <v>14</v>
      </c>
      <c r="D29" s="70">
        <f>IFERROR(INDEX(report!$K$1663:$K$1677,MATCH("חופש",report!$I$1663:$I$1677,0)),0)</f>
        <v>0</v>
      </c>
      <c r="E29" s="70">
        <f>IFERROR(INDEX(report!$K$1663:$K$1677,MATCH("חופשה לחיוב",report!$I$1663:$I$1677,0)),0)</f>
        <v>0.5</v>
      </c>
      <c r="F29" s="70">
        <f>E29</f>
        <v>0.5</v>
      </c>
      <c r="G29" s="70">
        <f>IFERROR(INDEX(report!$K$1663:$K$1677,MATCH("מילואים",report!$I$1663:$I$1677,0)),0)</f>
        <v>0</v>
      </c>
      <c r="H29" s="70">
        <f>IFERROR(INDEX(report!$K$1663:$K$1677,MATCH("תאונת עבודה",report!$I$1663:$I$1677,0)),0)</f>
        <v>0</v>
      </c>
      <c r="I29" s="70">
        <f>IFERROR(INDEX(report!$K$1663:$K$1677,MATCH("מחלה",report!$I$1663:$I$1677,0)),0)</f>
        <v>4</v>
      </c>
      <c r="J29" s="70">
        <f>IFERROR(INDEX(report!$K$1663:$K$1677,MATCH("מחלה לקיזוז",report!$I$1663:$I$1677,0)),0)</f>
        <v>2</v>
      </c>
      <c r="K29" s="70">
        <f>IFERROR(INDEX(report!$K$1663:$K$1677,MATCH("חג",report!$I$1663:$I$1677,0)),0)</f>
        <v>3</v>
      </c>
      <c r="L29" s="70">
        <f>IFERROR(INDEX(report!$K$1663:$K$1677,MATCH("ערב חג",report!$I$1663:$I$1677,0)),0)</f>
        <v>1</v>
      </c>
      <c r="M29" s="70">
        <f>IFERROR(INDEX(report!$K$1663:$K$1677,MATCH("חול המועד",report!$I$1663:$I$1677,0)),0)</f>
        <v>0</v>
      </c>
      <c r="N29" s="70">
        <f>report!C1665</f>
        <v>20</v>
      </c>
      <c r="O29" s="70" t="s">
        <v>1602</v>
      </c>
      <c r="P29" s="70"/>
      <c r="Q29" s="96">
        <f>IFERROR(INDEX(report!$K$1663:$K$1677,MATCH("חל""ת",report!$I$1663:$I$1677,0)),0)</f>
        <v>0</v>
      </c>
      <c r="R29" s="96">
        <f>IFERROR(INDEX(report!$K$1663:$K$1677,MATCH("היעדרות",report!$I$1663:$I$1677,0)),0)</f>
        <v>0</v>
      </c>
    </row>
    <row r="30" spans="1:18" x14ac:dyDescent="0.2">
      <c r="A30" s="70">
        <v>109</v>
      </c>
      <c r="B30" s="70" t="s">
        <v>1437</v>
      </c>
      <c r="C30" s="70">
        <f>report!C2136</f>
        <v>15</v>
      </c>
      <c r="D30" s="70">
        <f>IFERROR(INDEX(report!$K$2135:$K$2149,MATCH("חופש",report!$I$2135:$I$2149,0)),0)</f>
        <v>0</v>
      </c>
      <c r="E30" s="70">
        <f>IFERROR(INDEX(report!$K$2135:$K$2149,MATCH("חופשה לחיוב",report!$I$2135:$I$2149,0)),0)</f>
        <v>3</v>
      </c>
      <c r="F30" s="70">
        <f>E30</f>
        <v>3</v>
      </c>
      <c r="G30" s="70">
        <f>IFERROR(INDEX(report!$K$2135:$K$2149,MATCH("מילואים",report!$I$2135:$I$2149,0)),0)</f>
        <v>0</v>
      </c>
      <c r="H30" s="70">
        <f>IFERROR(INDEX(report!$K$2135:$K$2149,MATCH("תאונת עבודה",report!$I$2135:$I$2149,0)),0)</f>
        <v>0</v>
      </c>
      <c r="I30" s="70">
        <f>IFERROR(INDEX(report!$K$2135:$K$2149,MATCH("מחלה",report!$I$2135:$I$2149,0)),0)</f>
        <v>0</v>
      </c>
      <c r="J30" s="70">
        <f>IFERROR(INDEX(report!$K$2135:$K$2149,MATCH("מחלה לקיזוז",report!$I$2135:$I$2149,0)),0)</f>
        <v>0</v>
      </c>
      <c r="K30" s="70">
        <f>IFERROR(INDEX(report!$K$2135:$K$2149,MATCH("חג",report!$I$2135:$I$2149,0)),0)</f>
        <v>3</v>
      </c>
      <c r="L30" s="70">
        <f>IFERROR(INDEX(report!$K$2135:$K$2149,MATCH("ערב חג",report!$I$2135:$I$2149,0)),0)</f>
        <v>2</v>
      </c>
      <c r="M30" s="70">
        <f>IFERROR(INDEX(report!$K$2135:$K$2149,MATCH("חול המועד",report!$I$2135:$I$2149,0)),0)</f>
        <v>2</v>
      </c>
      <c r="N30" s="70">
        <f>report!C2137</f>
        <v>22</v>
      </c>
      <c r="O30" s="70" t="s">
        <v>1602</v>
      </c>
      <c r="P30" s="70"/>
      <c r="Q30" s="96">
        <f>IFERROR(INDEX(report!$K$2135:$K$2149,MATCH("חל""ת",report!$I$2135:$I$2149,0)),0)</f>
        <v>0</v>
      </c>
      <c r="R30" s="96">
        <f>IFERROR(INDEX(report!$K$2135:$K$2149,MATCH("היעדרות",report!$I$2135:$I$2149,0)),0)</f>
        <v>0</v>
      </c>
    </row>
    <row r="31" spans="1:18" x14ac:dyDescent="0.2">
      <c r="A31" s="70">
        <v>110</v>
      </c>
      <c r="B31" s="70" t="s">
        <v>380</v>
      </c>
      <c r="C31" s="70">
        <f>report!C305</f>
        <v>15</v>
      </c>
      <c r="D31" s="70">
        <f>IFERROR(INDEX(report!$K$304:$K$318,MATCH("חופש",report!$I$304:$I$318,0)),0)</f>
        <v>1</v>
      </c>
      <c r="E31" s="70">
        <f>IFERROR(INDEX(report!$K$304:$K$318,MATCH("חופשה לחיוב",report!$I$304:$I$318,0)),0)</f>
        <v>2.5</v>
      </c>
      <c r="F31" s="70">
        <f>E31</f>
        <v>2.5</v>
      </c>
      <c r="G31" s="70">
        <f>IFERROR(INDEX(report!$K$304:$K$318,MATCH("מילואים",report!$I$304:$I$318,0)),0)</f>
        <v>0</v>
      </c>
      <c r="H31" s="70">
        <f>IFERROR(INDEX(report!$K$304:$K$318,MATCH("תאונת עבודה",report!$I$304:$I$318,0)),0)</f>
        <v>0</v>
      </c>
      <c r="I31" s="70">
        <f>IFERROR(INDEX(report!$K$304:$K$318,MATCH("מחלה",report!$I$304:$I$318,0)),0)</f>
        <v>0</v>
      </c>
      <c r="J31" s="70">
        <f>IFERROR(INDEX(report!$K$304:$K$318,MATCH("מחלה לקיזוז",report!$I$304:$I$318,0)),0)</f>
        <v>0</v>
      </c>
      <c r="K31" s="70">
        <f>IFERROR(INDEX(report!$K$304:$K$318,MATCH("חג",report!$I$304:$I$318,0)),0)</f>
        <v>3</v>
      </c>
      <c r="L31" s="70">
        <f>IFERROR(INDEX(report!$K$304:$K$318,MATCH("ערב חג",report!$I$304:$I$318,0)),0)</f>
        <v>3</v>
      </c>
      <c r="M31" s="70">
        <f>IFERROR(INDEX(report!$K$304:$K$318,MATCH("חול המועד",report!$I$304:$I$318,0)),0)</f>
        <v>2</v>
      </c>
      <c r="N31" s="70">
        <f>report!C306</f>
        <v>22</v>
      </c>
      <c r="O31" s="70" t="s">
        <v>1602</v>
      </c>
      <c r="P31" s="70"/>
      <c r="Q31" s="96">
        <f>IFERROR(INDEX(report!$K$304:$K$318,MATCH("חל""ת",report!$I$304:$I$318,0)),0)</f>
        <v>0</v>
      </c>
      <c r="R31" s="96">
        <f>IFERROR(INDEX(report!$K$304:$K$318,MATCH("היעדרות",report!$I$304:$I$318,0)),0)</f>
        <v>0</v>
      </c>
    </row>
    <row r="32" spans="1:18" x14ac:dyDescent="0.2">
      <c r="A32" s="70">
        <v>112</v>
      </c>
      <c r="B32" s="70" t="s">
        <v>633</v>
      </c>
      <c r="C32" s="70">
        <f>report!C619</f>
        <v>4</v>
      </c>
      <c r="D32" s="70">
        <f>IFERROR(INDEX(report!$K$618:$K$632,MATCH("חופש",report!$I$618:$I$632,0)),0)</f>
        <v>1</v>
      </c>
      <c r="E32" s="70">
        <f>IFERROR(INDEX(report!$K$618:$K$632,MATCH("חופשה לחיוב",report!$I$618:$I$632,0)),0)</f>
        <v>2.5</v>
      </c>
      <c r="F32" s="70">
        <f>E32</f>
        <v>2.5</v>
      </c>
      <c r="G32" s="70">
        <f>IFERROR(INDEX(report!$K$618:$K$632,MATCH("מילואים",report!$I$618:$I$632,0)),0)</f>
        <v>16</v>
      </c>
      <c r="H32" s="70">
        <f>IFERROR(INDEX(report!$K$618:$K$632,MATCH("תאונת עבודה",report!$I$618:$I$632,0)),0)</f>
        <v>0</v>
      </c>
      <c r="I32" s="70">
        <f>IFERROR(INDEX(report!$K$618:$K$632,MATCH("מחלה",report!$I$618:$I$632,0)),0)</f>
        <v>0</v>
      </c>
      <c r="J32" s="70">
        <f>IFERROR(INDEX(report!$K$618:$K$632,MATCH("מחלה לקיזוז",report!$I$618:$I$632,0)),0)</f>
        <v>0</v>
      </c>
      <c r="K32" s="70">
        <f>IFERROR(INDEX(report!$K$618:$K$632,MATCH("חג",report!$I$618:$I$632,0)),0)</f>
        <v>3</v>
      </c>
      <c r="L32" s="70">
        <f>IFERROR(INDEX(report!$K$618:$K$632,MATCH("ערב חג",report!$I$618:$I$632,0)),0)</f>
        <v>3</v>
      </c>
      <c r="M32" s="70">
        <f>IFERROR(INDEX(report!$K$618:$K$632,MATCH("חול המועד",report!$I$618:$I$632,0)),0)</f>
        <v>2</v>
      </c>
      <c r="N32" s="70">
        <f>report!C620</f>
        <v>22</v>
      </c>
      <c r="O32" s="70" t="s">
        <v>1602</v>
      </c>
      <c r="P32" s="70"/>
      <c r="Q32" s="96">
        <f>IFERROR(INDEX(report!$K$618:$K$632,MATCH("חל""ת",report!$I$618:$I$632,0)),0)</f>
        <v>0</v>
      </c>
      <c r="R32" s="96">
        <f>IFERROR(INDEX(report!$K$618:$K$632,MATCH("היעדרות",report!$I$618:$I$632,0)),0)</f>
        <v>0</v>
      </c>
    </row>
    <row r="33" spans="1:18" x14ac:dyDescent="0.2">
      <c r="A33" s="70">
        <v>113</v>
      </c>
      <c r="B33" s="70" t="s">
        <v>0</v>
      </c>
      <c r="C33" s="70">
        <f>report!C43</f>
        <v>14</v>
      </c>
      <c r="D33" s="70">
        <f>IFERROR(INDEX(report!$K$42:$K$56,MATCH("חופש",report!$I$42:$I$56,0)),0)</f>
        <v>0</v>
      </c>
      <c r="E33" s="70">
        <f>IFERROR(INDEX(report!$K$42:$K$56,MATCH("חופשה לחיוב",report!$I$42:$I$56,0)),0)</f>
        <v>3.5</v>
      </c>
      <c r="F33" s="70">
        <f>E33</f>
        <v>3.5</v>
      </c>
      <c r="G33" s="70">
        <f>IFERROR(INDEX(report!$K$42:$K$56,MATCH("מילואים",report!$I$42:$I$56,0)),0)</f>
        <v>0</v>
      </c>
      <c r="H33" s="70">
        <f>IFERROR(INDEX(report!$K$42:$K$56,MATCH("תאונת עבודה",report!$I$42:$I$56,0)),0)</f>
        <v>0</v>
      </c>
      <c r="I33" s="70">
        <f>IFERROR(INDEX(report!$K$42:$K$56,MATCH("מחלה",report!$I$42:$I$56,0)),0)</f>
        <v>0</v>
      </c>
      <c r="J33" s="70">
        <f>IFERROR(INDEX(report!$K$42:$K$56,MATCH("מחלה לקיזוז",report!$I$42:$I$56,0)),0)</f>
        <v>0</v>
      </c>
      <c r="K33" s="70">
        <f>IFERROR(INDEX(report!$K$42:$K$56,MATCH("חג",report!$I$42:$I$56,0)),0)</f>
        <v>3</v>
      </c>
      <c r="L33" s="70">
        <f>IFERROR(INDEX(report!$K$42:$K$56,MATCH("ערב חג",report!$I$42:$I$56,0)),0)</f>
        <v>3</v>
      </c>
      <c r="M33" s="70">
        <f>IFERROR(INDEX(report!$K$42:$K$56,MATCH("חול המועד",report!$I$42:$I$56,0)),0)</f>
        <v>2</v>
      </c>
      <c r="N33" s="70">
        <f>report!C44</f>
        <v>22</v>
      </c>
      <c r="O33" s="70" t="s">
        <v>1602</v>
      </c>
      <c r="P33" s="70"/>
      <c r="Q33" s="96">
        <f>IFERROR(INDEX(report!$K$42:$K$56,MATCH("חל""ת",report!$I$42:$I$56,0)),0)</f>
        <v>0</v>
      </c>
      <c r="R33" s="96">
        <f>IFERROR(INDEX(report!$K$42:$K$56,MATCH("היעדרות",report!$I$42:$I$56,0)),0)</f>
        <v>0</v>
      </c>
    </row>
    <row r="34" spans="1:18" x14ac:dyDescent="0.2">
      <c r="A34" s="70">
        <v>115</v>
      </c>
      <c r="B34" s="70" t="s">
        <v>1339</v>
      </c>
      <c r="C34" s="70">
        <f>report!C1872</f>
        <v>16</v>
      </c>
      <c r="D34" s="70">
        <f>IFERROR(INDEX(report!$K$1871:$K$1885,MATCH("חופש",report!$I$1871:$I$1885,0)),0)</f>
        <v>0</v>
      </c>
      <c r="E34" s="70">
        <f>IFERROR(INDEX(report!$K$1871:$K$1885,MATCH("חופשה לחיוב",report!$I$1871:$I$1885,0)),0)</f>
        <v>1</v>
      </c>
      <c r="F34" s="70">
        <f>E34</f>
        <v>1</v>
      </c>
      <c r="G34" s="70">
        <f>IFERROR(INDEX(report!$K$1871:$K$1885,MATCH("מילואים",report!$I$1871:$I$1885,0)),0)</f>
        <v>0</v>
      </c>
      <c r="H34" s="70">
        <f>IFERROR(INDEX(report!$K$1871:$K$1885,MATCH("תאונת עבודה",report!$I$1871:$I$1885,0)),0)</f>
        <v>0</v>
      </c>
      <c r="I34" s="70">
        <f>IFERROR(INDEX(report!$K$1871:$K$1885,MATCH("מחלה",report!$I$1871:$I$1885,0)),0)</f>
        <v>1</v>
      </c>
      <c r="J34" s="70">
        <f>IFERROR(INDEX(report!$K$1871:$K$1885,MATCH("מחלה לקיזוז",report!$I$1871:$I$1885,0)),0)</f>
        <v>1</v>
      </c>
      <c r="K34" s="70">
        <f>IFERROR(INDEX(report!$K$1871:$K$1885,MATCH("חג",report!$I$1871:$I$1885,0)),0)</f>
        <v>3</v>
      </c>
      <c r="L34" s="70">
        <f>IFERROR(INDEX(report!$K$1871:$K$1885,MATCH("ערב חג",report!$I$1871:$I$1885,0)),0)</f>
        <v>2</v>
      </c>
      <c r="M34" s="70">
        <f>IFERROR(INDEX(report!$K$1871:$K$1885,MATCH("חול המועד",report!$I$1871:$I$1885,0)),0)</f>
        <v>0</v>
      </c>
      <c r="N34" s="70">
        <f>report!C1873</f>
        <v>21</v>
      </c>
      <c r="O34" s="70" t="s">
        <v>1602</v>
      </c>
      <c r="P34" s="70"/>
      <c r="Q34" s="96">
        <f>IFERROR(INDEX(report!$K$1871:$K$1885,MATCH("חל""ת",report!$I$1871:$I$1885,0)),0)</f>
        <v>0</v>
      </c>
      <c r="R34" s="96">
        <f>IFERROR(INDEX(report!$K$1871:$K$1885,MATCH("היעדרות",report!$I$1871:$I$1885,0)),0)</f>
        <v>0</v>
      </c>
    </row>
    <row r="35" spans="1:18" x14ac:dyDescent="0.2">
      <c r="A35" s="70">
        <v>116</v>
      </c>
      <c r="B35" s="70" t="s">
        <v>1488</v>
      </c>
      <c r="C35" s="70">
        <f>report!C2240</f>
        <v>16</v>
      </c>
      <c r="D35" s="70">
        <f>IFERROR(INDEX(report!$K$2239:$K$2253,MATCH("חופש",report!$I$2239:$I$2253,0)),0)</f>
        <v>0</v>
      </c>
      <c r="E35" s="70">
        <f>IFERROR(INDEX(report!$K$2239:$K$2253,MATCH("חופשה לחיוב",report!$I$2239:$I$2253,0)),0)</f>
        <v>3</v>
      </c>
      <c r="F35" s="70">
        <f>E35</f>
        <v>3</v>
      </c>
      <c r="G35" s="70">
        <f>IFERROR(INDEX(report!$K$2239:$K$2253,MATCH("מילואים",report!$I$2239:$I$2253,0)),0)</f>
        <v>0</v>
      </c>
      <c r="H35" s="70">
        <f>IFERROR(INDEX(report!$K$2239:$K$2253,MATCH("תאונת עבודה",report!$I$2239:$I$2253,0)),0)</f>
        <v>0</v>
      </c>
      <c r="I35" s="70">
        <f>IFERROR(INDEX(report!$K$2239:$K$2253,MATCH("מחלה",report!$I$2239:$I$2253,0)),0)</f>
        <v>0</v>
      </c>
      <c r="J35" s="70">
        <f>IFERROR(INDEX(report!$K$2239:$K$2253,MATCH("מחלה לקיזוז",report!$I$2239:$I$2253,0)),0)</f>
        <v>0</v>
      </c>
      <c r="K35" s="70">
        <f>IFERROR(INDEX(report!$K$2239:$K$2253,MATCH("חג",report!$I$2239:$I$2253,0)),0)</f>
        <v>3</v>
      </c>
      <c r="L35" s="70">
        <f>IFERROR(INDEX(report!$K$2239:$K$2253,MATCH("ערב חג",report!$I$2239:$I$2253,0)),0)</f>
        <v>2</v>
      </c>
      <c r="M35" s="70">
        <f>IFERROR(INDEX(report!$K$2239:$K$2253,MATCH("חול המועד",report!$I$2239:$I$2253,0)),0)</f>
        <v>2</v>
      </c>
      <c r="N35" s="70">
        <f>report!C2241</f>
        <v>22</v>
      </c>
      <c r="O35" s="70" t="s">
        <v>1602</v>
      </c>
      <c r="P35" s="70"/>
      <c r="Q35" s="96">
        <f>IFERROR(INDEX(report!$K$2239:$K$2253,MATCH("חל""ת",report!$I$2239:$I$2253,0)),0)</f>
        <v>0</v>
      </c>
      <c r="R35" s="96">
        <f>IFERROR(INDEX(report!$K$2239:$K$2253,MATCH("היעדרות",report!$I$2239:$I$2253,0)),0)</f>
        <v>0</v>
      </c>
    </row>
    <row r="36" spans="1:18" x14ac:dyDescent="0.2">
      <c r="A36" s="70">
        <v>117</v>
      </c>
      <c r="B36" s="70" t="s">
        <v>1036</v>
      </c>
      <c r="C36" s="70">
        <f>report!C1246</f>
        <v>12</v>
      </c>
      <c r="D36" s="70">
        <f>IFERROR(INDEX(report!$K$1245:$K$1259,MATCH("חופש",report!$I$1245:$I$1259,0)),0)</f>
        <v>1</v>
      </c>
      <c r="E36" s="70">
        <f>IFERROR(INDEX(report!$K$1245:$K$1259,MATCH("חופשה לחיוב",report!$I$1245:$I$1259,0)),0)</f>
        <v>4.5</v>
      </c>
      <c r="F36" s="70">
        <f>E36</f>
        <v>4.5</v>
      </c>
      <c r="G36" s="70">
        <f>IFERROR(INDEX(report!$K$1245:$K$1259,MATCH("מילואים",report!$I$1245:$I$1259,0)),0)</f>
        <v>0</v>
      </c>
      <c r="H36" s="70">
        <f>IFERROR(INDEX(report!$K$1245:$K$1259,MATCH("תאונת עבודה",report!$I$1245:$I$1259,0)),0)</f>
        <v>0</v>
      </c>
      <c r="I36" s="70">
        <f>IFERROR(INDEX(report!$K$1245:$K$1259,MATCH("מחלה",report!$I$1245:$I$1259,0)),0)</f>
        <v>0</v>
      </c>
      <c r="J36" s="70">
        <f>IFERROR(INDEX(report!$K$1245:$K$1259,MATCH("מחלה לקיזוז",report!$I$1245:$I$1259,0)),0)</f>
        <v>0</v>
      </c>
      <c r="K36" s="70">
        <f>IFERROR(INDEX(report!$K$1245:$K$1259,MATCH("חג",report!$I$1245:$I$1259,0)),0)</f>
        <v>3</v>
      </c>
      <c r="L36" s="70">
        <f>IFERROR(INDEX(report!$K$1245:$K$1259,MATCH("ערב חג",report!$I$1245:$I$1259,0)),0)</f>
        <v>3</v>
      </c>
      <c r="M36" s="70">
        <f>IFERROR(INDEX(report!$K$1245:$K$1259,MATCH("חול המועד",report!$I$1245:$I$1259,0)),0)</f>
        <v>2</v>
      </c>
      <c r="N36" s="70">
        <f>report!C1247</f>
        <v>21</v>
      </c>
      <c r="O36" s="70" t="s">
        <v>1602</v>
      </c>
      <c r="P36" s="70"/>
      <c r="Q36" s="96">
        <f>IFERROR(INDEX(report!$K$1245:$K$1259,MATCH("חל""ת",report!$I$1245:$I$1259,0)),0)</f>
        <v>0</v>
      </c>
      <c r="R36" s="96">
        <f>IFERROR(INDEX(report!$K$1245:$K$1259,MATCH("היעדרות",report!$I$1245:$I$1259,0)),0)</f>
        <v>0</v>
      </c>
    </row>
    <row r="37" spans="1:18" x14ac:dyDescent="0.2">
      <c r="A37" s="70">
        <v>118</v>
      </c>
      <c r="B37" s="70" t="s">
        <v>182</v>
      </c>
      <c r="C37" s="70">
        <f>report!C96</f>
        <v>12</v>
      </c>
      <c r="D37" s="70">
        <f>IFERROR(INDEX(report!$K$95:$K$109,MATCH("חופש",report!$I$95:$I$109,0)),0)</f>
        <v>1</v>
      </c>
      <c r="E37" s="70">
        <f>IFERROR(INDEX(report!$K$95:$K$109,MATCH("חופשה לחיוב",report!$I$95:$I$109,0)),0)</f>
        <v>0</v>
      </c>
      <c r="F37" s="70">
        <f>E37</f>
        <v>0</v>
      </c>
      <c r="G37" s="70">
        <f>IFERROR(INDEX(report!$K$95:$K$109,MATCH("מילואים",report!$I$95:$I$109,0)),0)</f>
        <v>3</v>
      </c>
      <c r="H37" s="70">
        <f>IFERROR(INDEX(report!$K$95:$K$109,MATCH("תאונת עבודה",report!$I$95:$I$109,0)),0)</f>
        <v>0</v>
      </c>
      <c r="I37" s="70">
        <f>IFERROR(INDEX(report!$K$95:$K$109,MATCH("מחלה",report!$I$95:$I$109,0)),0)</f>
        <v>0</v>
      </c>
      <c r="J37" s="70">
        <f>IFERROR(INDEX(report!$K$95:$K$109,MATCH("מחלה לקיזוז",report!$I$95:$I$109,0)),0)</f>
        <v>0</v>
      </c>
      <c r="K37" s="70">
        <f>IFERROR(INDEX(report!$K$95:$K$109,MATCH("חג",report!$I$95:$I$109,0)),0)</f>
        <v>3</v>
      </c>
      <c r="L37" s="70">
        <f>IFERROR(INDEX(report!$K$95:$K$109,MATCH("ערב חג",report!$I$95:$I$109,0)),0)</f>
        <v>2</v>
      </c>
      <c r="M37" s="70">
        <f>IFERROR(INDEX(report!$K$95:$K$109,MATCH("חול המועד",report!$I$95:$I$109,0)),0)</f>
        <v>2</v>
      </c>
      <c r="N37" s="70">
        <f>report!C97</f>
        <v>20</v>
      </c>
      <c r="O37" s="70" t="s">
        <v>1602</v>
      </c>
      <c r="P37" s="70"/>
      <c r="Q37" s="96">
        <f>IFERROR(INDEX(report!$K$95:$K$109,MATCH("חל""ת",report!$I$95:$I$109,0)),0)</f>
        <v>0</v>
      </c>
      <c r="R37" s="96">
        <f>IFERROR(INDEX(report!$K$95:$K$109,MATCH("היעדרות",report!$I$95:$I$109,0)),0)</f>
        <v>0</v>
      </c>
    </row>
    <row r="38" spans="1:18" x14ac:dyDescent="0.2">
      <c r="A38" s="70">
        <v>119</v>
      </c>
      <c r="B38" s="70" t="s">
        <v>1071</v>
      </c>
      <c r="C38" s="70">
        <f>report!C1299</f>
        <v>12</v>
      </c>
      <c r="D38" s="70">
        <f>IFERROR(INDEX(report!$K$1298:$K$1312,MATCH("חופש",report!$I$1298:$I$1312,0)),0)</f>
        <v>1</v>
      </c>
      <c r="E38" s="70">
        <f>IFERROR(INDEX(report!$K$1298:$K$1312,MATCH("חופשה לחיוב",report!$I$1298:$I$1312,0)),0)</f>
        <v>2.5</v>
      </c>
      <c r="F38" s="70">
        <f>E38</f>
        <v>2.5</v>
      </c>
      <c r="G38" s="70">
        <f>IFERROR(INDEX(report!$K$1298:$K$1312,MATCH("מילואים",report!$I$1298:$I$1312,0)),0)</f>
        <v>0</v>
      </c>
      <c r="H38" s="70">
        <f>IFERROR(INDEX(report!$K$1298:$K$1312,MATCH("תאונת עבודה",report!$I$1298:$I$1312,0)),0)</f>
        <v>0</v>
      </c>
      <c r="I38" s="70">
        <f>IFERROR(INDEX(report!$K$1298:$K$1312,MATCH("מחלה",report!$I$1298:$I$1312,0)),0)</f>
        <v>0</v>
      </c>
      <c r="J38" s="70">
        <f>IFERROR(INDEX(report!$K$1298:$K$1312,MATCH("מחלה לקיזוז",report!$I$1298:$I$1312,0)),0)</f>
        <v>0</v>
      </c>
      <c r="K38" s="70">
        <f>IFERROR(INDEX(report!$K$1298:$K$1312,MATCH("חג",report!$I$1298:$I$1312,0)),0)</f>
        <v>3</v>
      </c>
      <c r="L38" s="70">
        <f>IFERROR(INDEX(report!$K$1298:$K$1312,MATCH("ערב חג",report!$I$1298:$I$1312,0)),0)</f>
        <v>3</v>
      </c>
      <c r="M38" s="70">
        <f>IFERROR(INDEX(report!$K$1298:$K$1312,MATCH("חול המועד",report!$I$1298:$I$1312,0)),0)</f>
        <v>0</v>
      </c>
      <c r="N38" s="70">
        <f>report!C1300</f>
        <v>11</v>
      </c>
      <c r="O38" s="70" t="s">
        <v>1602</v>
      </c>
      <c r="P38" s="70"/>
      <c r="Q38" s="96">
        <f>IFERROR(INDEX(report!$K$1298:$K$1312,MATCH("חל""ת",report!$I$1298:$I$1312,0)),0)</f>
        <v>11</v>
      </c>
      <c r="R38" s="96">
        <f>IFERROR(INDEX(report!$K$1298:$K$1312,MATCH("היעדרות",report!$I$1298:$I$1312,0)),0)</f>
        <v>0</v>
      </c>
    </row>
    <row r="39" spans="1:18" x14ac:dyDescent="0.2">
      <c r="A39" s="70">
        <v>121</v>
      </c>
      <c r="B39" s="70" t="s">
        <v>266</v>
      </c>
      <c r="C39" s="70">
        <f>report!C148</f>
        <v>5</v>
      </c>
      <c r="D39" s="70">
        <f>IFERROR(INDEX(report!$K$147:$K$161,MATCH("חופש",report!$I$147:$I$161,0)),0)</f>
        <v>0</v>
      </c>
      <c r="E39" s="70">
        <f>IFERROR(INDEX(report!$K$147:$K$161,MATCH("חופשה לחיוב",report!$I$147:$I$161,0)),0)</f>
        <v>3.5</v>
      </c>
      <c r="F39" s="70">
        <f>E39</f>
        <v>3.5</v>
      </c>
      <c r="G39" s="70">
        <f>IFERROR(INDEX(report!$K$147:$K$161,MATCH("מילואים",report!$I$147:$I$161,0)),0)</f>
        <v>9</v>
      </c>
      <c r="H39" s="70">
        <f>IFERROR(INDEX(report!$K$147:$K$161,MATCH("תאונת עבודה",report!$I$147:$I$161,0)),0)</f>
        <v>0</v>
      </c>
      <c r="I39" s="70">
        <f>IFERROR(INDEX(report!$K$147:$K$161,MATCH("מחלה",report!$I$147:$I$161,0)),0)</f>
        <v>0</v>
      </c>
      <c r="J39" s="70">
        <f>IFERROR(INDEX(report!$K$147:$K$161,MATCH("מחלה לקיזוז",report!$I$147:$I$161,0)),0)</f>
        <v>0</v>
      </c>
      <c r="K39" s="70">
        <f>IFERROR(INDEX(report!$K$147:$K$161,MATCH("חג",report!$I$147:$I$161,0)),0)</f>
        <v>3</v>
      </c>
      <c r="L39" s="70">
        <f>IFERROR(INDEX(report!$K$147:$K$161,MATCH("ערב חג",report!$I$147:$I$161,0)),0)</f>
        <v>3</v>
      </c>
      <c r="M39" s="70">
        <f>IFERROR(INDEX(report!$K$147:$K$161,MATCH("חול המועד",report!$I$147:$I$161,0)),0)</f>
        <v>2</v>
      </c>
      <c r="N39" s="70">
        <f>report!C149</f>
        <v>22</v>
      </c>
      <c r="O39" s="70" t="s">
        <v>1602</v>
      </c>
      <c r="P39" s="70"/>
      <c r="Q39" s="96">
        <f>IFERROR(INDEX(report!$K$147:$K$161,MATCH("חל""ת",report!$I$147:$I$161,0)),0)</f>
        <v>0</v>
      </c>
      <c r="R39" s="96">
        <f>IFERROR(INDEX(report!$K$147:$K$161,MATCH("היעדרות",report!$I$147:$I$161,0)),0)</f>
        <v>0</v>
      </c>
    </row>
    <row r="40" spans="1:18" x14ac:dyDescent="0.2">
      <c r="A40" s="70">
        <v>122</v>
      </c>
      <c r="B40" s="70" t="s">
        <v>833</v>
      </c>
      <c r="C40" s="70">
        <f>report!C879</f>
        <v>8</v>
      </c>
      <c r="D40" s="70">
        <f>IFERROR(INDEX(report!$K$878:$K$892,MATCH("חופש",report!$I$878:$I$892,0)),0)</f>
        <v>0</v>
      </c>
      <c r="E40" s="70">
        <f>IFERROR(INDEX(report!$K$878:$K$892,MATCH("חופשה לחיוב",report!$I$878:$I$892,0)),0)</f>
        <v>3.5</v>
      </c>
      <c r="F40" s="70">
        <f>E40</f>
        <v>3.5</v>
      </c>
      <c r="G40" s="70">
        <f>IFERROR(INDEX(report!$K$878:$K$892,MATCH("מילואים",report!$I$878:$I$892,0)),0)</f>
        <v>0</v>
      </c>
      <c r="H40" s="70">
        <f>IFERROR(INDEX(report!$K$878:$K$892,MATCH("תאונת עבודה",report!$I$878:$I$892,0)),0)</f>
        <v>0</v>
      </c>
      <c r="I40" s="70">
        <f>IFERROR(INDEX(report!$K$878:$K$892,MATCH("מחלה",report!$I$878:$I$892,0)),0)</f>
        <v>0</v>
      </c>
      <c r="J40" s="70">
        <f>IFERROR(INDEX(report!$K$878:$K$892,MATCH("מחלה לקיזוז",report!$I$878:$I$892,0)),0)</f>
        <v>0</v>
      </c>
      <c r="K40" s="70">
        <f>IFERROR(INDEX(report!$K$878:$K$892,MATCH("חג",report!$I$878:$I$892,0)),0)</f>
        <v>3</v>
      </c>
      <c r="L40" s="70">
        <f>IFERROR(INDEX(report!$K$878:$K$892,MATCH("ערב חג",report!$I$878:$I$892,0)),0)</f>
        <v>3</v>
      </c>
      <c r="M40" s="70">
        <f>IFERROR(INDEX(report!$K$878:$K$892,MATCH("חול המועד",report!$I$878:$I$892,0)),0)</f>
        <v>2</v>
      </c>
      <c r="N40" s="70">
        <f>report!C880</f>
        <v>22</v>
      </c>
      <c r="O40" s="70" t="s">
        <v>1602</v>
      </c>
      <c r="P40" s="70"/>
      <c r="Q40" s="96">
        <f>IFERROR(INDEX(report!$K$878:$K$892,MATCH("חל""ת",report!$I$878:$I$892,0)),0)</f>
        <v>0</v>
      </c>
      <c r="R40" s="96">
        <f>IFERROR(INDEX(report!$K$878:$K$892,MATCH("היעדרות",report!$I$878:$I$892,0)),0)</f>
        <v>0</v>
      </c>
    </row>
    <row r="41" spans="1:18" x14ac:dyDescent="0.2">
      <c r="A41" s="70">
        <v>123</v>
      </c>
      <c r="B41" s="70" t="s">
        <v>1300</v>
      </c>
      <c r="C41" s="70">
        <f>report!C1768</f>
        <v>13</v>
      </c>
      <c r="D41" s="70">
        <f>IFERROR(INDEX(report!$K$1767:$K$1781,MATCH("חופש",report!$I$1767:$I$1781,0)),0)</f>
        <v>0</v>
      </c>
      <c r="E41" s="70">
        <f>IFERROR(INDEX(report!$K$1767:$K$1781,MATCH("חופשה לחיוב",report!$I$1767:$I$1781,0)),0)</f>
        <v>3</v>
      </c>
      <c r="F41" s="70">
        <f>E41</f>
        <v>3</v>
      </c>
      <c r="G41" s="70">
        <f>IFERROR(INDEX(report!$K$1767:$K$1781,MATCH("מילואים",report!$I$1767:$I$1781,0)),0)</f>
        <v>0</v>
      </c>
      <c r="H41" s="70">
        <f>IFERROR(INDEX(report!$K$1767:$K$1781,MATCH("תאונת עבודה",report!$I$1767:$I$1781,0)),0)</f>
        <v>0</v>
      </c>
      <c r="I41" s="70">
        <f>IFERROR(INDEX(report!$K$1767:$K$1781,MATCH("מחלה",report!$I$1767:$I$1781,0)),0)</f>
        <v>0</v>
      </c>
      <c r="J41" s="70">
        <f>IFERROR(INDEX(report!$K$1767:$K$1781,MATCH("מחלה לקיזוז",report!$I$1767:$I$1781,0)),0)</f>
        <v>0</v>
      </c>
      <c r="K41" s="70">
        <f>IFERROR(INDEX(report!$K$1767:$K$1781,MATCH("חג",report!$I$1767:$I$1781,0)),0)</f>
        <v>3</v>
      </c>
      <c r="L41" s="70">
        <f>IFERROR(INDEX(report!$K$1767:$K$1781,MATCH("ערב חג",report!$I$1767:$I$1781,0)),0)</f>
        <v>2</v>
      </c>
      <c r="M41" s="70">
        <f>IFERROR(INDEX(report!$K$1767:$K$1781,MATCH("חול המועד",report!$I$1767:$I$1781,0)),0)</f>
        <v>2</v>
      </c>
      <c r="N41" s="70">
        <f>report!C1769</f>
        <v>20</v>
      </c>
      <c r="O41" s="70" t="s">
        <v>1602</v>
      </c>
      <c r="P41" s="70"/>
      <c r="Q41" s="96">
        <f>IFERROR(INDEX(report!$K$1767:$K$1781,MATCH("חל""ת",report!$I$1767:$I$1781,0)),0)</f>
        <v>0</v>
      </c>
      <c r="R41" s="96">
        <f>IFERROR(INDEX(report!$K$1767:$K$1781,MATCH("היעדרות",report!$I$1767:$I$1781,0)),0)</f>
        <v>0</v>
      </c>
    </row>
    <row r="42" spans="1:18" x14ac:dyDescent="0.2">
      <c r="A42" s="70">
        <v>124</v>
      </c>
      <c r="B42" s="70" t="s">
        <v>1177</v>
      </c>
      <c r="C42" s="70">
        <f>report!C1456</f>
        <v>8</v>
      </c>
      <c r="D42" s="70">
        <f>IFERROR(INDEX(report!$K$1455:$K$1469,MATCH("חופש",report!$I$1455:$I$1469,0)),0)</f>
        <v>1</v>
      </c>
      <c r="E42" s="70">
        <f>IFERROR(INDEX(report!$K$1455:$K$1469,MATCH("חופשה לחיוב",report!$I$1455:$I$1469,0)),0)</f>
        <v>2.5</v>
      </c>
      <c r="F42" s="70">
        <f>E42</f>
        <v>2.5</v>
      </c>
      <c r="G42" s="70">
        <f>IFERROR(INDEX(report!$K$1455:$K$1469,MATCH("מילואים",report!$I$1455:$I$1469,0)),0)</f>
        <v>12</v>
      </c>
      <c r="H42" s="70">
        <f>IFERROR(INDEX(report!$K$1455:$K$1469,MATCH("תאונת עבודה",report!$I$1455:$I$1469,0)),0)</f>
        <v>0</v>
      </c>
      <c r="I42" s="70">
        <f>IFERROR(INDEX(report!$K$1455:$K$1469,MATCH("מחלה",report!$I$1455:$I$1469,0)),0)</f>
        <v>0</v>
      </c>
      <c r="J42" s="70">
        <f>IFERROR(INDEX(report!$K$1455:$K$1469,MATCH("מחלה לקיזוז",report!$I$1455:$I$1469,0)),0)</f>
        <v>0</v>
      </c>
      <c r="K42" s="70">
        <f>IFERROR(INDEX(report!$K$1455:$K$1469,MATCH("חג",report!$I$1455:$I$1469,0)),0)</f>
        <v>3</v>
      </c>
      <c r="L42" s="70">
        <f>IFERROR(INDEX(report!$K$1455:$K$1469,MATCH("ערב חג",report!$I$1455:$I$1469,0)),0)</f>
        <v>3</v>
      </c>
      <c r="M42" s="70">
        <f>IFERROR(INDEX(report!$K$1455:$K$1469,MATCH("חול המועד",report!$I$1455:$I$1469,0)),0)</f>
        <v>2</v>
      </c>
      <c r="N42" s="70">
        <f>report!C1457</f>
        <v>22</v>
      </c>
      <c r="O42" s="70" t="s">
        <v>1602</v>
      </c>
      <c r="P42" s="70"/>
      <c r="Q42" s="96">
        <f>IFERROR(INDEX(report!$K$1455:$K$1469,MATCH("חל""ת",report!$I$1455:$I$1469,0)),0)</f>
        <v>0</v>
      </c>
      <c r="R42" s="96">
        <f>IFERROR(INDEX(report!$K$1455:$K$1469,MATCH("היעדרות",report!$I$1455:$I$1469,0)),0)</f>
        <v>0</v>
      </c>
    </row>
    <row r="43" spans="1:18" x14ac:dyDescent="0.2">
      <c r="A43" s="70">
        <v>125</v>
      </c>
      <c r="B43" s="70" t="s">
        <v>1021</v>
      </c>
      <c r="C43" s="70">
        <f>report!C1194</f>
        <v>8</v>
      </c>
      <c r="D43" s="70">
        <f>IFERROR(INDEX(report!$K$1193:$K$1207,MATCH("חופש",report!$I$1193:$I$1207,0)),0)</f>
        <v>0</v>
      </c>
      <c r="E43" s="70">
        <f>IFERROR(INDEX(report!$K$1193:$K$1207,MATCH("חופשה לחיוב",report!$I$1193:$I$1207,0)),0)</f>
        <v>0</v>
      </c>
      <c r="F43" s="70">
        <f>E43</f>
        <v>0</v>
      </c>
      <c r="G43" s="70">
        <f>IFERROR(INDEX(report!$K$1193:$K$1207,MATCH("מילואים",report!$I$1193:$I$1207,0)),0)</f>
        <v>28</v>
      </c>
      <c r="H43" s="70">
        <f>IFERROR(INDEX(report!$K$1193:$K$1207,MATCH("תאונת עבודה",report!$I$1193:$I$1207,0)),0)</f>
        <v>0</v>
      </c>
      <c r="I43" s="70">
        <f>IFERROR(INDEX(report!$K$1193:$K$1207,MATCH("מחלה",report!$I$1193:$I$1207,0)),0)</f>
        <v>0</v>
      </c>
      <c r="J43" s="70">
        <f>IFERROR(INDEX(report!$K$1193:$K$1207,MATCH("מחלה לקיזוז",report!$I$1193:$I$1207,0)),0)</f>
        <v>0</v>
      </c>
      <c r="K43" s="70">
        <f>IFERROR(INDEX(report!$K$1193:$K$1207,MATCH("חג",report!$I$1193:$I$1207,0)),0)</f>
        <v>0</v>
      </c>
      <c r="L43" s="70">
        <f>IFERROR(INDEX(report!$K$1193:$K$1207,MATCH("ערב חג",report!$I$1193:$I$1207,0)),0)</f>
        <v>0</v>
      </c>
      <c r="M43" s="70">
        <f>IFERROR(INDEX(report!$K$1193:$K$1207,MATCH("חול המועד",report!$I$1193:$I$1207,0)),0)</f>
        <v>0</v>
      </c>
      <c r="N43" s="70">
        <f>report!C1195</f>
        <v>22</v>
      </c>
      <c r="O43" s="70" t="s">
        <v>1602</v>
      </c>
      <c r="P43" s="70"/>
      <c r="Q43" s="96">
        <f>IFERROR(INDEX(report!$K$1193:$K$1207,MATCH("חל""ת",report!$I$1193:$I$1207,0)),0)</f>
        <v>0</v>
      </c>
      <c r="R43" s="96">
        <f>IFERROR(INDEX(report!$K$1193:$K$1207,MATCH("היעדרות",report!$I$1193:$I$1207,0)),0)</f>
        <v>0</v>
      </c>
    </row>
    <row r="44" spans="1:18" x14ac:dyDescent="0.2">
      <c r="A44" s="70">
        <v>126</v>
      </c>
      <c r="B44" s="70" t="s">
        <v>1517</v>
      </c>
      <c r="C44" s="70">
        <f>report!C2292</f>
        <v>9</v>
      </c>
      <c r="D44" s="70">
        <f>IFERROR(INDEX(report!$K$2291:$K$2305,MATCH("חופש",report!$I$2291:$I$2305,0)),0)</f>
        <v>0</v>
      </c>
      <c r="E44" s="70">
        <f>IFERROR(INDEX(report!$K$2291:$K$2305,MATCH("חופשה לחיוב",report!$I$2291:$I$2305,0)),0)</f>
        <v>3</v>
      </c>
      <c r="F44" s="70">
        <f>E44</f>
        <v>3</v>
      </c>
      <c r="G44" s="70">
        <f>IFERROR(INDEX(report!$K$2291:$K$2305,MATCH("מילואים",report!$I$2291:$I$2305,0)),0)</f>
        <v>0</v>
      </c>
      <c r="H44" s="70">
        <f>IFERROR(INDEX(report!$K$2291:$K$2305,MATCH("תאונת עבודה",report!$I$2291:$I$2305,0)),0)</f>
        <v>0</v>
      </c>
      <c r="I44" s="70">
        <f>IFERROR(INDEX(report!$K$2291:$K$2305,MATCH("מחלה",report!$I$2291:$I$2305,0)),0)</f>
        <v>0</v>
      </c>
      <c r="J44" s="70">
        <f>IFERROR(INDEX(report!$K$2291:$K$2305,MATCH("מחלה לקיזוז",report!$I$2291:$I$2305,0)),0)</f>
        <v>0</v>
      </c>
      <c r="K44" s="70">
        <f>IFERROR(INDEX(report!$K$2291:$K$2305,MATCH("חג",report!$I$2291:$I$2305,0)),0)</f>
        <v>0</v>
      </c>
      <c r="L44" s="70">
        <f>IFERROR(INDEX(report!$K$2291:$K$2305,MATCH("ערב חג",report!$I$2291:$I$2305,0)),0)</f>
        <v>0</v>
      </c>
      <c r="M44" s="70">
        <f>IFERROR(INDEX(report!$K$2291:$K$2305,MATCH("חול המועד",report!$I$2291:$I$2305,0)),0)</f>
        <v>0</v>
      </c>
      <c r="N44" s="70">
        <f>report!C2293</f>
        <v>10</v>
      </c>
      <c r="O44" s="70" t="s">
        <v>1602</v>
      </c>
      <c r="P44" s="70"/>
      <c r="Q44" s="96">
        <f>IFERROR(INDEX(report!$K$2291:$K$2305,MATCH("חל""ת",report!$I$2291:$I$2305,0)),0)</f>
        <v>0</v>
      </c>
      <c r="R44" s="96">
        <f>IFERROR(INDEX(report!$K$2291:$K$2305,MATCH("היעדרות",report!$I$2291:$I$2305,0)),0)</f>
        <v>0</v>
      </c>
    </row>
    <row r="45" spans="1:18" x14ac:dyDescent="0.2">
      <c r="A45" s="70">
        <v>127</v>
      </c>
      <c r="B45" s="70" t="s">
        <v>816</v>
      </c>
      <c r="C45" s="70">
        <f>report!C827</f>
        <v>4</v>
      </c>
      <c r="D45" s="70">
        <f>IFERROR(INDEX(report!$K$826:$K$840,MATCH("חופש",report!$I$826:$I$840,0)),0)</f>
        <v>0</v>
      </c>
      <c r="E45" s="70">
        <f>IFERROR(INDEX(report!$K$826:$K$840,MATCH("חופשה לחיוב",report!$I$826:$I$840,0)),0)</f>
        <v>3.5</v>
      </c>
      <c r="F45" s="70">
        <f>E45</f>
        <v>3.5</v>
      </c>
      <c r="G45" s="70">
        <f>IFERROR(INDEX(report!$K$826:$K$840,MATCH("מילואים",report!$I$826:$I$840,0)),0)</f>
        <v>0</v>
      </c>
      <c r="H45" s="70">
        <f>IFERROR(INDEX(report!$K$826:$K$840,MATCH("תאונת עבודה",report!$I$826:$I$840,0)),0)</f>
        <v>0</v>
      </c>
      <c r="I45" s="70">
        <f>IFERROR(INDEX(report!$K$826:$K$840,MATCH("מחלה",report!$I$826:$I$840,0)),0)</f>
        <v>0</v>
      </c>
      <c r="J45" s="70">
        <f>IFERROR(INDEX(report!$K$826:$K$840,MATCH("מחלה לקיזוז",report!$I$826:$I$840,0)),0)</f>
        <v>0</v>
      </c>
      <c r="K45" s="70">
        <f>IFERROR(INDEX(report!$K$826:$K$840,MATCH("חג",report!$I$826:$I$840,0)),0)</f>
        <v>0</v>
      </c>
      <c r="L45" s="70">
        <f>IFERROR(INDEX(report!$K$826:$K$840,MATCH("ערב חג",report!$I$826:$I$840,0)),0)</f>
        <v>0</v>
      </c>
      <c r="M45" s="70">
        <f>IFERROR(INDEX(report!$K$826:$K$840,MATCH("חול המועד",report!$I$826:$I$840,0)),0)</f>
        <v>0</v>
      </c>
      <c r="N45" s="70">
        <f>report!C828</f>
        <v>4</v>
      </c>
      <c r="O45" s="70" t="s">
        <v>1602</v>
      </c>
      <c r="P45" s="70"/>
      <c r="Q45" s="96">
        <f>IFERROR(INDEX(report!$K$826:$K$840,MATCH("חל""ת",report!$I$826:$I$840,0)),0)</f>
        <v>0</v>
      </c>
      <c r="R45" s="96">
        <f>IFERROR(INDEX(report!$K$826:$K$840,MATCH("היעדרות",report!$I$826:$I$840,0)),0)</f>
        <v>0</v>
      </c>
    </row>
    <row r="46" spans="1:18" x14ac:dyDescent="0.2">
      <c r="A46" s="70" t="s">
        <v>1710</v>
      </c>
      <c r="B46" s="70" t="s">
        <v>901</v>
      </c>
      <c r="C46" s="70">
        <f>report!C1037</f>
        <v>11</v>
      </c>
      <c r="D46" s="70">
        <f>IFERROR(INDEX(report!$K$1036:$K$1050,MATCH("חופש",report!$I$1036:$I$1050,0)),0)</f>
        <v>0</v>
      </c>
      <c r="E46" s="70">
        <f>IFERROR(INDEX(report!$K$1036:$K$1050,MATCH("חופשה לחיוב",report!$I$1036:$I$1050,0)),0)</f>
        <v>1</v>
      </c>
      <c r="F46" s="70">
        <f>E46</f>
        <v>1</v>
      </c>
      <c r="G46" s="70">
        <f>IFERROR(INDEX(report!$K$1036:$K$1050,MATCH("מילואים",report!$I$1036:$I$1050,0)),0)</f>
        <v>0</v>
      </c>
      <c r="H46" s="70">
        <f>IFERROR(INDEX(report!$K$1036:$K$1050,MATCH("תאונת עבודה",report!$I$1036:$I$1050,0)),0)</f>
        <v>0</v>
      </c>
      <c r="I46" s="70">
        <f>IFERROR(INDEX(report!$K$1036:$K$1050,MATCH("מחלה",report!$I$1036:$I$1050,0)),0)</f>
        <v>0</v>
      </c>
      <c r="J46" s="70">
        <f>IFERROR(INDEX(report!$K$1036:$K$1050,MATCH("מחלה לקיזוז",report!$I$1036:$I$1050,0)),0)</f>
        <v>0</v>
      </c>
      <c r="K46" s="70">
        <f>IFERROR(INDEX(report!$K$1036:$K$1050,MATCH("חג",report!$I$1036:$I$1050,0)),0)</f>
        <v>3</v>
      </c>
      <c r="L46" s="70">
        <f>IFERROR(INDEX(report!$K$1036:$K$1050,MATCH("ערב חג",report!$I$1036:$I$1050,0)),0)</f>
        <v>2</v>
      </c>
      <c r="M46" s="70">
        <f>IFERROR(INDEX(report!$K$1036:$K$1050,MATCH("חול המועד",report!$I$1036:$I$1050,0)),0)</f>
        <v>2</v>
      </c>
      <c r="N46" s="70">
        <f>report!C1038</f>
        <v>22</v>
      </c>
      <c r="O46" s="70" t="s">
        <v>1602</v>
      </c>
      <c r="P46" s="70"/>
      <c r="Q46" s="96">
        <f>IFERROR(INDEX(report!$K$1036:$K$1050,MATCH("חל""ת",report!$I$1036:$I$1050,0)),0)</f>
        <v>0</v>
      </c>
      <c r="R46" s="96">
        <f>IFERROR(INDEX(report!$K$1036:$K$1050,MATCH("היעדרות",report!$I$1036:$I$1050,0)),0)</f>
        <v>0</v>
      </c>
    </row>
    <row r="47" spans="1:18" x14ac:dyDescent="0.2">
      <c r="A47" s="70" t="s">
        <v>1710</v>
      </c>
      <c r="B47" s="70" t="s">
        <v>509</v>
      </c>
      <c r="C47" s="70">
        <f>report!C410</f>
        <v>5</v>
      </c>
      <c r="D47" s="70">
        <f>IFERROR(INDEX(report!$K$409:$K$423,MATCH("חופש",report!$I$409:$I$423,0)),0)</f>
        <v>0</v>
      </c>
      <c r="E47" s="70">
        <f>IFERROR(INDEX(report!$K$409:$K$423,MATCH("חופשה לחיוב",report!$I$409:$I$423,0)),0)</f>
        <v>3.5</v>
      </c>
      <c r="F47" s="70">
        <f>E47</f>
        <v>3.5</v>
      </c>
      <c r="G47" s="70">
        <f>IFERROR(INDEX(report!$K$409:$K$423,MATCH("מילואים",report!$I$409:$I$423,0)),0)</f>
        <v>0</v>
      </c>
      <c r="H47" s="70">
        <f>IFERROR(INDEX(report!$K$409:$K$423,MATCH("תאונת עבודה",report!$I$409:$I$423,0)),0)</f>
        <v>0</v>
      </c>
      <c r="I47" s="70">
        <f>IFERROR(INDEX(report!$K$409:$K$423,MATCH("מחלה",report!$I$409:$I$423,0)),0)</f>
        <v>0</v>
      </c>
      <c r="J47" s="70">
        <f>IFERROR(INDEX(report!$K$409:$K$423,MATCH("מחלה לקיזוז",report!$I$409:$I$423,0)),0)</f>
        <v>0</v>
      </c>
      <c r="K47" s="70">
        <f>IFERROR(INDEX(report!$K$409:$K$423,MATCH("חג",report!$I$409:$I$423,0)),0)</f>
        <v>3</v>
      </c>
      <c r="L47" s="70">
        <f>IFERROR(INDEX(report!$K$409:$K$423,MATCH("ערב חג",report!$I$409:$I$423,0)),0)</f>
        <v>3</v>
      </c>
      <c r="M47" s="70">
        <f>IFERROR(INDEX(report!$K$409:$K$423,MATCH("חול המועד",report!$I$409:$I$423,0)),0)</f>
        <v>2</v>
      </c>
      <c r="N47" s="70">
        <f>report!C411</f>
        <v>22</v>
      </c>
      <c r="O47" s="70" t="s">
        <v>1602</v>
      </c>
      <c r="P47" s="70"/>
      <c r="Q47" s="96">
        <f>IFERROR(INDEX(report!$K$409:$K$423,MATCH("חל""ת",report!$I$409:$I$423,0)),0)</f>
        <v>0</v>
      </c>
      <c r="R47" s="96">
        <f>IFERROR(INDEX(report!$K$409:$K$423,MATCH("היעדרות",report!$I$409:$I$423,0)),0)</f>
        <v>0</v>
      </c>
    </row>
    <row r="48" spans="1:18" x14ac:dyDescent="0.2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</row>
    <row r="49" spans="1:16" x14ac:dyDescent="0.2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</row>
    <row r="50" spans="1:16" x14ac:dyDescent="0.2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</row>
    <row r="51" spans="1:16" x14ac:dyDescent="0.2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</row>
    <row r="52" spans="1:16" x14ac:dyDescent="0.2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</row>
    <row r="53" spans="1:16" x14ac:dyDescent="0.2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</row>
    <row r="54" spans="1:16" x14ac:dyDescent="0.2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</row>
    <row r="55" spans="1:16" x14ac:dyDescent="0.2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</row>
    <row r="56" spans="1:16" x14ac:dyDescent="0.2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</row>
    <row r="57" spans="1:16" x14ac:dyDescent="0.2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</row>
    <row r="58" spans="1:16" x14ac:dyDescent="0.2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</row>
    <row r="59" spans="1:16" x14ac:dyDescent="0.2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</row>
    <row r="60" spans="1:16" x14ac:dyDescent="0.2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</row>
    <row r="61" spans="1:16" x14ac:dyDescent="0.2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</row>
    <row r="62" spans="1:16" x14ac:dyDescent="0.2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</row>
    <row r="63" spans="1:16" x14ac:dyDescent="0.2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</row>
    <row r="64" spans="1:16" x14ac:dyDescent="0.2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</row>
    <row r="65" spans="1:16" x14ac:dyDescent="0.2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</row>
    <row r="66" spans="1:16" x14ac:dyDescent="0.2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</row>
    <row r="67" spans="1:16" x14ac:dyDescent="0.2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</row>
    <row r="68" spans="1:16" x14ac:dyDescent="0.2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</row>
    <row r="69" spans="1:16" x14ac:dyDescent="0.2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</row>
    <row r="70" spans="1:16" x14ac:dyDescent="0.2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</row>
    <row r="71" spans="1:16" x14ac:dyDescent="0.2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</row>
    <row r="72" spans="1:16" x14ac:dyDescent="0.2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</row>
    <row r="73" spans="1:16" x14ac:dyDescent="0.2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</row>
    <row r="74" spans="1:16" x14ac:dyDescent="0.2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</row>
    <row r="75" spans="1:16" x14ac:dyDescent="0.2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</row>
    <row r="76" spans="1:16" x14ac:dyDescent="0.2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</row>
    <row r="77" spans="1:16" x14ac:dyDescent="0.2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</row>
    <row r="78" spans="1:16" x14ac:dyDescent="0.2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</row>
    <row r="79" spans="1:16" x14ac:dyDescent="0.2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</row>
    <row r="80" spans="1:16" x14ac:dyDescent="0.2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</row>
    <row r="81" spans="1:16" x14ac:dyDescent="0.2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</row>
    <row r="82" spans="1:16" x14ac:dyDescent="0.2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</row>
    <row r="83" spans="1:16" x14ac:dyDescent="0.2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</row>
    <row r="84" spans="1:16" x14ac:dyDescent="0.2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</row>
    <row r="85" spans="1:16" x14ac:dyDescent="0.2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</row>
    <row r="86" spans="1:16" x14ac:dyDescent="0.2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</row>
    <row r="87" spans="1:16" x14ac:dyDescent="0.2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</row>
    <row r="88" spans="1:16" x14ac:dyDescent="0.2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</row>
    <row r="89" spans="1:16" x14ac:dyDescent="0.2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</row>
    <row r="90" spans="1:16" x14ac:dyDescent="0.2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</row>
    <row r="91" spans="1:16" x14ac:dyDescent="0.2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</row>
    <row r="92" spans="1:16" x14ac:dyDescent="0.2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</row>
    <row r="93" spans="1:16" x14ac:dyDescent="0.2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</row>
    <row r="94" spans="1:16" x14ac:dyDescent="0.2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</row>
    <row r="95" spans="1:16" x14ac:dyDescent="0.2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</row>
    <row r="96" spans="1:16" x14ac:dyDescent="0.2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</row>
    <row r="97" spans="1:16" x14ac:dyDescent="0.2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</row>
    <row r="98" spans="1:16" x14ac:dyDescent="0.2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</row>
    <row r="99" spans="1:16" x14ac:dyDescent="0.2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</row>
    <row r="100" spans="1:16" x14ac:dyDescent="0.2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</row>
    <row r="101" spans="1:16" x14ac:dyDescent="0.2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</row>
    <row r="102" spans="1:16" x14ac:dyDescent="0.2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</row>
    <row r="103" spans="1:16" x14ac:dyDescent="0.2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</row>
    <row r="104" spans="1:16" x14ac:dyDescent="0.2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</row>
    <row r="105" spans="1:16" x14ac:dyDescent="0.2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</row>
    <row r="106" spans="1:16" x14ac:dyDescent="0.2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</row>
    <row r="107" spans="1:16" x14ac:dyDescent="0.2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</row>
    <row r="108" spans="1:16" x14ac:dyDescent="0.2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</row>
    <row r="109" spans="1:16" x14ac:dyDescent="0.2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</row>
    <row r="110" spans="1:16" x14ac:dyDescent="0.2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</row>
    <row r="111" spans="1:16" x14ac:dyDescent="0.2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</row>
    <row r="112" spans="1:16" x14ac:dyDescent="0.2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</row>
    <row r="113" spans="1:16" x14ac:dyDescent="0.2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</row>
    <row r="114" spans="1:16" x14ac:dyDescent="0.2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</row>
    <row r="115" spans="1:16" x14ac:dyDescent="0.2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</row>
    <row r="116" spans="1:16" x14ac:dyDescent="0.2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</row>
    <row r="117" spans="1:16" x14ac:dyDescent="0.2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</row>
    <row r="118" spans="1:16" x14ac:dyDescent="0.2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</row>
    <row r="119" spans="1:16" x14ac:dyDescent="0.2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</row>
    <row r="120" spans="1:16" x14ac:dyDescent="0.2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</row>
    <row r="121" spans="1:16" x14ac:dyDescent="0.2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</row>
    <row r="122" spans="1:16" x14ac:dyDescent="0.2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</row>
    <row r="123" spans="1:16" x14ac:dyDescent="0.2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</row>
    <row r="124" spans="1:16" x14ac:dyDescent="0.2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</row>
    <row r="125" spans="1:16" x14ac:dyDescent="0.2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</row>
    <row r="126" spans="1:16" x14ac:dyDescent="0.2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</row>
    <row r="127" spans="1:16" x14ac:dyDescent="0.2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</row>
    <row r="128" spans="1:16" x14ac:dyDescent="0.2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</row>
    <row r="129" spans="1:16" x14ac:dyDescent="0.2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</row>
    <row r="130" spans="1:16" x14ac:dyDescent="0.2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</row>
    <row r="131" spans="1:16" x14ac:dyDescent="0.2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</row>
    <row r="132" spans="1:16" x14ac:dyDescent="0.2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</row>
    <row r="133" spans="1:16" x14ac:dyDescent="0.2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</row>
    <row r="134" spans="1:16" x14ac:dyDescent="0.2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</row>
    <row r="135" spans="1:16" x14ac:dyDescent="0.2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</row>
    <row r="136" spans="1:16" x14ac:dyDescent="0.2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</row>
    <row r="137" spans="1:16" x14ac:dyDescent="0.2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</row>
    <row r="138" spans="1:16" x14ac:dyDescent="0.2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</row>
    <row r="139" spans="1:16" x14ac:dyDescent="0.2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</row>
    <row r="140" spans="1:16" x14ac:dyDescent="0.2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</row>
    <row r="141" spans="1:16" x14ac:dyDescent="0.2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</row>
    <row r="142" spans="1:16" x14ac:dyDescent="0.2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</row>
    <row r="143" spans="1:16" x14ac:dyDescent="0.2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</row>
    <row r="144" spans="1:16" x14ac:dyDescent="0.2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</row>
    <row r="145" spans="1:16" x14ac:dyDescent="0.2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</row>
    <row r="146" spans="1:16" x14ac:dyDescent="0.2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</row>
    <row r="147" spans="1:16" x14ac:dyDescent="0.2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</row>
    <row r="148" spans="1:16" x14ac:dyDescent="0.2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</row>
    <row r="149" spans="1:16" x14ac:dyDescent="0.2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</row>
    <row r="150" spans="1:16" x14ac:dyDescent="0.2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</row>
    <row r="151" spans="1:16" x14ac:dyDescent="0.2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</row>
    <row r="152" spans="1:16" x14ac:dyDescent="0.2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</row>
    <row r="153" spans="1:16" x14ac:dyDescent="0.2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</row>
    <row r="154" spans="1:16" x14ac:dyDescent="0.2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</row>
    <row r="155" spans="1:16" x14ac:dyDescent="0.2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</row>
    <row r="156" spans="1:16" x14ac:dyDescent="0.2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</row>
    <row r="157" spans="1:16" x14ac:dyDescent="0.2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</row>
    <row r="158" spans="1:16" x14ac:dyDescent="0.2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</row>
    <row r="159" spans="1:16" x14ac:dyDescent="0.2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</row>
    <row r="160" spans="1:16" x14ac:dyDescent="0.2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</row>
    <row r="161" spans="1:16" x14ac:dyDescent="0.2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</row>
    <row r="162" spans="1:16" x14ac:dyDescent="0.2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</row>
    <row r="163" spans="1:16" x14ac:dyDescent="0.2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</row>
    <row r="164" spans="1:16" x14ac:dyDescent="0.2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</row>
    <row r="165" spans="1:16" x14ac:dyDescent="0.2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</row>
    <row r="166" spans="1:16" x14ac:dyDescent="0.2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</row>
    <row r="167" spans="1:16" x14ac:dyDescent="0.2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</row>
    <row r="168" spans="1:16" x14ac:dyDescent="0.2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</row>
    <row r="169" spans="1:16" x14ac:dyDescent="0.2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</row>
    <row r="170" spans="1:16" x14ac:dyDescent="0.2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</row>
    <row r="171" spans="1:16" x14ac:dyDescent="0.2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</row>
    <row r="172" spans="1:16" x14ac:dyDescent="0.2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</row>
    <row r="173" spans="1:16" x14ac:dyDescent="0.2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</row>
    <row r="174" spans="1:16" x14ac:dyDescent="0.2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</row>
    <row r="175" spans="1:16" x14ac:dyDescent="0.2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</row>
    <row r="176" spans="1:16" x14ac:dyDescent="0.2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</row>
    <row r="177" spans="1:16" x14ac:dyDescent="0.2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</row>
    <row r="178" spans="1:16" x14ac:dyDescent="0.2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</row>
    <row r="179" spans="1:16" x14ac:dyDescent="0.2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</row>
    <row r="180" spans="1:16" x14ac:dyDescent="0.2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</row>
    <row r="181" spans="1:16" x14ac:dyDescent="0.2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</row>
    <row r="182" spans="1:16" x14ac:dyDescent="0.2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</row>
    <row r="183" spans="1:16" x14ac:dyDescent="0.2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</row>
    <row r="184" spans="1:16" x14ac:dyDescent="0.2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</row>
    <row r="185" spans="1:16" x14ac:dyDescent="0.2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</row>
    <row r="186" spans="1:16" x14ac:dyDescent="0.2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</row>
    <row r="187" spans="1:16" x14ac:dyDescent="0.2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</row>
    <row r="188" spans="1:16" x14ac:dyDescent="0.2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</row>
    <row r="189" spans="1:16" x14ac:dyDescent="0.2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</row>
    <row r="190" spans="1:16" x14ac:dyDescent="0.2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</row>
    <row r="191" spans="1:16" x14ac:dyDescent="0.2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</row>
    <row r="192" spans="1:16" x14ac:dyDescent="0.2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</row>
    <row r="193" spans="1:16" x14ac:dyDescent="0.2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</row>
    <row r="194" spans="1:16" x14ac:dyDescent="0.2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</row>
    <row r="195" spans="1:16" x14ac:dyDescent="0.2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</row>
    <row r="196" spans="1:16" x14ac:dyDescent="0.2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</row>
    <row r="197" spans="1:16" x14ac:dyDescent="0.2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</row>
    <row r="198" spans="1:16" x14ac:dyDescent="0.2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</row>
    <row r="199" spans="1:16" x14ac:dyDescent="0.2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</row>
    <row r="200" spans="1:16" x14ac:dyDescent="0.2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</row>
  </sheetData>
  <mergeCells count="1">
    <mergeCell ref="A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78E72-C9E6-4569-9200-D5EE0CF97733}">
  <dimension ref="A1:D134"/>
  <sheetViews>
    <sheetView rightToLeft="1" workbookViewId="0">
      <pane ySplit="2" topLeftCell="A3" activePane="bottomLeft" state="frozen"/>
      <selection pane="bottomLeft" sqref="A1:D1"/>
    </sheetView>
  </sheetViews>
  <sheetFormatPr defaultRowHeight="14.25" x14ac:dyDescent="0.2"/>
  <cols>
    <col min="1" max="1" width="26.625" customWidth="1"/>
    <col min="2" max="2" width="16.625" customWidth="1"/>
    <col min="3" max="3" width="18.375" customWidth="1"/>
    <col min="4" max="4" width="33.375" customWidth="1"/>
  </cols>
  <sheetData>
    <row r="1" spans="1:4" ht="15" x14ac:dyDescent="0.25">
      <c r="A1" s="16" t="s">
        <v>1537</v>
      </c>
      <c r="B1" s="16"/>
      <c r="C1" s="16"/>
      <c r="D1" s="16"/>
    </row>
    <row r="2" spans="1:4" ht="15" x14ac:dyDescent="0.25">
      <c r="A2" s="15" t="s">
        <v>1532</v>
      </c>
      <c r="B2" s="15" t="s">
        <v>5</v>
      </c>
      <c r="C2" s="15" t="s">
        <v>6</v>
      </c>
      <c r="D2" s="15" t="s">
        <v>1538</v>
      </c>
    </row>
    <row r="3" spans="1:4" x14ac:dyDescent="0.2">
      <c r="A3" t="s">
        <v>0</v>
      </c>
      <c r="B3" t="s">
        <v>112</v>
      </c>
      <c r="C3" t="s">
        <v>22</v>
      </c>
      <c r="D3" t="s">
        <v>22</v>
      </c>
    </row>
    <row r="4" spans="1:4" x14ac:dyDescent="0.2">
      <c r="A4" t="s">
        <v>182</v>
      </c>
      <c r="B4" t="s">
        <v>112</v>
      </c>
      <c r="C4" t="s">
        <v>22</v>
      </c>
      <c r="D4" t="s">
        <v>22</v>
      </c>
    </row>
    <row r="5" spans="1:4" x14ac:dyDescent="0.2">
      <c r="A5" t="s">
        <v>266</v>
      </c>
      <c r="B5" t="s">
        <v>21</v>
      </c>
      <c r="C5" t="s">
        <v>22</v>
      </c>
      <c r="D5" t="s">
        <v>22</v>
      </c>
    </row>
    <row r="6" spans="1:4" x14ac:dyDescent="0.2">
      <c r="A6" t="s">
        <v>266</v>
      </c>
      <c r="B6" t="s">
        <v>26</v>
      </c>
      <c r="C6" t="s">
        <v>27</v>
      </c>
      <c r="D6" t="s">
        <v>27</v>
      </c>
    </row>
    <row r="7" spans="1:4" x14ac:dyDescent="0.2">
      <c r="A7" t="s">
        <v>266</v>
      </c>
      <c r="B7" t="s">
        <v>39</v>
      </c>
      <c r="C7" t="s">
        <v>22</v>
      </c>
      <c r="D7" t="s">
        <v>22</v>
      </c>
    </row>
    <row r="8" spans="1:4" x14ac:dyDescent="0.2">
      <c r="A8" t="s">
        <v>266</v>
      </c>
      <c r="B8" t="s">
        <v>40</v>
      </c>
      <c r="C8" t="s">
        <v>27</v>
      </c>
      <c r="D8" t="s">
        <v>27</v>
      </c>
    </row>
    <row r="9" spans="1:4" x14ac:dyDescent="0.2">
      <c r="A9" t="s">
        <v>266</v>
      </c>
      <c r="B9" t="s">
        <v>112</v>
      </c>
      <c r="C9" t="s">
        <v>22</v>
      </c>
      <c r="D9" t="s">
        <v>22</v>
      </c>
    </row>
    <row r="10" spans="1:4" x14ac:dyDescent="0.2">
      <c r="A10" t="s">
        <v>266</v>
      </c>
      <c r="B10" t="s">
        <v>114</v>
      </c>
      <c r="C10" t="s">
        <v>27</v>
      </c>
      <c r="D10" t="s">
        <v>27</v>
      </c>
    </row>
    <row r="11" spans="1:4" x14ac:dyDescent="0.2">
      <c r="A11" t="s">
        <v>298</v>
      </c>
      <c r="B11" t="s">
        <v>21</v>
      </c>
      <c r="C11" t="s">
        <v>22</v>
      </c>
      <c r="D11" t="s">
        <v>22</v>
      </c>
    </row>
    <row r="12" spans="1:4" x14ac:dyDescent="0.2">
      <c r="A12" t="s">
        <v>298</v>
      </c>
      <c r="B12" t="s">
        <v>26</v>
      </c>
      <c r="C12" t="s">
        <v>27</v>
      </c>
      <c r="D12" t="s">
        <v>27</v>
      </c>
    </row>
    <row r="13" spans="1:4" x14ac:dyDescent="0.2">
      <c r="A13" t="s">
        <v>298</v>
      </c>
      <c r="B13" t="s">
        <v>39</v>
      </c>
      <c r="C13" t="s">
        <v>22</v>
      </c>
      <c r="D13" t="s">
        <v>22</v>
      </c>
    </row>
    <row r="14" spans="1:4" x14ac:dyDescent="0.2">
      <c r="A14" t="s">
        <v>298</v>
      </c>
      <c r="B14" t="s">
        <v>40</v>
      </c>
      <c r="C14" t="s">
        <v>27</v>
      </c>
      <c r="D14" t="s">
        <v>27</v>
      </c>
    </row>
    <row r="15" spans="1:4" x14ac:dyDescent="0.2">
      <c r="A15" t="s">
        <v>298</v>
      </c>
      <c r="B15" t="s">
        <v>112</v>
      </c>
      <c r="C15" t="s">
        <v>22</v>
      </c>
      <c r="D15" t="s">
        <v>22</v>
      </c>
    </row>
    <row r="16" spans="1:4" x14ac:dyDescent="0.2">
      <c r="A16" t="s">
        <v>298</v>
      </c>
      <c r="B16" t="s">
        <v>114</v>
      </c>
      <c r="C16" t="s">
        <v>27</v>
      </c>
      <c r="D16" t="s">
        <v>27</v>
      </c>
    </row>
    <row r="17" spans="1:4" x14ac:dyDescent="0.2">
      <c r="A17" t="s">
        <v>377</v>
      </c>
      <c r="B17" t="s">
        <v>21</v>
      </c>
      <c r="C17" t="s">
        <v>22</v>
      </c>
      <c r="D17" t="s">
        <v>22</v>
      </c>
    </row>
    <row r="18" spans="1:4" x14ac:dyDescent="0.2">
      <c r="A18" t="s">
        <v>377</v>
      </c>
      <c r="B18" t="s">
        <v>26</v>
      </c>
      <c r="C18" t="s">
        <v>27</v>
      </c>
      <c r="D18" t="s">
        <v>27</v>
      </c>
    </row>
    <row r="19" spans="1:4" x14ac:dyDescent="0.2">
      <c r="A19" t="s">
        <v>377</v>
      </c>
      <c r="B19" t="s">
        <v>39</v>
      </c>
      <c r="C19" t="s">
        <v>22</v>
      </c>
      <c r="D19" t="s">
        <v>22</v>
      </c>
    </row>
    <row r="20" spans="1:4" x14ac:dyDescent="0.2">
      <c r="A20" t="s">
        <v>377</v>
      </c>
      <c r="B20" t="s">
        <v>40</v>
      </c>
      <c r="C20" t="s">
        <v>27</v>
      </c>
      <c r="D20" t="s">
        <v>27</v>
      </c>
    </row>
    <row r="21" spans="1:4" x14ac:dyDescent="0.2">
      <c r="A21" t="s">
        <v>377</v>
      </c>
      <c r="B21" t="s">
        <v>112</v>
      </c>
      <c r="C21" t="s">
        <v>22</v>
      </c>
      <c r="D21" t="s">
        <v>22</v>
      </c>
    </row>
    <row r="22" spans="1:4" x14ac:dyDescent="0.2">
      <c r="A22" t="s">
        <v>377</v>
      </c>
      <c r="B22" t="s">
        <v>114</v>
      </c>
      <c r="C22" t="s">
        <v>27</v>
      </c>
      <c r="D22" t="s">
        <v>27</v>
      </c>
    </row>
    <row r="23" spans="1:4" x14ac:dyDescent="0.2">
      <c r="A23" t="s">
        <v>380</v>
      </c>
      <c r="B23" t="s">
        <v>21</v>
      </c>
      <c r="C23" t="s">
        <v>22</v>
      </c>
      <c r="D23" t="s">
        <v>22</v>
      </c>
    </row>
    <row r="24" spans="1:4" x14ac:dyDescent="0.2">
      <c r="A24" t="s">
        <v>380</v>
      </c>
      <c r="B24" t="s">
        <v>26</v>
      </c>
      <c r="C24" t="s">
        <v>27</v>
      </c>
      <c r="D24" t="s">
        <v>27</v>
      </c>
    </row>
    <row r="25" spans="1:4" x14ac:dyDescent="0.2">
      <c r="A25" t="s">
        <v>380</v>
      </c>
      <c r="B25" t="s">
        <v>39</v>
      </c>
      <c r="C25" t="s">
        <v>22</v>
      </c>
      <c r="D25" t="s">
        <v>22</v>
      </c>
    </row>
    <row r="26" spans="1:4" x14ac:dyDescent="0.2">
      <c r="A26" t="s">
        <v>380</v>
      </c>
      <c r="B26" t="s">
        <v>40</v>
      </c>
      <c r="C26" t="s">
        <v>27</v>
      </c>
      <c r="D26" t="s">
        <v>27</v>
      </c>
    </row>
    <row r="27" spans="1:4" x14ac:dyDescent="0.2">
      <c r="A27" t="s">
        <v>380</v>
      </c>
      <c r="B27" t="s">
        <v>112</v>
      </c>
      <c r="C27" t="s">
        <v>22</v>
      </c>
      <c r="D27" t="s">
        <v>22</v>
      </c>
    </row>
    <row r="28" spans="1:4" x14ac:dyDescent="0.2">
      <c r="A28" t="s">
        <v>380</v>
      </c>
      <c r="B28" t="s">
        <v>114</v>
      </c>
      <c r="C28" t="s">
        <v>27</v>
      </c>
      <c r="D28" t="s">
        <v>27</v>
      </c>
    </row>
    <row r="29" spans="1:4" x14ac:dyDescent="0.2">
      <c r="A29" t="s">
        <v>447</v>
      </c>
      <c r="B29" t="s">
        <v>21</v>
      </c>
      <c r="C29" t="s">
        <v>22</v>
      </c>
      <c r="D29" t="s">
        <v>22</v>
      </c>
    </row>
    <row r="30" spans="1:4" x14ac:dyDescent="0.2">
      <c r="A30" t="s">
        <v>447</v>
      </c>
      <c r="B30" t="s">
        <v>26</v>
      </c>
      <c r="C30" t="s">
        <v>27</v>
      </c>
      <c r="D30" t="s">
        <v>27</v>
      </c>
    </row>
    <row r="31" spans="1:4" x14ac:dyDescent="0.2">
      <c r="A31" t="s">
        <v>447</v>
      </c>
      <c r="B31" t="s">
        <v>39</v>
      </c>
      <c r="C31" t="s">
        <v>22</v>
      </c>
      <c r="D31" t="s">
        <v>22</v>
      </c>
    </row>
    <row r="32" spans="1:4" x14ac:dyDescent="0.2">
      <c r="A32" t="s">
        <v>447</v>
      </c>
      <c r="B32" t="s">
        <v>40</v>
      </c>
      <c r="C32" t="s">
        <v>27</v>
      </c>
      <c r="D32" t="s">
        <v>27</v>
      </c>
    </row>
    <row r="33" spans="1:4" x14ac:dyDescent="0.2">
      <c r="A33" t="s">
        <v>447</v>
      </c>
      <c r="B33" t="s">
        <v>112</v>
      </c>
      <c r="C33" t="s">
        <v>22</v>
      </c>
      <c r="D33" t="s">
        <v>22</v>
      </c>
    </row>
    <row r="34" spans="1:4" x14ac:dyDescent="0.2">
      <c r="A34" t="s">
        <v>447</v>
      </c>
      <c r="B34" t="s">
        <v>114</v>
      </c>
      <c r="C34" t="s">
        <v>27</v>
      </c>
      <c r="D34" t="s">
        <v>27</v>
      </c>
    </row>
    <row r="35" spans="1:4" x14ac:dyDescent="0.2">
      <c r="A35" t="s">
        <v>509</v>
      </c>
      <c r="B35" t="s">
        <v>112</v>
      </c>
      <c r="C35" t="s">
        <v>22</v>
      </c>
      <c r="D35" t="s">
        <v>22</v>
      </c>
    </row>
    <row r="36" spans="1:4" x14ac:dyDescent="0.2">
      <c r="A36" t="s">
        <v>529</v>
      </c>
      <c r="B36" t="s">
        <v>21</v>
      </c>
      <c r="C36" t="s">
        <v>22</v>
      </c>
      <c r="D36" t="s">
        <v>22</v>
      </c>
    </row>
    <row r="37" spans="1:4" x14ac:dyDescent="0.2">
      <c r="A37" t="s">
        <v>529</v>
      </c>
      <c r="B37" t="s">
        <v>26</v>
      </c>
      <c r="C37" t="s">
        <v>27</v>
      </c>
      <c r="D37" t="s">
        <v>27</v>
      </c>
    </row>
    <row r="38" spans="1:4" x14ac:dyDescent="0.2">
      <c r="A38" t="s">
        <v>529</v>
      </c>
      <c r="B38" t="s">
        <v>39</v>
      </c>
      <c r="C38" t="s">
        <v>22</v>
      </c>
      <c r="D38" t="s">
        <v>22</v>
      </c>
    </row>
    <row r="39" spans="1:4" x14ac:dyDescent="0.2">
      <c r="A39" t="s">
        <v>529</v>
      </c>
      <c r="B39" t="s">
        <v>40</v>
      </c>
      <c r="C39" t="s">
        <v>27</v>
      </c>
      <c r="D39" t="s">
        <v>27</v>
      </c>
    </row>
    <row r="40" spans="1:4" x14ac:dyDescent="0.2">
      <c r="A40" t="s">
        <v>529</v>
      </c>
      <c r="B40" t="s">
        <v>112</v>
      </c>
      <c r="C40" t="s">
        <v>22</v>
      </c>
      <c r="D40" t="s">
        <v>22</v>
      </c>
    </row>
    <row r="41" spans="1:4" x14ac:dyDescent="0.2">
      <c r="A41" t="s">
        <v>529</v>
      </c>
      <c r="B41" t="s">
        <v>114</v>
      </c>
      <c r="C41" t="s">
        <v>27</v>
      </c>
      <c r="D41" t="s">
        <v>27</v>
      </c>
    </row>
    <row r="42" spans="1:4" x14ac:dyDescent="0.2">
      <c r="A42" t="s">
        <v>530</v>
      </c>
      <c r="B42" t="s">
        <v>21</v>
      </c>
      <c r="C42" t="s">
        <v>22</v>
      </c>
      <c r="D42" t="s">
        <v>22</v>
      </c>
    </row>
    <row r="43" spans="1:4" x14ac:dyDescent="0.2">
      <c r="A43" t="s">
        <v>530</v>
      </c>
      <c r="B43" t="s">
        <v>26</v>
      </c>
      <c r="C43" t="s">
        <v>27</v>
      </c>
      <c r="D43" t="s">
        <v>27</v>
      </c>
    </row>
    <row r="44" spans="1:4" x14ac:dyDescent="0.2">
      <c r="A44" t="s">
        <v>530</v>
      </c>
      <c r="B44" t="s">
        <v>39</v>
      </c>
      <c r="C44" t="s">
        <v>22</v>
      </c>
      <c r="D44" t="s">
        <v>22</v>
      </c>
    </row>
    <row r="45" spans="1:4" x14ac:dyDescent="0.2">
      <c r="A45" t="s">
        <v>530</v>
      </c>
      <c r="B45" t="s">
        <v>40</v>
      </c>
      <c r="C45" t="s">
        <v>27</v>
      </c>
      <c r="D45" t="s">
        <v>27</v>
      </c>
    </row>
    <row r="46" spans="1:4" x14ac:dyDescent="0.2">
      <c r="A46" t="s">
        <v>530</v>
      </c>
      <c r="B46" t="s">
        <v>112</v>
      </c>
      <c r="C46" t="s">
        <v>22</v>
      </c>
      <c r="D46" t="s">
        <v>22</v>
      </c>
    </row>
    <row r="47" spans="1:4" x14ac:dyDescent="0.2">
      <c r="A47" t="s">
        <v>530</v>
      </c>
      <c r="B47" t="s">
        <v>114</v>
      </c>
      <c r="C47" t="s">
        <v>27</v>
      </c>
      <c r="D47" t="s">
        <v>27</v>
      </c>
    </row>
    <row r="48" spans="1:4" x14ac:dyDescent="0.2">
      <c r="A48" t="s">
        <v>576</v>
      </c>
      <c r="B48" t="s">
        <v>112</v>
      </c>
      <c r="C48" t="s">
        <v>22</v>
      </c>
      <c r="D48" t="s">
        <v>22</v>
      </c>
    </row>
    <row r="49" spans="1:4" x14ac:dyDescent="0.2">
      <c r="A49" t="s">
        <v>633</v>
      </c>
      <c r="B49" t="s">
        <v>112</v>
      </c>
      <c r="C49" t="s">
        <v>22</v>
      </c>
      <c r="D49" t="s">
        <v>22</v>
      </c>
    </row>
    <row r="50" spans="1:4" x14ac:dyDescent="0.2">
      <c r="A50" t="s">
        <v>651</v>
      </c>
      <c r="B50" t="s">
        <v>21</v>
      </c>
      <c r="C50" t="s">
        <v>22</v>
      </c>
      <c r="D50" t="s">
        <v>22</v>
      </c>
    </row>
    <row r="51" spans="1:4" x14ac:dyDescent="0.2">
      <c r="A51" t="s">
        <v>651</v>
      </c>
      <c r="B51" t="s">
        <v>26</v>
      </c>
      <c r="C51" t="s">
        <v>27</v>
      </c>
      <c r="D51" t="s">
        <v>27</v>
      </c>
    </row>
    <row r="52" spans="1:4" x14ac:dyDescent="0.2">
      <c r="A52" t="s">
        <v>651</v>
      </c>
      <c r="B52" t="s">
        <v>39</v>
      </c>
      <c r="C52" t="s">
        <v>22</v>
      </c>
      <c r="D52" t="s">
        <v>22</v>
      </c>
    </row>
    <row r="53" spans="1:4" x14ac:dyDescent="0.2">
      <c r="A53" t="s">
        <v>651</v>
      </c>
      <c r="B53" t="s">
        <v>40</v>
      </c>
      <c r="C53" t="s">
        <v>27</v>
      </c>
      <c r="D53" t="s">
        <v>27</v>
      </c>
    </row>
    <row r="54" spans="1:4" x14ac:dyDescent="0.2">
      <c r="A54" t="s">
        <v>651</v>
      </c>
      <c r="B54" t="s">
        <v>112</v>
      </c>
      <c r="C54" t="s">
        <v>22</v>
      </c>
      <c r="D54" t="s">
        <v>22</v>
      </c>
    </row>
    <row r="55" spans="1:4" x14ac:dyDescent="0.2">
      <c r="A55" t="s">
        <v>651</v>
      </c>
      <c r="B55" t="s">
        <v>114</v>
      </c>
      <c r="C55" t="s">
        <v>27</v>
      </c>
      <c r="D55" t="s">
        <v>27</v>
      </c>
    </row>
    <row r="56" spans="1:4" x14ac:dyDescent="0.2">
      <c r="A56" t="s">
        <v>701</v>
      </c>
      <c r="B56" t="s">
        <v>21</v>
      </c>
      <c r="C56" t="s">
        <v>22</v>
      </c>
      <c r="D56" t="s">
        <v>22</v>
      </c>
    </row>
    <row r="57" spans="1:4" x14ac:dyDescent="0.2">
      <c r="A57" t="s">
        <v>701</v>
      </c>
      <c r="B57" t="s">
        <v>26</v>
      </c>
      <c r="C57" t="s">
        <v>27</v>
      </c>
      <c r="D57" t="s">
        <v>27</v>
      </c>
    </row>
    <row r="58" spans="1:4" x14ac:dyDescent="0.2">
      <c r="A58" t="s">
        <v>701</v>
      </c>
      <c r="B58" t="s">
        <v>39</v>
      </c>
      <c r="C58" t="s">
        <v>22</v>
      </c>
      <c r="D58" t="s">
        <v>22</v>
      </c>
    </row>
    <row r="59" spans="1:4" x14ac:dyDescent="0.2">
      <c r="A59" t="s">
        <v>701</v>
      </c>
      <c r="B59" t="s">
        <v>40</v>
      </c>
      <c r="C59" t="s">
        <v>27</v>
      </c>
      <c r="D59" t="s">
        <v>27</v>
      </c>
    </row>
    <row r="60" spans="1:4" x14ac:dyDescent="0.2">
      <c r="A60" t="s">
        <v>701</v>
      </c>
      <c r="B60" t="s">
        <v>112</v>
      </c>
      <c r="C60" t="s">
        <v>22</v>
      </c>
      <c r="D60" t="s">
        <v>22</v>
      </c>
    </row>
    <row r="61" spans="1:4" x14ac:dyDescent="0.2">
      <c r="A61" t="s">
        <v>701</v>
      </c>
      <c r="B61" t="s">
        <v>114</v>
      </c>
      <c r="C61" t="s">
        <v>27</v>
      </c>
      <c r="D61" t="s">
        <v>27</v>
      </c>
    </row>
    <row r="62" spans="1:4" x14ac:dyDescent="0.2">
      <c r="A62" t="s">
        <v>751</v>
      </c>
      <c r="B62" t="s">
        <v>26</v>
      </c>
      <c r="C62" t="s">
        <v>27</v>
      </c>
      <c r="D62" t="s">
        <v>27</v>
      </c>
    </row>
    <row r="63" spans="1:4" x14ac:dyDescent="0.2">
      <c r="A63" t="s">
        <v>751</v>
      </c>
      <c r="B63" t="s">
        <v>39</v>
      </c>
      <c r="C63" t="s">
        <v>22</v>
      </c>
      <c r="D63" t="s">
        <v>22</v>
      </c>
    </row>
    <row r="64" spans="1:4" x14ac:dyDescent="0.2">
      <c r="A64" t="s">
        <v>751</v>
      </c>
      <c r="B64" t="s">
        <v>40</v>
      </c>
      <c r="C64" t="s">
        <v>27</v>
      </c>
      <c r="D64" t="s">
        <v>27</v>
      </c>
    </row>
    <row r="65" spans="1:4" x14ac:dyDescent="0.2">
      <c r="A65" t="s">
        <v>751</v>
      </c>
      <c r="B65" t="s">
        <v>114</v>
      </c>
      <c r="C65" t="s">
        <v>27</v>
      </c>
      <c r="D65" t="s">
        <v>27</v>
      </c>
    </row>
    <row r="66" spans="1:4" x14ac:dyDescent="0.2">
      <c r="A66" t="s">
        <v>816</v>
      </c>
      <c r="B66" t="s">
        <v>21</v>
      </c>
      <c r="C66" t="s">
        <v>22</v>
      </c>
      <c r="D66" t="s">
        <v>22</v>
      </c>
    </row>
    <row r="67" spans="1:4" x14ac:dyDescent="0.2">
      <c r="A67" t="s">
        <v>816</v>
      </c>
      <c r="B67" t="s">
        <v>26</v>
      </c>
      <c r="C67" t="s">
        <v>27</v>
      </c>
      <c r="D67" t="s">
        <v>27</v>
      </c>
    </row>
    <row r="68" spans="1:4" x14ac:dyDescent="0.2">
      <c r="A68" t="s">
        <v>816</v>
      </c>
      <c r="B68" t="s">
        <v>39</v>
      </c>
      <c r="C68" t="s">
        <v>22</v>
      </c>
      <c r="D68" t="s">
        <v>22</v>
      </c>
    </row>
    <row r="69" spans="1:4" x14ac:dyDescent="0.2">
      <c r="A69" t="s">
        <v>816</v>
      </c>
      <c r="B69" t="s">
        <v>40</v>
      </c>
      <c r="C69" t="s">
        <v>27</v>
      </c>
      <c r="D69" t="s">
        <v>27</v>
      </c>
    </row>
    <row r="70" spans="1:4" x14ac:dyDescent="0.2">
      <c r="A70" t="s">
        <v>816</v>
      </c>
      <c r="B70" t="s">
        <v>112</v>
      </c>
      <c r="C70" t="s">
        <v>22</v>
      </c>
      <c r="D70" t="s">
        <v>22</v>
      </c>
    </row>
    <row r="71" spans="1:4" x14ac:dyDescent="0.2">
      <c r="A71" t="s">
        <v>816</v>
      </c>
      <c r="B71" t="s">
        <v>114</v>
      </c>
      <c r="C71" t="s">
        <v>27</v>
      </c>
      <c r="D71" t="s">
        <v>27</v>
      </c>
    </row>
    <row r="72" spans="1:4" x14ac:dyDescent="0.2">
      <c r="A72" t="s">
        <v>833</v>
      </c>
      <c r="B72" t="s">
        <v>112</v>
      </c>
      <c r="C72" t="s">
        <v>22</v>
      </c>
      <c r="D72" t="s">
        <v>22</v>
      </c>
    </row>
    <row r="73" spans="1:4" x14ac:dyDescent="0.2">
      <c r="A73" t="s">
        <v>871</v>
      </c>
      <c r="B73" t="s">
        <v>21</v>
      </c>
      <c r="C73" t="s">
        <v>22</v>
      </c>
      <c r="D73" t="s">
        <v>22</v>
      </c>
    </row>
    <row r="74" spans="1:4" x14ac:dyDescent="0.2">
      <c r="A74" t="s">
        <v>871</v>
      </c>
      <c r="B74" t="s">
        <v>26</v>
      </c>
      <c r="C74" t="s">
        <v>27</v>
      </c>
      <c r="D74" t="s">
        <v>27</v>
      </c>
    </row>
    <row r="75" spans="1:4" x14ac:dyDescent="0.2">
      <c r="A75" t="s">
        <v>871</v>
      </c>
      <c r="B75" t="s">
        <v>39</v>
      </c>
      <c r="C75" t="s">
        <v>22</v>
      </c>
      <c r="D75" t="s">
        <v>22</v>
      </c>
    </row>
    <row r="76" spans="1:4" x14ac:dyDescent="0.2">
      <c r="A76" t="s">
        <v>871</v>
      </c>
      <c r="B76" t="s">
        <v>40</v>
      </c>
      <c r="C76" t="s">
        <v>27</v>
      </c>
      <c r="D76" t="s">
        <v>27</v>
      </c>
    </row>
    <row r="77" spans="1:4" x14ac:dyDescent="0.2">
      <c r="A77" t="s">
        <v>871</v>
      </c>
      <c r="B77" t="s">
        <v>112</v>
      </c>
      <c r="C77" t="s">
        <v>22</v>
      </c>
      <c r="D77" t="s">
        <v>22</v>
      </c>
    </row>
    <row r="78" spans="1:4" x14ac:dyDescent="0.2">
      <c r="A78" t="s">
        <v>871</v>
      </c>
      <c r="B78" t="s">
        <v>114</v>
      </c>
      <c r="C78" t="s">
        <v>27</v>
      </c>
      <c r="D78" t="s">
        <v>27</v>
      </c>
    </row>
    <row r="79" spans="1:4" x14ac:dyDescent="0.2">
      <c r="A79" t="s">
        <v>943</v>
      </c>
      <c r="B79" t="s">
        <v>21</v>
      </c>
      <c r="C79" t="s">
        <v>22</v>
      </c>
      <c r="D79" t="s">
        <v>22</v>
      </c>
    </row>
    <row r="80" spans="1:4" x14ac:dyDescent="0.2">
      <c r="A80" t="s">
        <v>943</v>
      </c>
      <c r="B80" t="s">
        <v>26</v>
      </c>
      <c r="C80" t="s">
        <v>27</v>
      </c>
      <c r="D80" t="s">
        <v>27</v>
      </c>
    </row>
    <row r="81" spans="1:4" x14ac:dyDescent="0.2">
      <c r="A81" t="s">
        <v>943</v>
      </c>
      <c r="B81" t="s">
        <v>39</v>
      </c>
      <c r="C81" t="s">
        <v>22</v>
      </c>
      <c r="D81" t="s">
        <v>22</v>
      </c>
    </row>
    <row r="82" spans="1:4" x14ac:dyDescent="0.2">
      <c r="A82" t="s">
        <v>943</v>
      </c>
      <c r="B82" t="s">
        <v>40</v>
      </c>
      <c r="C82" t="s">
        <v>27</v>
      </c>
      <c r="D82" t="s">
        <v>27</v>
      </c>
    </row>
    <row r="83" spans="1:4" x14ac:dyDescent="0.2">
      <c r="A83" t="s">
        <v>943</v>
      </c>
      <c r="B83" t="s">
        <v>114</v>
      </c>
      <c r="C83" t="s">
        <v>27</v>
      </c>
      <c r="D83" t="s">
        <v>27</v>
      </c>
    </row>
    <row r="84" spans="1:4" x14ac:dyDescent="0.2">
      <c r="A84" t="s">
        <v>984</v>
      </c>
      <c r="B84" t="s">
        <v>21</v>
      </c>
      <c r="C84" t="s">
        <v>22</v>
      </c>
      <c r="D84" t="s">
        <v>22</v>
      </c>
    </row>
    <row r="85" spans="1:4" x14ac:dyDescent="0.2">
      <c r="A85" t="s">
        <v>984</v>
      </c>
      <c r="B85" t="s">
        <v>26</v>
      </c>
      <c r="C85" t="s">
        <v>27</v>
      </c>
      <c r="D85" t="s">
        <v>27</v>
      </c>
    </row>
    <row r="86" spans="1:4" x14ac:dyDescent="0.2">
      <c r="A86" t="s">
        <v>984</v>
      </c>
      <c r="B86" t="s">
        <v>39</v>
      </c>
      <c r="C86" t="s">
        <v>22</v>
      </c>
      <c r="D86" t="s">
        <v>22</v>
      </c>
    </row>
    <row r="87" spans="1:4" x14ac:dyDescent="0.2">
      <c r="A87" t="s">
        <v>984</v>
      </c>
      <c r="B87" t="s">
        <v>40</v>
      </c>
      <c r="C87" t="s">
        <v>27</v>
      </c>
      <c r="D87" t="s">
        <v>27</v>
      </c>
    </row>
    <row r="88" spans="1:4" x14ac:dyDescent="0.2">
      <c r="A88" t="s">
        <v>1021</v>
      </c>
      <c r="B88" t="s">
        <v>112</v>
      </c>
      <c r="C88" t="s">
        <v>22</v>
      </c>
      <c r="D88" t="s">
        <v>22</v>
      </c>
    </row>
    <row r="89" spans="1:4" x14ac:dyDescent="0.2">
      <c r="A89" t="s">
        <v>1036</v>
      </c>
      <c r="B89" t="s">
        <v>21</v>
      </c>
      <c r="C89" t="s">
        <v>22</v>
      </c>
      <c r="D89" t="s">
        <v>22</v>
      </c>
    </row>
    <row r="90" spans="1:4" x14ac:dyDescent="0.2">
      <c r="A90" t="s">
        <v>1036</v>
      </c>
      <c r="B90" t="s">
        <v>26</v>
      </c>
      <c r="C90" t="s">
        <v>27</v>
      </c>
      <c r="D90" t="s">
        <v>27</v>
      </c>
    </row>
    <row r="91" spans="1:4" x14ac:dyDescent="0.2">
      <c r="A91" t="s">
        <v>1036</v>
      </c>
      <c r="B91" t="s">
        <v>39</v>
      </c>
      <c r="C91" t="s">
        <v>22</v>
      </c>
      <c r="D91" t="s">
        <v>22</v>
      </c>
    </row>
    <row r="92" spans="1:4" x14ac:dyDescent="0.2">
      <c r="A92" t="s">
        <v>1036</v>
      </c>
      <c r="B92" t="s">
        <v>40</v>
      </c>
      <c r="C92" t="s">
        <v>27</v>
      </c>
      <c r="D92" t="s">
        <v>27</v>
      </c>
    </row>
    <row r="93" spans="1:4" x14ac:dyDescent="0.2">
      <c r="A93" t="s">
        <v>1036</v>
      </c>
      <c r="B93" t="s">
        <v>112</v>
      </c>
      <c r="C93" t="s">
        <v>22</v>
      </c>
      <c r="D93" t="s">
        <v>22</v>
      </c>
    </row>
    <row r="94" spans="1:4" x14ac:dyDescent="0.2">
      <c r="A94" t="s">
        <v>1036</v>
      </c>
      <c r="B94" t="s">
        <v>114</v>
      </c>
      <c r="C94" t="s">
        <v>27</v>
      </c>
      <c r="D94" t="s">
        <v>27</v>
      </c>
    </row>
    <row r="95" spans="1:4" x14ac:dyDescent="0.2">
      <c r="A95" t="s">
        <v>1071</v>
      </c>
      <c r="B95" t="s">
        <v>112</v>
      </c>
      <c r="C95" t="s">
        <v>22</v>
      </c>
      <c r="D95" t="s">
        <v>22</v>
      </c>
    </row>
    <row r="96" spans="1:4" x14ac:dyDescent="0.2">
      <c r="A96" t="s">
        <v>1120</v>
      </c>
      <c r="B96" t="s">
        <v>21</v>
      </c>
      <c r="C96" t="s">
        <v>22</v>
      </c>
      <c r="D96" t="s">
        <v>22</v>
      </c>
    </row>
    <row r="97" spans="1:4" x14ac:dyDescent="0.2">
      <c r="A97" t="s">
        <v>1120</v>
      </c>
      <c r="B97" t="s">
        <v>26</v>
      </c>
      <c r="C97" t="s">
        <v>27</v>
      </c>
      <c r="D97" t="s">
        <v>27</v>
      </c>
    </row>
    <row r="98" spans="1:4" x14ac:dyDescent="0.2">
      <c r="A98" t="s">
        <v>1120</v>
      </c>
      <c r="B98" t="s">
        <v>39</v>
      </c>
      <c r="C98" t="s">
        <v>22</v>
      </c>
      <c r="D98" t="s">
        <v>22</v>
      </c>
    </row>
    <row r="99" spans="1:4" x14ac:dyDescent="0.2">
      <c r="A99" t="s">
        <v>1120</v>
      </c>
      <c r="B99" t="s">
        <v>40</v>
      </c>
      <c r="C99" t="s">
        <v>27</v>
      </c>
      <c r="D99" t="s">
        <v>27</v>
      </c>
    </row>
    <row r="100" spans="1:4" x14ac:dyDescent="0.2">
      <c r="A100" t="s">
        <v>1120</v>
      </c>
      <c r="B100" t="s">
        <v>114</v>
      </c>
      <c r="C100" t="s">
        <v>27</v>
      </c>
      <c r="D100" t="s">
        <v>27</v>
      </c>
    </row>
    <row r="101" spans="1:4" x14ac:dyDescent="0.2">
      <c r="A101" t="s">
        <v>1197</v>
      </c>
      <c r="B101" t="s">
        <v>21</v>
      </c>
      <c r="C101" t="s">
        <v>22</v>
      </c>
      <c r="D101" t="s">
        <v>22</v>
      </c>
    </row>
    <row r="102" spans="1:4" x14ac:dyDescent="0.2">
      <c r="A102" t="s">
        <v>1197</v>
      </c>
      <c r="B102" t="s">
        <v>26</v>
      </c>
      <c r="C102" t="s">
        <v>27</v>
      </c>
      <c r="D102" t="s">
        <v>27</v>
      </c>
    </row>
    <row r="103" spans="1:4" x14ac:dyDescent="0.2">
      <c r="A103" t="s">
        <v>1197</v>
      </c>
      <c r="B103" t="s">
        <v>39</v>
      </c>
      <c r="C103" t="s">
        <v>22</v>
      </c>
      <c r="D103" t="s">
        <v>22</v>
      </c>
    </row>
    <row r="104" spans="1:4" x14ac:dyDescent="0.2">
      <c r="A104" t="s">
        <v>1197</v>
      </c>
      <c r="B104" t="s">
        <v>40</v>
      </c>
      <c r="C104" t="s">
        <v>27</v>
      </c>
      <c r="D104" t="s">
        <v>27</v>
      </c>
    </row>
    <row r="105" spans="1:4" x14ac:dyDescent="0.2">
      <c r="A105" t="s">
        <v>1197</v>
      </c>
      <c r="B105" t="s">
        <v>114</v>
      </c>
      <c r="C105" t="s">
        <v>27</v>
      </c>
      <c r="D105" t="s">
        <v>27</v>
      </c>
    </row>
    <row r="106" spans="1:4" x14ac:dyDescent="0.2">
      <c r="A106" t="s">
        <v>1226</v>
      </c>
      <c r="B106" t="s">
        <v>112</v>
      </c>
      <c r="C106" t="s">
        <v>22</v>
      </c>
      <c r="D106" t="s">
        <v>22</v>
      </c>
    </row>
    <row r="107" spans="1:4" x14ac:dyDescent="0.2">
      <c r="A107" t="s">
        <v>1267</v>
      </c>
      <c r="B107" t="s">
        <v>21</v>
      </c>
      <c r="C107" t="s">
        <v>22</v>
      </c>
      <c r="D107" t="s">
        <v>22</v>
      </c>
    </row>
    <row r="108" spans="1:4" x14ac:dyDescent="0.2">
      <c r="A108" t="s">
        <v>1267</v>
      </c>
      <c r="B108" t="s">
        <v>26</v>
      </c>
      <c r="C108" t="s">
        <v>27</v>
      </c>
      <c r="D108" t="s">
        <v>27</v>
      </c>
    </row>
    <row r="109" spans="1:4" x14ac:dyDescent="0.2">
      <c r="A109" t="s">
        <v>1267</v>
      </c>
      <c r="B109" t="s">
        <v>39</v>
      </c>
      <c r="C109" t="s">
        <v>22</v>
      </c>
      <c r="D109" t="s">
        <v>22</v>
      </c>
    </row>
    <row r="110" spans="1:4" x14ac:dyDescent="0.2">
      <c r="A110" t="s">
        <v>1267</v>
      </c>
      <c r="B110" t="s">
        <v>40</v>
      </c>
      <c r="C110" t="s">
        <v>27</v>
      </c>
      <c r="D110" t="s">
        <v>27</v>
      </c>
    </row>
    <row r="111" spans="1:4" x14ac:dyDescent="0.2">
      <c r="A111" t="s">
        <v>1267</v>
      </c>
      <c r="B111" t="s">
        <v>114</v>
      </c>
      <c r="C111" t="s">
        <v>27</v>
      </c>
      <c r="D111" t="s">
        <v>27</v>
      </c>
    </row>
    <row r="112" spans="1:4" x14ac:dyDescent="0.2">
      <c r="A112" t="s">
        <v>1403</v>
      </c>
      <c r="B112" t="s">
        <v>21</v>
      </c>
      <c r="C112" t="s">
        <v>22</v>
      </c>
      <c r="D112" t="s">
        <v>22</v>
      </c>
    </row>
    <row r="113" spans="1:4" x14ac:dyDescent="0.2">
      <c r="A113" t="s">
        <v>1403</v>
      </c>
      <c r="B113" t="s">
        <v>26</v>
      </c>
      <c r="C113" t="s">
        <v>27</v>
      </c>
      <c r="D113" t="s">
        <v>27</v>
      </c>
    </row>
    <row r="114" spans="1:4" x14ac:dyDescent="0.2">
      <c r="A114" t="s">
        <v>1403</v>
      </c>
      <c r="B114" t="s">
        <v>39</v>
      </c>
      <c r="C114" t="s">
        <v>22</v>
      </c>
      <c r="D114" t="s">
        <v>22</v>
      </c>
    </row>
    <row r="115" spans="1:4" x14ac:dyDescent="0.2">
      <c r="A115" t="s">
        <v>1403</v>
      </c>
      <c r="B115" t="s">
        <v>40</v>
      </c>
      <c r="C115" t="s">
        <v>27</v>
      </c>
      <c r="D115" t="s">
        <v>27</v>
      </c>
    </row>
    <row r="116" spans="1:4" x14ac:dyDescent="0.2">
      <c r="A116" t="s">
        <v>1403</v>
      </c>
      <c r="B116" t="s">
        <v>114</v>
      </c>
      <c r="C116" t="s">
        <v>27</v>
      </c>
      <c r="D116" t="s">
        <v>27</v>
      </c>
    </row>
    <row r="117" spans="1:4" x14ac:dyDescent="0.2">
      <c r="A117" t="s">
        <v>1419</v>
      </c>
      <c r="B117" t="s">
        <v>26</v>
      </c>
      <c r="C117" t="s">
        <v>27</v>
      </c>
      <c r="D117" t="s">
        <v>27</v>
      </c>
    </row>
    <row r="118" spans="1:4" x14ac:dyDescent="0.2">
      <c r="A118" t="s">
        <v>1419</v>
      </c>
      <c r="B118" t="s">
        <v>40</v>
      </c>
      <c r="C118" t="s">
        <v>27</v>
      </c>
      <c r="D118" t="s">
        <v>27</v>
      </c>
    </row>
    <row r="119" spans="1:4" x14ac:dyDescent="0.2">
      <c r="A119" t="s">
        <v>1419</v>
      </c>
      <c r="B119" t="s">
        <v>114</v>
      </c>
      <c r="C119" t="s">
        <v>27</v>
      </c>
      <c r="D119" t="s">
        <v>27</v>
      </c>
    </row>
    <row r="120" spans="1:4" x14ac:dyDescent="0.2">
      <c r="A120" t="s">
        <v>1437</v>
      </c>
      <c r="B120" t="s">
        <v>21</v>
      </c>
      <c r="C120" t="s">
        <v>22</v>
      </c>
      <c r="D120" t="s">
        <v>22</v>
      </c>
    </row>
    <row r="121" spans="1:4" x14ac:dyDescent="0.2">
      <c r="A121" t="s">
        <v>1437</v>
      </c>
      <c r="B121" t="s">
        <v>26</v>
      </c>
      <c r="C121" t="s">
        <v>27</v>
      </c>
      <c r="D121" t="s">
        <v>27</v>
      </c>
    </row>
    <row r="122" spans="1:4" x14ac:dyDescent="0.2">
      <c r="A122" t="s">
        <v>1437</v>
      </c>
      <c r="B122" t="s">
        <v>39</v>
      </c>
      <c r="C122" t="s">
        <v>22</v>
      </c>
      <c r="D122" t="s">
        <v>22</v>
      </c>
    </row>
    <row r="123" spans="1:4" x14ac:dyDescent="0.2">
      <c r="A123" t="s">
        <v>1437</v>
      </c>
      <c r="B123" t="s">
        <v>40</v>
      </c>
      <c r="C123" t="s">
        <v>27</v>
      </c>
      <c r="D123" t="s">
        <v>27</v>
      </c>
    </row>
    <row r="124" spans="1:4" x14ac:dyDescent="0.2">
      <c r="A124" t="s">
        <v>1437</v>
      </c>
      <c r="B124" t="s">
        <v>114</v>
      </c>
      <c r="C124" t="s">
        <v>27</v>
      </c>
      <c r="D124" t="s">
        <v>27</v>
      </c>
    </row>
    <row r="125" spans="1:4" x14ac:dyDescent="0.2">
      <c r="A125" t="s">
        <v>1488</v>
      </c>
      <c r="B125" t="s">
        <v>21</v>
      </c>
      <c r="C125" t="s">
        <v>22</v>
      </c>
      <c r="D125" t="s">
        <v>22</v>
      </c>
    </row>
    <row r="126" spans="1:4" x14ac:dyDescent="0.2">
      <c r="A126" t="s">
        <v>1488</v>
      </c>
      <c r="B126" t="s">
        <v>26</v>
      </c>
      <c r="C126" t="s">
        <v>27</v>
      </c>
      <c r="D126" t="s">
        <v>27</v>
      </c>
    </row>
    <row r="127" spans="1:4" x14ac:dyDescent="0.2">
      <c r="A127" t="s">
        <v>1488</v>
      </c>
      <c r="B127" t="s">
        <v>39</v>
      </c>
      <c r="C127" t="s">
        <v>22</v>
      </c>
      <c r="D127" t="s">
        <v>22</v>
      </c>
    </row>
    <row r="128" spans="1:4" x14ac:dyDescent="0.2">
      <c r="A128" t="s">
        <v>1488</v>
      </c>
      <c r="B128" t="s">
        <v>40</v>
      </c>
      <c r="C128" t="s">
        <v>27</v>
      </c>
      <c r="D128" t="s">
        <v>27</v>
      </c>
    </row>
    <row r="129" spans="1:4" x14ac:dyDescent="0.2">
      <c r="A129" t="s">
        <v>1488</v>
      </c>
      <c r="B129" t="s">
        <v>114</v>
      </c>
      <c r="C129" t="s">
        <v>27</v>
      </c>
      <c r="D129" t="s">
        <v>27</v>
      </c>
    </row>
    <row r="130" spans="1:4" x14ac:dyDescent="0.2">
      <c r="A130" t="s">
        <v>1517</v>
      </c>
      <c r="B130" t="s">
        <v>21</v>
      </c>
      <c r="C130" t="s">
        <v>22</v>
      </c>
      <c r="D130" t="s">
        <v>22</v>
      </c>
    </row>
    <row r="131" spans="1:4" x14ac:dyDescent="0.2">
      <c r="A131" t="s">
        <v>1517</v>
      </c>
      <c r="B131" t="s">
        <v>26</v>
      </c>
      <c r="C131" t="s">
        <v>27</v>
      </c>
      <c r="D131" t="s">
        <v>27</v>
      </c>
    </row>
    <row r="132" spans="1:4" x14ac:dyDescent="0.2">
      <c r="A132" t="s">
        <v>1517</v>
      </c>
      <c r="B132" t="s">
        <v>39</v>
      </c>
      <c r="C132" t="s">
        <v>22</v>
      </c>
      <c r="D132" t="s">
        <v>22</v>
      </c>
    </row>
    <row r="133" spans="1:4" x14ac:dyDescent="0.2">
      <c r="A133" t="s">
        <v>1517</v>
      </c>
      <c r="B133" t="s">
        <v>40</v>
      </c>
      <c r="C133" t="s">
        <v>27</v>
      </c>
      <c r="D133" t="s">
        <v>27</v>
      </c>
    </row>
    <row r="134" spans="1:4" x14ac:dyDescent="0.2">
      <c r="A134" t="s">
        <v>1517</v>
      </c>
      <c r="B134" t="s">
        <v>114</v>
      </c>
      <c r="C134" t="s">
        <v>27</v>
      </c>
      <c r="D134" t="s">
        <v>27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8AAEE-B036-4A4C-9AF7-341F18F38FD9}">
  <dimension ref="A1:F16"/>
  <sheetViews>
    <sheetView rightToLeft="1" workbookViewId="0">
      <pane ySplit="2" topLeftCell="A3" activePane="bottomLeft" state="frozen"/>
      <selection pane="bottomLeft" activeCell="A2" sqref="A2:D8"/>
    </sheetView>
  </sheetViews>
  <sheetFormatPr defaultRowHeight="14.25" x14ac:dyDescent="0.2"/>
  <cols>
    <col min="1" max="1" width="21.625" customWidth="1"/>
    <col min="2" max="2" width="11.625" customWidth="1"/>
    <col min="3" max="3" width="33.375" customWidth="1"/>
    <col min="4" max="4" width="21.625" customWidth="1"/>
    <col min="5" max="5" width="33.375" customWidth="1"/>
    <col min="6" max="6" width="18.375" customWidth="1"/>
  </cols>
  <sheetData>
    <row r="1" spans="1:6" ht="15" x14ac:dyDescent="0.25">
      <c r="A1" s="117" t="s">
        <v>1736</v>
      </c>
      <c r="B1" s="116"/>
      <c r="C1" s="116"/>
      <c r="D1" s="116"/>
      <c r="E1" s="116"/>
      <c r="F1" s="116"/>
    </row>
    <row r="2" spans="1:6" ht="15" x14ac:dyDescent="0.25">
      <c r="A2" s="123" t="s">
        <v>1532</v>
      </c>
      <c r="B2" s="123" t="s">
        <v>1587</v>
      </c>
      <c r="C2" s="123" t="s">
        <v>1588</v>
      </c>
      <c r="D2" s="123" t="s">
        <v>1737</v>
      </c>
      <c r="E2" s="123" t="s">
        <v>19</v>
      </c>
      <c r="F2" s="123" t="s">
        <v>1601</v>
      </c>
    </row>
    <row r="3" spans="1:6" x14ac:dyDescent="0.2">
      <c r="A3" s="124" t="s">
        <v>182</v>
      </c>
      <c r="B3" s="124">
        <v>2</v>
      </c>
      <c r="C3" s="124" t="s">
        <v>1589</v>
      </c>
      <c r="D3" s="124" t="s">
        <v>1738</v>
      </c>
      <c r="E3" s="124"/>
      <c r="F3" s="124" t="s">
        <v>1739</v>
      </c>
    </row>
    <row r="4" spans="1:6" x14ac:dyDescent="0.2">
      <c r="A4" s="124" t="s">
        <v>530</v>
      </c>
      <c r="B4" s="124">
        <v>1</v>
      </c>
      <c r="C4" s="124" t="s">
        <v>81</v>
      </c>
      <c r="D4" s="124" t="s">
        <v>1738</v>
      </c>
      <c r="E4" s="124"/>
      <c r="F4" s="124" t="s">
        <v>1739</v>
      </c>
    </row>
    <row r="5" spans="1:6" x14ac:dyDescent="0.2">
      <c r="A5" s="124" t="s">
        <v>576</v>
      </c>
      <c r="B5" s="124">
        <v>2</v>
      </c>
      <c r="C5" s="124" t="s">
        <v>1740</v>
      </c>
      <c r="D5" s="124" t="s">
        <v>1741</v>
      </c>
      <c r="E5" s="124"/>
      <c r="F5" s="124" t="s">
        <v>1739</v>
      </c>
    </row>
    <row r="6" spans="1:6" x14ac:dyDescent="0.2">
      <c r="A6" s="124" t="s">
        <v>1036</v>
      </c>
      <c r="B6" s="124">
        <v>1</v>
      </c>
      <c r="C6" s="124" t="s">
        <v>41</v>
      </c>
      <c r="D6" s="124" t="s">
        <v>1738</v>
      </c>
      <c r="E6" s="124"/>
      <c r="F6" s="124" t="s">
        <v>1739</v>
      </c>
    </row>
    <row r="7" spans="1:6" x14ac:dyDescent="0.2">
      <c r="A7" s="124" t="s">
        <v>1300</v>
      </c>
      <c r="B7" s="124">
        <v>2</v>
      </c>
      <c r="C7" s="124" t="s">
        <v>1590</v>
      </c>
      <c r="D7" s="124" t="s">
        <v>1738</v>
      </c>
      <c r="E7" s="124"/>
      <c r="F7" s="124" t="s">
        <v>1739</v>
      </c>
    </row>
    <row r="8" spans="1:6" ht="15" x14ac:dyDescent="0.25">
      <c r="A8" s="125" t="s">
        <v>1555</v>
      </c>
      <c r="B8" s="126">
        <f>SUM(B3:B7)</f>
        <v>8</v>
      </c>
      <c r="C8" s="126"/>
      <c r="D8" s="126"/>
      <c r="E8" s="126"/>
      <c r="F8" s="126"/>
    </row>
    <row r="10" spans="1:6" ht="15" x14ac:dyDescent="0.25">
      <c r="A10" s="127" t="s">
        <v>1742</v>
      </c>
      <c r="B10" s="127"/>
      <c r="C10" s="127"/>
      <c r="D10" s="127"/>
      <c r="E10" s="127"/>
      <c r="F10" s="127"/>
    </row>
    <row r="11" spans="1:6" x14ac:dyDescent="0.2">
      <c r="A11" s="128" t="s">
        <v>1743</v>
      </c>
      <c r="B11" s="23"/>
      <c r="C11" s="23"/>
      <c r="D11" s="23"/>
      <c r="E11" s="23"/>
      <c r="F11" s="23"/>
    </row>
    <row r="12" spans="1:6" x14ac:dyDescent="0.2">
      <c r="A12" s="128" t="s">
        <v>1744</v>
      </c>
      <c r="B12" s="23"/>
      <c r="C12" s="23"/>
      <c r="D12" s="23"/>
      <c r="E12" s="23"/>
      <c r="F12" s="23"/>
    </row>
    <row r="13" spans="1:6" x14ac:dyDescent="0.2">
      <c r="A13" s="128" t="s">
        <v>1745</v>
      </c>
      <c r="B13" s="23"/>
      <c r="C13" s="23"/>
      <c r="D13" s="23"/>
      <c r="E13" s="23"/>
      <c r="F13" s="23"/>
    </row>
    <row r="14" spans="1:6" x14ac:dyDescent="0.2">
      <c r="A14" s="128" t="s">
        <v>1746</v>
      </c>
      <c r="B14" s="23"/>
      <c r="C14" s="23"/>
      <c r="D14" s="23"/>
      <c r="E14" s="23"/>
      <c r="F14" s="23"/>
    </row>
    <row r="15" spans="1:6" x14ac:dyDescent="0.2">
      <c r="A15" s="128" t="s">
        <v>1747</v>
      </c>
      <c r="B15" s="23"/>
      <c r="C15" s="23"/>
      <c r="D15" s="23"/>
      <c r="E15" s="23"/>
      <c r="F15" s="23"/>
    </row>
    <row r="16" spans="1:6" x14ac:dyDescent="0.2">
      <c r="A16" s="128" t="s">
        <v>1748</v>
      </c>
      <c r="B16" s="23"/>
      <c r="C16" s="23"/>
      <c r="D16" s="23"/>
      <c r="E16" s="23"/>
      <c r="F16" s="23"/>
    </row>
  </sheetData>
  <mergeCells count="8">
    <mergeCell ref="A14:F14"/>
    <mergeCell ref="A15:F15"/>
    <mergeCell ref="A16:F16"/>
    <mergeCell ref="A1:F1"/>
    <mergeCell ref="A10:F10"/>
    <mergeCell ref="A11:F11"/>
    <mergeCell ref="A12:F12"/>
    <mergeCell ref="A13:F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692FE-7EBA-4C8D-9A93-EA408A97EC0A}">
  <dimension ref="A1:F100"/>
  <sheetViews>
    <sheetView rightToLeft="1" workbookViewId="0">
      <pane ySplit="2" topLeftCell="A3" activePane="bottomLeft" state="frozen"/>
      <selection pane="bottomLeft" sqref="A1:E1"/>
    </sheetView>
  </sheetViews>
  <sheetFormatPr defaultRowHeight="14.25" x14ac:dyDescent="0.2"/>
  <cols>
    <col min="1" max="1" width="21.625" customWidth="1"/>
    <col min="2" max="4" width="15" customWidth="1"/>
    <col min="5" max="5" width="58.375" customWidth="1"/>
  </cols>
  <sheetData>
    <row r="1" spans="1:6" ht="15.75" x14ac:dyDescent="0.25">
      <c r="A1" s="147" t="s">
        <v>1766</v>
      </c>
      <c r="B1" s="23"/>
      <c r="C1" s="23"/>
      <c r="D1" s="23"/>
      <c r="E1" s="23"/>
      <c r="F1" s="70"/>
    </row>
    <row r="2" spans="1:6" ht="15" x14ac:dyDescent="0.25">
      <c r="A2" s="119" t="s">
        <v>1532</v>
      </c>
      <c r="B2" s="123" t="s">
        <v>1574</v>
      </c>
      <c r="C2" s="123" t="s">
        <v>1575</v>
      </c>
      <c r="D2" s="123" t="s">
        <v>1572</v>
      </c>
      <c r="E2" s="118" t="s">
        <v>1542</v>
      </c>
      <c r="F2" s="70"/>
    </row>
    <row r="3" spans="1:6" ht="15" x14ac:dyDescent="0.25">
      <c r="A3" s="121" t="s">
        <v>0</v>
      </c>
      <c r="B3" s="145">
        <f>report!C48</f>
        <v>10.58</v>
      </c>
      <c r="C3" s="150">
        <f>ABS(report!C49)</f>
        <v>0.8</v>
      </c>
      <c r="D3" s="145">
        <f>report!C50</f>
        <v>9.7799999999999994</v>
      </c>
      <c r="E3" s="120" t="s">
        <v>1576</v>
      </c>
      <c r="F3" s="70"/>
    </row>
    <row r="4" spans="1:6" ht="15" x14ac:dyDescent="0.25">
      <c r="A4" s="121" t="s">
        <v>182</v>
      </c>
      <c r="B4" s="145">
        <f>report!C101</f>
        <v>34.979999999999997</v>
      </c>
      <c r="C4" s="150">
        <f>ABS(report!C102)</f>
        <v>0.5</v>
      </c>
      <c r="D4" s="145">
        <f>report!C103</f>
        <v>34.479999999999997</v>
      </c>
      <c r="E4" s="120" t="s">
        <v>1577</v>
      </c>
      <c r="F4" s="70"/>
    </row>
    <row r="5" spans="1:6" ht="15" x14ac:dyDescent="0.25">
      <c r="A5" s="121" t="s">
        <v>266</v>
      </c>
      <c r="B5" s="145">
        <f>report!C153</f>
        <v>8.5</v>
      </c>
      <c r="C5" s="150">
        <f>ABS(report!C154)</f>
        <v>1</v>
      </c>
      <c r="D5" s="145">
        <f>report!C155</f>
        <v>7.5</v>
      </c>
      <c r="E5" s="120" t="s">
        <v>1578</v>
      </c>
      <c r="F5" s="70"/>
    </row>
    <row r="6" spans="1:6" ht="15" x14ac:dyDescent="0.25">
      <c r="A6" s="121" t="s">
        <v>298</v>
      </c>
      <c r="B6" s="145">
        <f>report!C206</f>
        <v>3.5</v>
      </c>
      <c r="C6" s="150">
        <f>ABS(report!C207)</f>
        <v>1.5</v>
      </c>
      <c r="D6" s="145">
        <f>report!C208</f>
        <v>2</v>
      </c>
      <c r="E6" s="120" t="s">
        <v>1579</v>
      </c>
      <c r="F6" s="70"/>
    </row>
    <row r="7" spans="1:6" ht="15" x14ac:dyDescent="0.25">
      <c r="A7" s="121" t="s">
        <v>377</v>
      </c>
      <c r="B7" s="145">
        <f>report!C258</f>
        <v>0</v>
      </c>
      <c r="C7" s="150">
        <f>ABS(report!C259)</f>
        <v>0</v>
      </c>
      <c r="D7" s="145">
        <f>report!C260</f>
        <v>0</v>
      </c>
      <c r="E7" s="120" t="s">
        <v>1580</v>
      </c>
      <c r="F7" s="70"/>
    </row>
    <row r="8" spans="1:6" ht="15" x14ac:dyDescent="0.25">
      <c r="A8" s="121" t="s">
        <v>380</v>
      </c>
      <c r="B8" s="145">
        <f>report!C310</f>
        <v>11.46</v>
      </c>
      <c r="C8" s="150">
        <f>ABS(report!C311)</f>
        <v>1</v>
      </c>
      <c r="D8" s="145">
        <f>report!C312</f>
        <v>10.46</v>
      </c>
      <c r="E8" s="120" t="s">
        <v>1578</v>
      </c>
      <c r="F8" s="70"/>
    </row>
    <row r="9" spans="1:6" ht="15" x14ac:dyDescent="0.25">
      <c r="A9" s="121" t="s">
        <v>447</v>
      </c>
      <c r="B9" s="145">
        <f>report!C363</f>
        <v>8.91</v>
      </c>
      <c r="C9" s="150">
        <f>ABS(report!C364)</f>
        <v>1</v>
      </c>
      <c r="D9" s="145">
        <f>report!C365</f>
        <v>7.91</v>
      </c>
      <c r="E9" s="120" t="s">
        <v>1578</v>
      </c>
      <c r="F9" s="70"/>
    </row>
    <row r="10" spans="1:6" ht="15" x14ac:dyDescent="0.25">
      <c r="A10" s="121" t="s">
        <v>509</v>
      </c>
      <c r="B10" s="145">
        <f>report!C415</f>
        <v>77.010000000000005</v>
      </c>
      <c r="C10" s="150">
        <f>ABS(report!C416)</f>
        <v>2.1999999999999997</v>
      </c>
      <c r="D10" s="145">
        <f>report!C417</f>
        <v>74.81</v>
      </c>
      <c r="E10" s="120" t="s">
        <v>1581</v>
      </c>
      <c r="F10" s="70"/>
    </row>
    <row r="11" spans="1:6" ht="15" x14ac:dyDescent="0.25">
      <c r="A11" s="121" t="s">
        <v>529</v>
      </c>
      <c r="B11" s="145">
        <f>report!C467</f>
        <v>0</v>
      </c>
      <c r="C11" s="150">
        <f>ABS(report!C468)</f>
        <v>0</v>
      </c>
      <c r="D11" s="145">
        <f>report!C469</f>
        <v>0</v>
      </c>
      <c r="E11" s="120"/>
      <c r="F11" s="70"/>
    </row>
    <row r="12" spans="1:6" ht="15" x14ac:dyDescent="0.25">
      <c r="A12" s="121" t="s">
        <v>530</v>
      </c>
      <c r="B12" s="145">
        <f>report!C519</f>
        <v>17</v>
      </c>
      <c r="C12" s="150">
        <f>ABS(report!C520)</f>
        <v>1</v>
      </c>
      <c r="D12" s="145">
        <f>report!C521</f>
        <v>16</v>
      </c>
      <c r="E12" s="120" t="s">
        <v>1578</v>
      </c>
      <c r="F12" s="70"/>
    </row>
    <row r="13" spans="1:6" ht="15" x14ac:dyDescent="0.25">
      <c r="A13" s="121" t="s">
        <v>576</v>
      </c>
      <c r="B13" s="145">
        <f>report!C571</f>
        <v>41.85</v>
      </c>
      <c r="C13" s="150">
        <f>ABS(report!C572)</f>
        <v>1</v>
      </c>
      <c r="D13" s="145">
        <f>report!C573</f>
        <v>40.85</v>
      </c>
      <c r="E13" s="120" t="s">
        <v>1578</v>
      </c>
      <c r="F13" s="70"/>
    </row>
    <row r="14" spans="1:6" ht="15" x14ac:dyDescent="0.25">
      <c r="A14" s="121" t="s">
        <v>633</v>
      </c>
      <c r="B14" s="145">
        <f>report!C624</f>
        <v>8.5</v>
      </c>
      <c r="C14" s="150">
        <f>ABS(report!C625)</f>
        <v>1</v>
      </c>
      <c r="D14" s="145">
        <f>report!C626</f>
        <v>7.5</v>
      </c>
      <c r="E14" s="120" t="s">
        <v>1578</v>
      </c>
      <c r="F14" s="70"/>
    </row>
    <row r="15" spans="1:6" ht="15" x14ac:dyDescent="0.25">
      <c r="A15" s="121" t="s">
        <v>651</v>
      </c>
      <c r="B15" s="145">
        <f>report!C676</f>
        <v>8.6</v>
      </c>
      <c r="C15" s="150">
        <f>ABS(report!C677)</f>
        <v>1</v>
      </c>
      <c r="D15" s="145">
        <f>report!C678</f>
        <v>7.6</v>
      </c>
      <c r="E15" s="120" t="s">
        <v>1578</v>
      </c>
      <c r="F15" s="70"/>
    </row>
    <row r="16" spans="1:6" ht="15" x14ac:dyDescent="0.25">
      <c r="A16" s="121" t="s">
        <v>701</v>
      </c>
      <c r="B16" s="145">
        <f>report!C728</f>
        <v>13.53</v>
      </c>
      <c r="C16" s="150">
        <f>ABS(report!C729)</f>
        <v>10.45</v>
      </c>
      <c r="D16" s="145">
        <f>report!C730</f>
        <v>0</v>
      </c>
      <c r="E16" s="120"/>
      <c r="F16" s="70"/>
    </row>
    <row r="17" spans="1:6" ht="15" x14ac:dyDescent="0.25">
      <c r="A17" s="121" t="s">
        <v>751</v>
      </c>
      <c r="B17" s="145">
        <f>report!C780</f>
        <v>2.85</v>
      </c>
      <c r="C17" s="150">
        <f>ABS(report!C781)</f>
        <v>2.85</v>
      </c>
      <c r="D17" s="145">
        <f>report!C782</f>
        <v>0</v>
      </c>
      <c r="E17" s="120" t="s">
        <v>1724</v>
      </c>
      <c r="F17" s="70"/>
    </row>
    <row r="18" spans="1:6" ht="15" x14ac:dyDescent="0.25">
      <c r="A18" s="121" t="s">
        <v>816</v>
      </c>
      <c r="B18" s="145">
        <f>report!C832</f>
        <v>8.7100000000000009</v>
      </c>
      <c r="C18" s="150">
        <f>ABS(report!C833)</f>
        <v>1.1000000000000001</v>
      </c>
      <c r="D18" s="145">
        <f>report!C834</f>
        <v>0</v>
      </c>
      <c r="E18" s="120"/>
      <c r="F18" s="70"/>
    </row>
    <row r="19" spans="1:6" ht="15" x14ac:dyDescent="0.25">
      <c r="A19" s="121" t="s">
        <v>833</v>
      </c>
      <c r="B19" s="145">
        <f>report!C884</f>
        <v>96.68</v>
      </c>
      <c r="C19" s="150">
        <f>ABS(report!C885)</f>
        <v>3.4</v>
      </c>
      <c r="D19" s="145">
        <f>report!C886</f>
        <v>93.28</v>
      </c>
      <c r="E19" s="120" t="s">
        <v>1583</v>
      </c>
      <c r="F19" s="70"/>
    </row>
    <row r="20" spans="1:6" ht="15" x14ac:dyDescent="0.25">
      <c r="A20" s="121" t="s">
        <v>871</v>
      </c>
      <c r="B20" s="145">
        <f>report!C936</f>
        <v>120.6</v>
      </c>
      <c r="C20" s="150">
        <f>ABS(report!C937)</f>
        <v>3.4</v>
      </c>
      <c r="D20" s="145">
        <f>report!C938</f>
        <v>117.19999999999999</v>
      </c>
      <c r="E20" s="120" t="s">
        <v>1583</v>
      </c>
      <c r="F20" s="70"/>
    </row>
    <row r="21" spans="1:6" ht="15" x14ac:dyDescent="0.25">
      <c r="A21" s="121" t="s">
        <v>872</v>
      </c>
      <c r="B21" s="145">
        <f>report!C990</f>
        <v>0.56000000000000005</v>
      </c>
      <c r="C21" s="150">
        <f>ABS(report!C991)</f>
        <v>4.63</v>
      </c>
      <c r="D21" s="145">
        <f>report!C992</f>
        <v>-4.07</v>
      </c>
      <c r="E21" s="120" t="s">
        <v>1725</v>
      </c>
      <c r="F21" s="70"/>
    </row>
    <row r="22" spans="1:6" ht="15" x14ac:dyDescent="0.25">
      <c r="A22" s="121" t="s">
        <v>901</v>
      </c>
      <c r="B22" s="145">
        <f>report!C1042</f>
        <v>65.33</v>
      </c>
      <c r="C22" s="150">
        <f>ABS(report!C1043)</f>
        <v>6.3</v>
      </c>
      <c r="D22" s="145">
        <f>report!C1044</f>
        <v>59.03</v>
      </c>
      <c r="E22" s="120" t="s">
        <v>1726</v>
      </c>
      <c r="F22" s="70"/>
    </row>
    <row r="23" spans="1:6" ht="15" x14ac:dyDescent="0.25">
      <c r="A23" s="121" t="s">
        <v>943</v>
      </c>
      <c r="B23" s="145">
        <f>report!C1095</f>
        <v>0.8</v>
      </c>
      <c r="C23" s="150">
        <f>ABS(report!C1096)</f>
        <v>0.8</v>
      </c>
      <c r="D23" s="145">
        <f>report!C1097</f>
        <v>0</v>
      </c>
      <c r="E23" s="120" t="s">
        <v>1576</v>
      </c>
      <c r="F23" s="70"/>
    </row>
    <row r="24" spans="1:6" ht="15" x14ac:dyDescent="0.25">
      <c r="A24" s="121" t="s">
        <v>984</v>
      </c>
      <c r="B24" s="145">
        <f>report!C1147</f>
        <v>16.66</v>
      </c>
      <c r="C24" s="150">
        <f>ABS(report!C1148)</f>
        <v>2.3199999999999998</v>
      </c>
      <c r="D24" s="145">
        <f>report!C1149</f>
        <v>14.34</v>
      </c>
      <c r="E24" s="120" t="s">
        <v>1727</v>
      </c>
      <c r="F24" s="70"/>
    </row>
    <row r="25" spans="1:6" ht="15" x14ac:dyDescent="0.25">
      <c r="A25" s="121" t="s">
        <v>1021</v>
      </c>
      <c r="B25" s="145">
        <f>report!C1199</f>
        <v>2.0099999999999998</v>
      </c>
      <c r="C25" s="150">
        <f>ABS(report!C1200)</f>
        <v>7.38</v>
      </c>
      <c r="D25" s="145">
        <f>report!C1201</f>
        <v>0</v>
      </c>
      <c r="E25" s="120"/>
      <c r="F25" s="70"/>
    </row>
    <row r="26" spans="1:6" ht="15" x14ac:dyDescent="0.25">
      <c r="A26" s="121" t="s">
        <v>1036</v>
      </c>
      <c r="B26" s="145">
        <f>report!C1251</f>
        <v>17.899999999999999</v>
      </c>
      <c r="C26" s="150">
        <f>ABS(report!C1252)</f>
        <v>0.8</v>
      </c>
      <c r="D26" s="145">
        <f>report!C1253</f>
        <v>17.099999999999998</v>
      </c>
      <c r="E26" s="120" t="s">
        <v>1576</v>
      </c>
      <c r="F26" s="70"/>
    </row>
    <row r="27" spans="1:6" ht="15" x14ac:dyDescent="0.25">
      <c r="A27" s="121" t="s">
        <v>1071</v>
      </c>
      <c r="B27" s="145">
        <f>report!C1304</f>
        <v>61.68</v>
      </c>
      <c r="C27" s="150">
        <f>ABS(report!C1305)</f>
        <v>15.73</v>
      </c>
      <c r="D27" s="145">
        <f>report!C1306</f>
        <v>0</v>
      </c>
      <c r="E27" s="120"/>
      <c r="F27" s="70"/>
    </row>
    <row r="28" spans="1:6" ht="15" x14ac:dyDescent="0.25">
      <c r="A28" s="121" t="s">
        <v>1120</v>
      </c>
      <c r="B28" s="145">
        <f>report!C1356</f>
        <v>1.56</v>
      </c>
      <c r="C28" s="150">
        <f>ABS(report!C1357)</f>
        <v>0.21</v>
      </c>
      <c r="D28" s="145">
        <f>report!C1358</f>
        <v>0</v>
      </c>
      <c r="E28" s="120" t="s">
        <v>1728</v>
      </c>
      <c r="F28" s="70"/>
    </row>
    <row r="29" spans="1:6" ht="15" x14ac:dyDescent="0.25">
      <c r="A29" s="121" t="s">
        <v>1146</v>
      </c>
      <c r="B29" s="145">
        <f>report!C1408</f>
        <v>4.45</v>
      </c>
      <c r="C29" s="150">
        <f>ABS(report!C1409)</f>
        <v>2.8</v>
      </c>
      <c r="D29" s="145">
        <f>report!C1410</f>
        <v>1.6500000000000004</v>
      </c>
      <c r="E29" s="120" t="s">
        <v>1729</v>
      </c>
      <c r="F29" s="70"/>
    </row>
    <row r="30" spans="1:6" ht="15" x14ac:dyDescent="0.25">
      <c r="A30" s="121" t="s">
        <v>1177</v>
      </c>
      <c r="B30" s="145">
        <f>report!C1461</f>
        <v>11.61</v>
      </c>
      <c r="C30" s="150">
        <f>ABS(report!C1462)</f>
        <v>0.8</v>
      </c>
      <c r="D30" s="145">
        <f>report!C1463</f>
        <v>10.809999999999999</v>
      </c>
      <c r="E30" s="120" t="s">
        <v>1576</v>
      </c>
      <c r="F30" s="70"/>
    </row>
    <row r="31" spans="1:6" ht="15" x14ac:dyDescent="0.25">
      <c r="A31" s="121" t="s">
        <v>1197</v>
      </c>
      <c r="B31" s="145">
        <f>report!C1513</f>
        <v>0</v>
      </c>
      <c r="C31" s="150">
        <f>ABS(report!C1514)</f>
        <v>14.01</v>
      </c>
      <c r="D31" s="145">
        <f>report!C1515</f>
        <v>0</v>
      </c>
      <c r="E31" s="120"/>
      <c r="F31" s="70"/>
    </row>
    <row r="32" spans="1:6" ht="15" x14ac:dyDescent="0.25">
      <c r="A32" s="121" t="s">
        <v>1226</v>
      </c>
      <c r="B32" s="145">
        <f>report!C1565</f>
        <v>11.45</v>
      </c>
      <c r="C32" s="150">
        <f>ABS(report!C1566)</f>
        <v>0</v>
      </c>
      <c r="D32" s="145">
        <f>report!C1567</f>
        <v>11.45</v>
      </c>
      <c r="E32" s="120" t="s">
        <v>1581</v>
      </c>
      <c r="F32" s="70"/>
    </row>
    <row r="33" spans="1:6" ht="15" x14ac:dyDescent="0.25">
      <c r="A33" s="121" t="s">
        <v>1236</v>
      </c>
      <c r="B33" s="145">
        <f>report!C1617</f>
        <v>0.8</v>
      </c>
      <c r="C33" s="150">
        <f>ABS(report!C1618)</f>
        <v>0.8</v>
      </c>
      <c r="D33" s="145">
        <f>report!C1619</f>
        <v>0</v>
      </c>
      <c r="E33" s="120" t="s">
        <v>1576</v>
      </c>
      <c r="F33" s="70"/>
    </row>
    <row r="34" spans="1:6" ht="15" x14ac:dyDescent="0.25">
      <c r="A34" s="121" t="s">
        <v>1267</v>
      </c>
      <c r="B34" s="145">
        <f>report!C1669</f>
        <v>3.16</v>
      </c>
      <c r="C34" s="150">
        <f>ABS(report!C1670)</f>
        <v>2</v>
      </c>
      <c r="D34" s="145">
        <f>report!C1671</f>
        <v>1.1600000000000001</v>
      </c>
      <c r="E34" s="120" t="s">
        <v>1730</v>
      </c>
      <c r="F34" s="70"/>
    </row>
    <row r="35" spans="1:6" ht="15" x14ac:dyDescent="0.25">
      <c r="A35" s="121" t="s">
        <v>1285</v>
      </c>
      <c r="B35" s="145">
        <f>report!C1721</f>
        <v>0</v>
      </c>
      <c r="C35" s="150">
        <f>ABS(report!C1722)</f>
        <v>8.08</v>
      </c>
      <c r="D35" s="145">
        <f>report!C1723</f>
        <v>0</v>
      </c>
      <c r="E35" s="120"/>
      <c r="F35" s="70"/>
    </row>
    <row r="36" spans="1:6" ht="15" x14ac:dyDescent="0.25">
      <c r="A36" s="121" t="s">
        <v>1300</v>
      </c>
      <c r="B36" s="145">
        <f>report!C1773</f>
        <v>19.55</v>
      </c>
      <c r="C36" s="150">
        <f>ABS(report!C1774)</f>
        <v>0.8</v>
      </c>
      <c r="D36" s="145">
        <f>report!C1775</f>
        <v>18.75</v>
      </c>
      <c r="E36" s="120" t="s">
        <v>1576</v>
      </c>
      <c r="F36" s="70"/>
    </row>
    <row r="37" spans="1:6" ht="15" x14ac:dyDescent="0.25">
      <c r="A37" s="121" t="s">
        <v>1318</v>
      </c>
      <c r="B37" s="145">
        <f>report!C1825</f>
        <v>1.9</v>
      </c>
      <c r="C37" s="150">
        <f>ABS(report!C1826)</f>
        <v>18.36</v>
      </c>
      <c r="D37" s="145">
        <f>report!C1827</f>
        <v>0</v>
      </c>
      <c r="E37" s="120" t="s">
        <v>1731</v>
      </c>
      <c r="F37" s="70"/>
    </row>
    <row r="38" spans="1:6" ht="15" x14ac:dyDescent="0.25">
      <c r="A38" s="121" t="s">
        <v>1339</v>
      </c>
      <c r="B38" s="145">
        <f>report!C1877</f>
        <v>8.43</v>
      </c>
      <c r="C38" s="150">
        <f>ABS(report!C1878)</f>
        <v>2.68</v>
      </c>
      <c r="D38" s="145">
        <f>report!C1879</f>
        <v>5.75</v>
      </c>
      <c r="E38" s="120" t="s">
        <v>1732</v>
      </c>
      <c r="F38" s="70"/>
    </row>
    <row r="39" spans="1:6" ht="15" x14ac:dyDescent="0.25">
      <c r="A39" s="121" t="s">
        <v>1360</v>
      </c>
      <c r="B39" s="145">
        <f>report!C1929</f>
        <v>0.8</v>
      </c>
      <c r="C39" s="150">
        <f>ABS(report!C1930)</f>
        <v>0.8</v>
      </c>
      <c r="D39" s="145">
        <f>report!C1931</f>
        <v>0</v>
      </c>
      <c r="E39" s="120" t="s">
        <v>1576</v>
      </c>
      <c r="F39" s="70"/>
    </row>
    <row r="40" spans="1:6" ht="15" x14ac:dyDescent="0.25">
      <c r="A40" s="121" t="s">
        <v>1366</v>
      </c>
      <c r="B40" s="145">
        <f>report!C1985</f>
        <v>3.4</v>
      </c>
      <c r="C40" s="150">
        <f>ABS(report!C1986)</f>
        <v>0.95</v>
      </c>
      <c r="D40" s="145">
        <f>report!C1987</f>
        <v>0</v>
      </c>
      <c r="E40" s="120" t="s">
        <v>1733</v>
      </c>
      <c r="F40" s="70"/>
    </row>
    <row r="41" spans="1:6" ht="15" x14ac:dyDescent="0.25">
      <c r="A41" s="121" t="s">
        <v>1403</v>
      </c>
      <c r="B41" s="145">
        <f>report!C2037</f>
        <v>1.61</v>
      </c>
      <c r="C41" s="150">
        <f>ABS(report!C2038)</f>
        <v>1.62</v>
      </c>
      <c r="D41" s="145">
        <f>report!C2039</f>
        <v>0</v>
      </c>
      <c r="E41" s="120" t="s">
        <v>1734</v>
      </c>
      <c r="F41" s="70"/>
    </row>
    <row r="42" spans="1:6" ht="15" x14ac:dyDescent="0.25">
      <c r="A42" s="121" t="s">
        <v>1419</v>
      </c>
      <c r="B42" s="145">
        <f>report!C2089</f>
        <v>0</v>
      </c>
      <c r="C42" s="150">
        <f>ABS(report!C2090)</f>
        <v>0.25</v>
      </c>
      <c r="D42" s="145">
        <f>report!C2091</f>
        <v>0</v>
      </c>
      <c r="E42" s="120"/>
      <c r="F42" s="70"/>
    </row>
    <row r="43" spans="1:6" ht="15" x14ac:dyDescent="0.25">
      <c r="A43" s="121" t="s">
        <v>1437</v>
      </c>
      <c r="B43" s="145">
        <f>report!C2141</f>
        <v>3.41</v>
      </c>
      <c r="C43" s="150">
        <f>ABS(report!C2142)</f>
        <v>2.52</v>
      </c>
      <c r="D43" s="145">
        <f>report!C2143</f>
        <v>0.89000000000000012</v>
      </c>
      <c r="E43" s="120" t="s">
        <v>1735</v>
      </c>
      <c r="F43" s="70"/>
    </row>
    <row r="44" spans="1:6" ht="15" x14ac:dyDescent="0.25">
      <c r="A44" s="121" t="s">
        <v>1467</v>
      </c>
      <c r="B44" s="145">
        <f>report!C2193</f>
        <v>0.8</v>
      </c>
      <c r="C44" s="150">
        <f>ABS(report!C2194)</f>
        <v>0.8</v>
      </c>
      <c r="D44" s="145">
        <f>report!C2195</f>
        <v>0</v>
      </c>
      <c r="E44" s="120" t="s">
        <v>1576</v>
      </c>
      <c r="F44" s="70"/>
    </row>
    <row r="45" spans="1:6" ht="15" x14ac:dyDescent="0.25">
      <c r="A45" s="121" t="s">
        <v>1488</v>
      </c>
      <c r="B45" s="145">
        <f>report!C2245</f>
        <v>0</v>
      </c>
      <c r="C45" s="150">
        <f>ABS(report!C2246)</f>
        <v>0</v>
      </c>
      <c r="D45" s="145">
        <f>report!C2247</f>
        <v>0</v>
      </c>
      <c r="E45" s="120"/>
      <c r="F45" s="70"/>
    </row>
    <row r="46" spans="1:6" ht="15" x14ac:dyDescent="0.25">
      <c r="A46" s="121" t="s">
        <v>1517</v>
      </c>
      <c r="B46" s="145">
        <f>report!C2297</f>
        <v>0</v>
      </c>
      <c r="C46" s="150">
        <f>ABS(report!C2298)</f>
        <v>0</v>
      </c>
      <c r="D46" s="145">
        <f>report!C2299</f>
        <v>0</v>
      </c>
      <c r="E46" s="120"/>
      <c r="F46" s="70"/>
    </row>
    <row r="47" spans="1:6" ht="15" x14ac:dyDescent="0.25">
      <c r="A47" s="144" t="s">
        <v>1555</v>
      </c>
      <c r="B47" s="146">
        <f>SUM(B3:B46)</f>
        <v>711.12999999999954</v>
      </c>
      <c r="C47" s="146">
        <f>SUM(C3:C46)</f>
        <v>128.63999999999999</v>
      </c>
      <c r="D47" s="146">
        <f>SUM(D3:D46)</f>
        <v>566.22999999999979</v>
      </c>
      <c r="E47" s="122"/>
      <c r="F47" s="70"/>
    </row>
    <row r="48" spans="1:6" x14ac:dyDescent="0.2">
      <c r="A48" s="70"/>
      <c r="B48" s="70"/>
      <c r="C48" s="70"/>
      <c r="D48" s="70"/>
      <c r="E48" s="70"/>
      <c r="F48" s="70"/>
    </row>
    <row r="49" spans="1:6" x14ac:dyDescent="0.2">
      <c r="A49" s="70"/>
      <c r="B49" s="70"/>
      <c r="C49" s="70"/>
      <c r="D49" s="70"/>
      <c r="E49" s="70"/>
      <c r="F49" s="70"/>
    </row>
    <row r="50" spans="1:6" x14ac:dyDescent="0.2">
      <c r="A50" s="70"/>
      <c r="B50" s="70"/>
      <c r="C50" s="70"/>
      <c r="D50" s="70"/>
      <c r="E50" s="70"/>
      <c r="F50" s="70"/>
    </row>
    <row r="51" spans="1:6" x14ac:dyDescent="0.2">
      <c r="A51" s="70"/>
      <c r="B51" s="70"/>
      <c r="C51" s="70"/>
      <c r="D51" s="70"/>
      <c r="E51" s="70"/>
      <c r="F51" s="70"/>
    </row>
    <row r="52" spans="1:6" x14ac:dyDescent="0.2">
      <c r="A52" s="70"/>
      <c r="B52" s="70"/>
      <c r="C52" s="70"/>
      <c r="D52" s="70"/>
      <c r="E52" s="70"/>
      <c r="F52" s="70"/>
    </row>
    <row r="53" spans="1:6" x14ac:dyDescent="0.2">
      <c r="A53" s="70"/>
      <c r="B53" s="70"/>
      <c r="C53" s="70"/>
      <c r="D53" s="70"/>
      <c r="E53" s="70"/>
      <c r="F53" s="70"/>
    </row>
    <row r="54" spans="1:6" x14ac:dyDescent="0.2">
      <c r="A54" s="70"/>
      <c r="B54" s="70"/>
      <c r="C54" s="70"/>
      <c r="D54" s="70"/>
      <c r="E54" s="70"/>
      <c r="F54" s="70"/>
    </row>
    <row r="55" spans="1:6" x14ac:dyDescent="0.2">
      <c r="A55" s="70"/>
      <c r="B55" s="70"/>
      <c r="C55" s="70"/>
      <c r="D55" s="70"/>
      <c r="E55" s="70"/>
      <c r="F55" s="70"/>
    </row>
    <row r="56" spans="1:6" x14ac:dyDescent="0.2">
      <c r="A56" s="70"/>
      <c r="B56" s="70"/>
      <c r="C56" s="70"/>
      <c r="D56" s="70"/>
      <c r="E56" s="70"/>
      <c r="F56" s="70"/>
    </row>
    <row r="57" spans="1:6" x14ac:dyDescent="0.2">
      <c r="A57" s="70"/>
      <c r="B57" s="70"/>
      <c r="C57" s="70"/>
      <c r="D57" s="70"/>
      <c r="E57" s="70"/>
      <c r="F57" s="70"/>
    </row>
    <row r="58" spans="1:6" x14ac:dyDescent="0.2">
      <c r="A58" s="70"/>
      <c r="B58" s="70"/>
      <c r="C58" s="70"/>
      <c r="D58" s="70"/>
      <c r="E58" s="70"/>
      <c r="F58" s="70"/>
    </row>
    <row r="59" spans="1:6" x14ac:dyDescent="0.2">
      <c r="A59" s="70"/>
      <c r="B59" s="70"/>
      <c r="C59" s="70"/>
      <c r="D59" s="70"/>
      <c r="E59" s="70"/>
      <c r="F59" s="70"/>
    </row>
    <row r="60" spans="1:6" x14ac:dyDescent="0.2">
      <c r="A60" s="70"/>
      <c r="B60" s="70"/>
      <c r="C60" s="70"/>
      <c r="D60" s="70"/>
      <c r="E60" s="70"/>
      <c r="F60" s="70"/>
    </row>
    <row r="61" spans="1:6" x14ac:dyDescent="0.2">
      <c r="A61" s="70"/>
      <c r="B61" s="70"/>
      <c r="C61" s="70"/>
      <c r="D61" s="70"/>
      <c r="E61" s="70"/>
      <c r="F61" s="70"/>
    </row>
    <row r="62" spans="1:6" x14ac:dyDescent="0.2">
      <c r="A62" s="70"/>
      <c r="B62" s="70"/>
      <c r="C62" s="70"/>
      <c r="D62" s="70"/>
      <c r="E62" s="70"/>
      <c r="F62" s="70"/>
    </row>
    <row r="63" spans="1:6" x14ac:dyDescent="0.2">
      <c r="A63" s="70"/>
      <c r="B63" s="70"/>
      <c r="C63" s="70"/>
      <c r="D63" s="70"/>
      <c r="E63" s="70"/>
      <c r="F63" s="70"/>
    </row>
    <row r="64" spans="1:6" x14ac:dyDescent="0.2">
      <c r="A64" s="70"/>
      <c r="B64" s="70"/>
      <c r="C64" s="70"/>
      <c r="D64" s="70"/>
      <c r="E64" s="70"/>
      <c r="F64" s="70"/>
    </row>
    <row r="65" spans="1:6" x14ac:dyDescent="0.2">
      <c r="A65" s="70"/>
      <c r="B65" s="70"/>
      <c r="C65" s="70"/>
      <c r="D65" s="70"/>
      <c r="E65" s="70"/>
      <c r="F65" s="70"/>
    </row>
    <row r="66" spans="1:6" x14ac:dyDescent="0.2">
      <c r="A66" s="70"/>
      <c r="B66" s="70"/>
      <c r="C66" s="70"/>
      <c r="D66" s="70"/>
      <c r="E66" s="70"/>
      <c r="F66" s="70"/>
    </row>
    <row r="67" spans="1:6" x14ac:dyDescent="0.2">
      <c r="A67" s="70"/>
      <c r="B67" s="70"/>
      <c r="C67" s="70"/>
      <c r="D67" s="70"/>
      <c r="E67" s="70"/>
      <c r="F67" s="70"/>
    </row>
    <row r="68" spans="1:6" x14ac:dyDescent="0.2">
      <c r="A68" s="70"/>
      <c r="B68" s="70"/>
      <c r="C68" s="70"/>
      <c r="D68" s="70"/>
      <c r="E68" s="70"/>
      <c r="F68" s="70"/>
    </row>
    <row r="69" spans="1:6" x14ac:dyDescent="0.2">
      <c r="A69" s="70"/>
      <c r="B69" s="70"/>
      <c r="C69" s="70"/>
      <c r="D69" s="70"/>
      <c r="E69" s="70"/>
      <c r="F69" s="70"/>
    </row>
    <row r="70" spans="1:6" x14ac:dyDescent="0.2">
      <c r="A70" s="70"/>
      <c r="B70" s="70"/>
      <c r="C70" s="70"/>
      <c r="D70" s="70"/>
      <c r="E70" s="70"/>
      <c r="F70" s="70"/>
    </row>
    <row r="71" spans="1:6" x14ac:dyDescent="0.2">
      <c r="A71" s="70"/>
      <c r="B71" s="70"/>
      <c r="C71" s="70"/>
      <c r="D71" s="70"/>
      <c r="E71" s="70"/>
      <c r="F71" s="70"/>
    </row>
    <row r="72" spans="1:6" x14ac:dyDescent="0.2">
      <c r="A72" s="70"/>
      <c r="B72" s="70"/>
      <c r="C72" s="70"/>
      <c r="D72" s="70"/>
      <c r="E72" s="70"/>
      <c r="F72" s="70"/>
    </row>
    <row r="73" spans="1:6" x14ac:dyDescent="0.2">
      <c r="A73" s="70"/>
      <c r="B73" s="70"/>
      <c r="C73" s="70"/>
      <c r="D73" s="70"/>
      <c r="E73" s="70"/>
      <c r="F73" s="70"/>
    </row>
    <row r="74" spans="1:6" x14ac:dyDescent="0.2">
      <c r="A74" s="70"/>
      <c r="B74" s="70"/>
      <c r="C74" s="70"/>
      <c r="D74" s="70"/>
      <c r="E74" s="70"/>
      <c r="F74" s="70"/>
    </row>
    <row r="75" spans="1:6" x14ac:dyDescent="0.2">
      <c r="A75" s="70"/>
      <c r="B75" s="70"/>
      <c r="C75" s="70"/>
      <c r="D75" s="70"/>
      <c r="E75" s="70"/>
      <c r="F75" s="70"/>
    </row>
    <row r="76" spans="1:6" x14ac:dyDescent="0.2">
      <c r="A76" s="70"/>
      <c r="B76" s="70"/>
      <c r="C76" s="70"/>
      <c r="D76" s="70"/>
      <c r="E76" s="70"/>
      <c r="F76" s="70"/>
    </row>
    <row r="77" spans="1:6" x14ac:dyDescent="0.2">
      <c r="A77" s="70"/>
      <c r="B77" s="70"/>
      <c r="C77" s="70"/>
      <c r="D77" s="70"/>
      <c r="E77" s="70"/>
      <c r="F77" s="70"/>
    </row>
    <row r="78" spans="1:6" x14ac:dyDescent="0.2">
      <c r="A78" s="70"/>
      <c r="B78" s="70"/>
      <c r="C78" s="70"/>
      <c r="D78" s="70"/>
      <c r="E78" s="70"/>
      <c r="F78" s="70"/>
    </row>
    <row r="79" spans="1:6" x14ac:dyDescent="0.2">
      <c r="A79" s="70"/>
      <c r="B79" s="70"/>
      <c r="C79" s="70"/>
      <c r="D79" s="70"/>
      <c r="E79" s="70"/>
      <c r="F79" s="70"/>
    </row>
    <row r="80" spans="1:6" x14ac:dyDescent="0.2">
      <c r="A80" s="70"/>
      <c r="B80" s="70"/>
      <c r="C80" s="70"/>
      <c r="D80" s="70"/>
      <c r="E80" s="70"/>
      <c r="F80" s="70"/>
    </row>
    <row r="81" spans="1:6" x14ac:dyDescent="0.2">
      <c r="A81" s="70"/>
      <c r="B81" s="70"/>
      <c r="C81" s="70"/>
      <c r="D81" s="70"/>
      <c r="E81" s="70"/>
      <c r="F81" s="70"/>
    </row>
    <row r="82" spans="1:6" x14ac:dyDescent="0.2">
      <c r="A82" s="70"/>
      <c r="B82" s="70"/>
      <c r="C82" s="70"/>
      <c r="D82" s="70"/>
      <c r="E82" s="70"/>
      <c r="F82" s="70"/>
    </row>
    <row r="83" spans="1:6" x14ac:dyDescent="0.2">
      <c r="A83" s="70"/>
      <c r="B83" s="70"/>
      <c r="C83" s="70"/>
      <c r="D83" s="70"/>
      <c r="E83" s="70"/>
      <c r="F83" s="70"/>
    </row>
    <row r="84" spans="1:6" x14ac:dyDescent="0.2">
      <c r="A84" s="70"/>
      <c r="B84" s="70"/>
      <c r="C84" s="70"/>
      <c r="D84" s="70"/>
      <c r="E84" s="70"/>
      <c r="F84" s="70"/>
    </row>
    <row r="85" spans="1:6" x14ac:dyDescent="0.2">
      <c r="A85" s="70"/>
      <c r="B85" s="70"/>
      <c r="C85" s="70"/>
      <c r="D85" s="70"/>
      <c r="E85" s="70"/>
      <c r="F85" s="70"/>
    </row>
    <row r="86" spans="1:6" x14ac:dyDescent="0.2">
      <c r="A86" s="70"/>
      <c r="B86" s="70"/>
      <c r="C86" s="70"/>
      <c r="D86" s="70"/>
      <c r="E86" s="70"/>
      <c r="F86" s="70"/>
    </row>
    <row r="87" spans="1:6" x14ac:dyDescent="0.2">
      <c r="A87" s="70"/>
      <c r="B87" s="70"/>
      <c r="C87" s="70"/>
      <c r="D87" s="70"/>
      <c r="E87" s="70"/>
      <c r="F87" s="70"/>
    </row>
    <row r="88" spans="1:6" x14ac:dyDescent="0.2">
      <c r="A88" s="70"/>
      <c r="B88" s="70"/>
      <c r="C88" s="70"/>
      <c r="D88" s="70"/>
      <c r="E88" s="70"/>
      <c r="F88" s="70"/>
    </row>
    <row r="89" spans="1:6" x14ac:dyDescent="0.2">
      <c r="A89" s="70"/>
      <c r="B89" s="70"/>
      <c r="C89" s="70"/>
      <c r="D89" s="70"/>
      <c r="E89" s="70"/>
      <c r="F89" s="70"/>
    </row>
    <row r="90" spans="1:6" x14ac:dyDescent="0.2">
      <c r="A90" s="70"/>
      <c r="B90" s="70"/>
      <c r="C90" s="70"/>
      <c r="D90" s="70"/>
      <c r="E90" s="70"/>
      <c r="F90" s="70"/>
    </row>
    <row r="91" spans="1:6" x14ac:dyDescent="0.2">
      <c r="A91" s="70"/>
      <c r="B91" s="70"/>
      <c r="C91" s="70"/>
      <c r="D91" s="70"/>
      <c r="E91" s="70"/>
      <c r="F91" s="70"/>
    </row>
    <row r="92" spans="1:6" x14ac:dyDescent="0.2">
      <c r="A92" s="70"/>
      <c r="B92" s="70"/>
      <c r="C92" s="70"/>
      <c r="D92" s="70"/>
      <c r="E92" s="70"/>
      <c r="F92" s="70"/>
    </row>
    <row r="93" spans="1:6" x14ac:dyDescent="0.2">
      <c r="A93" s="70"/>
      <c r="B93" s="70"/>
      <c r="C93" s="70"/>
      <c r="D93" s="70"/>
      <c r="E93" s="70"/>
      <c r="F93" s="70"/>
    </row>
    <row r="94" spans="1:6" x14ac:dyDescent="0.2">
      <c r="A94" s="70"/>
      <c r="B94" s="70"/>
      <c r="C94" s="70"/>
      <c r="D94" s="70"/>
      <c r="E94" s="70"/>
      <c r="F94" s="70"/>
    </row>
    <row r="95" spans="1:6" x14ac:dyDescent="0.2">
      <c r="A95" s="70"/>
      <c r="B95" s="70"/>
      <c r="C95" s="70"/>
      <c r="D95" s="70"/>
      <c r="E95" s="70"/>
      <c r="F95" s="70"/>
    </row>
    <row r="96" spans="1:6" x14ac:dyDescent="0.2">
      <c r="A96" s="70"/>
      <c r="B96" s="70"/>
      <c r="C96" s="70"/>
      <c r="D96" s="70"/>
      <c r="E96" s="70"/>
      <c r="F96" s="70"/>
    </row>
    <row r="97" spans="1:6" x14ac:dyDescent="0.2">
      <c r="A97" s="70"/>
      <c r="B97" s="70"/>
      <c r="C97" s="70"/>
      <c r="D97" s="70"/>
      <c r="E97" s="70"/>
      <c r="F97" s="70"/>
    </row>
    <row r="98" spans="1:6" x14ac:dyDescent="0.2">
      <c r="A98" s="70"/>
      <c r="B98" s="70"/>
      <c r="C98" s="70"/>
      <c r="D98" s="70"/>
      <c r="E98" s="70"/>
      <c r="F98" s="70"/>
    </row>
    <row r="99" spans="1:6" x14ac:dyDescent="0.2">
      <c r="A99" s="70"/>
      <c r="B99" s="70"/>
      <c r="C99" s="70"/>
      <c r="D99" s="70"/>
      <c r="E99" s="70"/>
      <c r="F99" s="70"/>
    </row>
    <row r="100" spans="1:6" x14ac:dyDescent="0.2">
      <c r="A100" s="70"/>
      <c r="B100" s="70"/>
      <c r="C100" s="70"/>
      <c r="D100" s="70"/>
      <c r="E100" s="70"/>
      <c r="F100" s="70"/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71FC9-FC26-41F3-94DB-41B9D0C77B94}">
  <dimension ref="A1:F100"/>
  <sheetViews>
    <sheetView rightToLeft="1" workbookViewId="0">
      <pane ySplit="2" topLeftCell="A3" activePane="bottomLeft" state="frozen"/>
      <selection pane="bottomLeft" sqref="A1:F1"/>
    </sheetView>
  </sheetViews>
  <sheetFormatPr defaultRowHeight="14.25" x14ac:dyDescent="0.2"/>
  <cols>
    <col min="1" max="1" width="21.625" customWidth="1"/>
    <col min="2" max="5" width="13.375" customWidth="1"/>
    <col min="6" max="6" width="58.375" customWidth="1"/>
  </cols>
  <sheetData>
    <row r="1" spans="1:6" ht="15.75" x14ac:dyDescent="0.25">
      <c r="A1" s="147" t="s">
        <v>1765</v>
      </c>
      <c r="B1" s="23"/>
      <c r="C1" s="23"/>
      <c r="D1" s="23"/>
      <c r="E1" s="23"/>
      <c r="F1" s="23"/>
    </row>
    <row r="2" spans="1:6" ht="15" x14ac:dyDescent="0.25">
      <c r="A2" s="119" t="s">
        <v>1532</v>
      </c>
      <c r="B2" s="123" t="s">
        <v>1595</v>
      </c>
      <c r="C2" s="123" t="s">
        <v>1591</v>
      </c>
      <c r="D2" s="123" t="s">
        <v>1592</v>
      </c>
      <c r="E2" s="123" t="s">
        <v>1593</v>
      </c>
      <c r="F2" s="118" t="s">
        <v>1542</v>
      </c>
    </row>
    <row r="3" spans="1:6" x14ac:dyDescent="0.2">
      <c r="A3" s="121" t="s">
        <v>0</v>
      </c>
      <c r="B3" s="148">
        <f>IFERROR(INDEX(report!$K$42:$K$56,MATCH("חופש",report!$I$42:$I$56,0)),0)</f>
        <v>0</v>
      </c>
      <c r="C3" s="148">
        <f>IFERROR(INDEX(report!$K$42:$K$56,MATCH("חופש בע.חג",report!$I$42:$I$56,0)),0)</f>
        <v>1.5</v>
      </c>
      <c r="D3" s="148">
        <f>IFERROR(INDEX(report!$K$42:$K$56,MATCH("חופש בחוה""מ",report!$I$42:$I$56,0)),0)</f>
        <v>2</v>
      </c>
      <c r="E3" s="148">
        <f>B3+C3+D3</f>
        <v>3.5</v>
      </c>
      <c r="F3" s="120" t="s">
        <v>1543</v>
      </c>
    </row>
    <row r="4" spans="1:6" x14ac:dyDescent="0.2">
      <c r="A4" s="121" t="s">
        <v>182</v>
      </c>
      <c r="B4" s="148">
        <f>IFERROR(INDEX(report!$K$95:$K$109,MATCH("חופש",report!$I$95:$I$109,0)),0)</f>
        <v>1</v>
      </c>
      <c r="C4" s="148">
        <f>IFERROR(INDEX(report!$K$95:$K$109,MATCH("חופש בע.חג",report!$I$95:$I$109,0)),0)</f>
        <v>1</v>
      </c>
      <c r="D4" s="148">
        <f>IFERROR(INDEX(report!$K$95:$K$109,MATCH("חופש בחוה""מ",report!$I$95:$I$109,0)),0)</f>
        <v>0</v>
      </c>
      <c r="E4" s="148">
        <f>B4+C4+D4</f>
        <v>2</v>
      </c>
      <c r="F4" s="120" t="s">
        <v>1544</v>
      </c>
    </row>
    <row r="5" spans="1:6" x14ac:dyDescent="0.2">
      <c r="A5" s="121" t="s">
        <v>266</v>
      </c>
      <c r="B5" s="148">
        <f>IFERROR(INDEX(report!$K$147:$K$161,MATCH("חופש",report!$I$147:$I$161,0)),0)</f>
        <v>0</v>
      </c>
      <c r="C5" s="148">
        <f>IFERROR(INDEX(report!$K$147:$K$161,MATCH("חופש בע.חג",report!$I$147:$I$161,0)),0)</f>
        <v>1.5</v>
      </c>
      <c r="D5" s="148">
        <f>IFERROR(INDEX(report!$K$147:$K$161,MATCH("חופש בחוה""מ",report!$I$147:$I$161,0)),0)</f>
        <v>2</v>
      </c>
      <c r="E5" s="148">
        <f>B5+C5+D5</f>
        <v>3.5</v>
      </c>
      <c r="F5" s="120" t="s">
        <v>1543</v>
      </c>
    </row>
    <row r="6" spans="1:6" x14ac:dyDescent="0.2">
      <c r="A6" s="121" t="s">
        <v>298</v>
      </c>
      <c r="B6" s="148">
        <f>IFERROR(INDEX(report!$K$200:$K$214,MATCH("חופש",report!$I$200:$I$214,0)),0)</f>
        <v>2</v>
      </c>
      <c r="C6" s="148">
        <f>IFERROR(INDEX(report!$K$200:$K$214,MATCH("חופש בע.חג",report!$I$200:$I$214,0)),0)</f>
        <v>1.5</v>
      </c>
      <c r="D6" s="148">
        <f>IFERROR(INDEX(report!$K$200:$K$214,MATCH("חופש בחוה""מ",report!$I$200:$I$214,0)),0)</f>
        <v>0</v>
      </c>
      <c r="E6" s="148">
        <f>B6+C6+D6</f>
        <v>3.5</v>
      </c>
      <c r="F6" s="120" t="s">
        <v>1545</v>
      </c>
    </row>
    <row r="7" spans="1:6" x14ac:dyDescent="0.2">
      <c r="A7" s="121" t="s">
        <v>377</v>
      </c>
      <c r="B7" s="148">
        <f>IFERROR(INDEX(report!$K$252:$K$266,MATCH("חופש",report!$I$252:$I$266,0)),0)</f>
        <v>0</v>
      </c>
      <c r="C7" s="148">
        <f>IFERROR(INDEX(report!$K$252:$K$266,MATCH("חופש בע.חג",report!$I$252:$I$266,0)),0)</f>
        <v>0</v>
      </c>
      <c r="D7" s="148">
        <f>IFERROR(INDEX(report!$K$252:$K$266,MATCH("חופש בחוה""מ",report!$I$252:$I$266,0)),0)</f>
        <v>0</v>
      </c>
      <c r="E7" s="148">
        <f>B7+C7+D7</f>
        <v>0</v>
      </c>
      <c r="F7" s="120" t="s">
        <v>1546</v>
      </c>
    </row>
    <row r="8" spans="1:6" x14ac:dyDescent="0.2">
      <c r="A8" s="121" t="s">
        <v>380</v>
      </c>
      <c r="B8" s="148">
        <f>IFERROR(INDEX(report!$K$304:$K$318,MATCH("חופש",report!$I$304:$I$318,0)),0)</f>
        <v>1</v>
      </c>
      <c r="C8" s="148">
        <f>IFERROR(INDEX(report!$K$304:$K$318,MATCH("חופש בע.חג",report!$I$304:$I$318,0)),0)</f>
        <v>1.5</v>
      </c>
      <c r="D8" s="148">
        <f>IFERROR(INDEX(report!$K$304:$K$318,MATCH("חופש בחוה""מ",report!$I$304:$I$318,0)),0)</f>
        <v>0</v>
      </c>
      <c r="E8" s="148">
        <f>B8+C8+D8</f>
        <v>2.5</v>
      </c>
      <c r="F8" s="120" t="s">
        <v>1545</v>
      </c>
    </row>
    <row r="9" spans="1:6" x14ac:dyDescent="0.2">
      <c r="A9" s="121" t="s">
        <v>447</v>
      </c>
      <c r="B9" s="148">
        <f>IFERROR(INDEX(report!$K$357:$K$371,MATCH("חופש",report!$I$357:$I$371,0)),0)</f>
        <v>2</v>
      </c>
      <c r="C9" s="148">
        <f>IFERROR(INDEX(report!$K$357:$K$371,MATCH("חופש בע.חג",report!$I$357:$I$371,0)),0)</f>
        <v>1.5</v>
      </c>
      <c r="D9" s="148">
        <f>IFERROR(INDEX(report!$K$357:$K$371,MATCH("חופש בחוה""מ",report!$I$357:$I$371,0)),0)</f>
        <v>2</v>
      </c>
      <c r="E9" s="148">
        <f>B9+C9+D9</f>
        <v>5.5</v>
      </c>
      <c r="F9" s="120" t="s">
        <v>1543</v>
      </c>
    </row>
    <row r="10" spans="1:6" x14ac:dyDescent="0.2">
      <c r="A10" s="121" t="s">
        <v>509</v>
      </c>
      <c r="B10" s="148">
        <f>IFERROR(INDEX(report!$K$409:$K$423,MATCH("חופש",report!$I$409:$I$423,0)),0)</f>
        <v>0</v>
      </c>
      <c r="C10" s="148">
        <f>IFERROR(INDEX(report!$K$409:$K$423,MATCH("חופש בע.חג",report!$I$409:$I$423,0)),0)</f>
        <v>1.5</v>
      </c>
      <c r="D10" s="148">
        <f>IFERROR(INDEX(report!$K$409:$K$423,MATCH("חופש בחוה""מ",report!$I$409:$I$423,0)),0)</f>
        <v>2</v>
      </c>
      <c r="E10" s="148">
        <f>B10+C10+D10</f>
        <v>3.5</v>
      </c>
      <c r="F10" s="120" t="s">
        <v>1543</v>
      </c>
    </row>
    <row r="11" spans="1:6" x14ac:dyDescent="0.2">
      <c r="A11" s="121" t="s">
        <v>529</v>
      </c>
      <c r="B11" s="148">
        <f>IFERROR(INDEX(report!$K$461:$K$475,MATCH("חופש",report!$I$461:$I$475,0)),0)</f>
        <v>2</v>
      </c>
      <c r="C11" s="148">
        <f>IFERROR(INDEX(report!$K$461:$K$475,MATCH("חופש בע.חג",report!$I$461:$I$475,0)),0)</f>
        <v>0.5</v>
      </c>
      <c r="D11" s="148">
        <f>IFERROR(INDEX(report!$K$461:$K$475,MATCH("חופש בחוה""מ",report!$I$461:$I$475,0)),0)</f>
        <v>0</v>
      </c>
      <c r="E11" s="148">
        <f>B11+C11+D11</f>
        <v>2.5</v>
      </c>
      <c r="F11" s="120" t="s">
        <v>1546</v>
      </c>
    </row>
    <row r="12" spans="1:6" x14ac:dyDescent="0.2">
      <c r="A12" s="121" t="s">
        <v>530</v>
      </c>
      <c r="B12" s="148">
        <f>IFERROR(INDEX(report!$K$513:$K$527,MATCH("חופש",report!$I$513:$I$527,0)),0)</f>
        <v>2</v>
      </c>
      <c r="C12" s="148">
        <f>IFERROR(INDEX(report!$K$513:$K$527,MATCH("חופש בע.חג",report!$I$513:$I$527,0)),0)</f>
        <v>1.5</v>
      </c>
      <c r="D12" s="148">
        <f>IFERROR(INDEX(report!$K$513:$K$527,MATCH("חופש בחוה""מ",report!$I$513:$I$527,0)),0)</f>
        <v>1</v>
      </c>
      <c r="E12" s="148">
        <f>B12+C12+D12</f>
        <v>4.5</v>
      </c>
      <c r="F12" s="120" t="s">
        <v>1547</v>
      </c>
    </row>
    <row r="13" spans="1:6" x14ac:dyDescent="0.2">
      <c r="A13" s="121" t="s">
        <v>576</v>
      </c>
      <c r="B13" s="148">
        <f>IFERROR(INDEX(report!$K$565:$K$579,MATCH("חופש",report!$I$565:$I$579,0)),0)</f>
        <v>0</v>
      </c>
      <c r="C13" s="148">
        <f>IFERROR(INDEX(report!$K$565:$K$579,MATCH("חופש בע.חג",report!$I$565:$I$579,0)),0)</f>
        <v>1.5</v>
      </c>
      <c r="D13" s="148">
        <f>IFERROR(INDEX(report!$K$565:$K$579,MATCH("חופש בחוה""מ",report!$I$565:$I$579,0)),0)</f>
        <v>0</v>
      </c>
      <c r="E13" s="148">
        <f>B13+C13+D13</f>
        <v>1.5</v>
      </c>
      <c r="F13" s="120" t="s">
        <v>1548</v>
      </c>
    </row>
    <row r="14" spans="1:6" x14ac:dyDescent="0.2">
      <c r="A14" s="121" t="s">
        <v>633</v>
      </c>
      <c r="B14" s="148">
        <f>IFERROR(INDEX(report!$K$618:$K$632,MATCH("חופש",report!$I$618:$I$632,0)),0)</f>
        <v>1</v>
      </c>
      <c r="C14" s="148">
        <f>IFERROR(INDEX(report!$K$618:$K$632,MATCH("חופש בע.חג",report!$I$618:$I$632,0)),0)</f>
        <v>1.5</v>
      </c>
      <c r="D14" s="148">
        <f>IFERROR(INDEX(report!$K$618:$K$632,MATCH("חופש בחוה""מ",report!$I$618:$I$632,0)),0)</f>
        <v>0</v>
      </c>
      <c r="E14" s="148">
        <f>B14+C14+D14</f>
        <v>2.5</v>
      </c>
      <c r="F14" s="120" t="s">
        <v>1545</v>
      </c>
    </row>
    <row r="15" spans="1:6" x14ac:dyDescent="0.2">
      <c r="A15" s="121" t="s">
        <v>651</v>
      </c>
      <c r="B15" s="148">
        <f>IFERROR(INDEX(report!$K$670:$K$684,MATCH("חופש",report!$I$670:$I$684,0)),0)</f>
        <v>0</v>
      </c>
      <c r="C15" s="148">
        <f>IFERROR(INDEX(report!$K$670:$K$684,MATCH("חופש בע.חג",report!$I$670:$I$684,0)),0)</f>
        <v>1.5</v>
      </c>
      <c r="D15" s="148">
        <f>IFERROR(INDEX(report!$K$670:$K$684,MATCH("חופש בחוה""מ",report!$I$670:$I$684,0)),0)</f>
        <v>0</v>
      </c>
      <c r="E15" s="148">
        <f>B15+C15+D15</f>
        <v>1.5</v>
      </c>
      <c r="F15" s="120" t="s">
        <v>1545</v>
      </c>
    </row>
    <row r="16" spans="1:6" x14ac:dyDescent="0.2">
      <c r="A16" s="121" t="s">
        <v>701</v>
      </c>
      <c r="B16" s="148">
        <f>IFERROR(INDEX(report!$K$722:$K$736,MATCH("חופש",report!$I$722:$I$736,0)),0)</f>
        <v>0</v>
      </c>
      <c r="C16" s="148">
        <f>IFERROR(INDEX(report!$K$722:$K$736,MATCH("חופש בע.חג",report!$I$722:$I$736,0)),0)</f>
        <v>0.5</v>
      </c>
      <c r="D16" s="148">
        <f>IFERROR(INDEX(report!$K$722:$K$736,MATCH("חופש בחוה""מ",report!$I$722:$I$736,0)),0)</f>
        <v>0</v>
      </c>
      <c r="E16" s="148">
        <f>B16+C16+D16</f>
        <v>0.5</v>
      </c>
      <c r="F16" s="120" t="s">
        <v>1549</v>
      </c>
    </row>
    <row r="17" spans="1:6" x14ac:dyDescent="0.2">
      <c r="A17" s="121" t="s">
        <v>751</v>
      </c>
      <c r="B17" s="148">
        <f>IFERROR(INDEX(report!$K$774:$K$788,MATCH("חופש",report!$I$774:$I$788,0)),0)</f>
        <v>0</v>
      </c>
      <c r="C17" s="148">
        <f>IFERROR(INDEX(report!$K$774:$K$788,MATCH("חופש בע.חג",report!$I$774:$I$788,0)),0)</f>
        <v>0.5</v>
      </c>
      <c r="D17" s="148">
        <f>IFERROR(INDEX(report!$K$774:$K$788,MATCH("חופש בחוה""מ",report!$I$774:$I$788,0)),0)</f>
        <v>0</v>
      </c>
      <c r="E17" s="148">
        <f>B17+C17+D17</f>
        <v>0.5</v>
      </c>
      <c r="F17" s="120" t="s">
        <v>1550</v>
      </c>
    </row>
    <row r="18" spans="1:6" x14ac:dyDescent="0.2">
      <c r="A18" s="121" t="s">
        <v>816</v>
      </c>
      <c r="B18" s="148">
        <f>IFERROR(INDEX(report!$K$826:$K$840,MATCH("חופש",report!$I$826:$I$840,0)),0)</f>
        <v>0</v>
      </c>
      <c r="C18" s="148">
        <f>IFERROR(INDEX(report!$K$826:$K$840,MATCH("חופש בע.חג",report!$I$826:$I$840,0)),0)</f>
        <v>1.5</v>
      </c>
      <c r="D18" s="148">
        <f>IFERROR(INDEX(report!$K$826:$K$840,MATCH("חופש בחוה""מ",report!$I$826:$I$840,0)),0)</f>
        <v>2</v>
      </c>
      <c r="E18" s="148">
        <f>B18+C18+D18</f>
        <v>3.5</v>
      </c>
      <c r="F18" s="120" t="s">
        <v>1543</v>
      </c>
    </row>
    <row r="19" spans="1:6" x14ac:dyDescent="0.2">
      <c r="A19" s="121" t="s">
        <v>833</v>
      </c>
      <c r="B19" s="148">
        <f>IFERROR(INDEX(report!$K$878:$K$892,MATCH("חופש",report!$I$878:$I$892,0)),0)</f>
        <v>0</v>
      </c>
      <c r="C19" s="148">
        <f>IFERROR(INDEX(report!$K$878:$K$892,MATCH("חופש בע.חג",report!$I$878:$I$892,0)),0)</f>
        <v>1.5</v>
      </c>
      <c r="D19" s="148">
        <f>IFERROR(INDEX(report!$K$878:$K$892,MATCH("חופש בחוה""מ",report!$I$878:$I$892,0)),0)</f>
        <v>2</v>
      </c>
      <c r="E19" s="148">
        <f>B19+C19+D19</f>
        <v>3.5</v>
      </c>
      <c r="F19" s="120" t="s">
        <v>1543</v>
      </c>
    </row>
    <row r="20" spans="1:6" x14ac:dyDescent="0.2">
      <c r="A20" s="121" t="s">
        <v>871</v>
      </c>
      <c r="B20" s="148">
        <f>IFERROR(INDEX(report!$K$930:$K$944,MATCH("חופש",report!$I$930:$I$944,0)),0)</f>
        <v>0</v>
      </c>
      <c r="C20" s="148">
        <f>IFERROR(INDEX(report!$K$930:$K$944,MATCH("חופש בע.חג",report!$I$930:$I$944,0)),0)</f>
        <v>1.5</v>
      </c>
      <c r="D20" s="148">
        <f>IFERROR(INDEX(report!$K$930:$K$944,MATCH("חופש בחוה""מ",report!$I$930:$I$944,0)),0)</f>
        <v>2</v>
      </c>
      <c r="E20" s="148">
        <f>B20+C20+D20</f>
        <v>3.5</v>
      </c>
      <c r="F20" s="120" t="s">
        <v>1543</v>
      </c>
    </row>
    <row r="21" spans="1:6" x14ac:dyDescent="0.2">
      <c r="A21" s="121" t="s">
        <v>872</v>
      </c>
      <c r="B21" s="148">
        <f>IFERROR(INDEX(report!$K$984:$K$998,MATCH("חופש",report!$I$984:$I$998,0)),0)</f>
        <v>2</v>
      </c>
      <c r="C21" s="148">
        <f>IFERROR(INDEX(report!$K$984:$K$998,MATCH("חופש בע.חג",report!$I$984:$I$998,0)),0)</f>
        <v>1</v>
      </c>
      <c r="D21" s="148">
        <f>IFERROR(INDEX(report!$K$984:$K$998,MATCH("חופש בחוה""מ",report!$I$984:$I$998,0)),0)</f>
        <v>0</v>
      </c>
      <c r="E21" s="148">
        <f>B21+C21+D21</f>
        <v>3</v>
      </c>
      <c r="F21" s="120" t="s">
        <v>1551</v>
      </c>
    </row>
    <row r="22" spans="1:6" x14ac:dyDescent="0.2">
      <c r="A22" s="121" t="s">
        <v>901</v>
      </c>
      <c r="B22" s="148">
        <f>IFERROR(INDEX(report!$K$1036:$K$1050,MATCH("חופש",report!$I$1036:$I$1050,0)),0)</f>
        <v>0</v>
      </c>
      <c r="C22" s="148">
        <f>IFERROR(INDEX(report!$K$1036:$K$1050,MATCH("חופש בע.חג",report!$I$1036:$I$1050,0)),0)</f>
        <v>1</v>
      </c>
      <c r="D22" s="148">
        <f>IFERROR(INDEX(report!$K$1036:$K$1050,MATCH("חופש בחוה""מ",report!$I$1036:$I$1050,0)),0)</f>
        <v>0</v>
      </c>
      <c r="E22" s="148">
        <f>B22+C22+D22</f>
        <v>1</v>
      </c>
      <c r="F22" s="120" t="s">
        <v>1551</v>
      </c>
    </row>
    <row r="23" spans="1:6" x14ac:dyDescent="0.2">
      <c r="A23" s="121" t="s">
        <v>943</v>
      </c>
      <c r="B23" s="148">
        <f>IFERROR(INDEX(report!$K$1089:$K$1103,MATCH("חופש",report!$I$1089:$I$1103,0)),0)</f>
        <v>1</v>
      </c>
      <c r="C23" s="148">
        <f>IFERROR(INDEX(report!$K$1089:$K$1103,MATCH("חופש בע.חג",report!$I$1089:$I$1103,0)),0)</f>
        <v>1</v>
      </c>
      <c r="D23" s="148">
        <f>IFERROR(INDEX(report!$K$1089:$K$1103,MATCH("חופש בחוה""מ",report!$I$1089:$I$1103,0)),0)</f>
        <v>0</v>
      </c>
      <c r="E23" s="148">
        <f>B23+C23+D23</f>
        <v>2</v>
      </c>
      <c r="F23" s="120" t="s">
        <v>1551</v>
      </c>
    </row>
    <row r="24" spans="1:6" x14ac:dyDescent="0.2">
      <c r="A24" s="121" t="s">
        <v>984</v>
      </c>
      <c r="B24" s="148">
        <f>IFERROR(INDEX(report!$K$1141:$K$1155,MATCH("חופש",report!$I$1141:$I$1155,0)),0)</f>
        <v>1</v>
      </c>
      <c r="C24" s="148">
        <f>IFERROR(INDEX(report!$K$1141:$K$1155,MATCH("חופש בע.חג",report!$I$1141:$I$1155,0)),0)</f>
        <v>1</v>
      </c>
      <c r="D24" s="148">
        <f>IFERROR(INDEX(report!$K$1141:$K$1155,MATCH("חופש בחוה""מ",report!$I$1141:$I$1155,0)),0)</f>
        <v>2</v>
      </c>
      <c r="E24" s="148">
        <f>B24+C24+D24</f>
        <v>4</v>
      </c>
      <c r="F24" s="120" t="s">
        <v>1552</v>
      </c>
    </row>
    <row r="25" spans="1:6" x14ac:dyDescent="0.2">
      <c r="A25" s="121" t="s">
        <v>1021</v>
      </c>
      <c r="B25" s="148">
        <f>IFERROR(INDEX(report!$K$1193:$K$1207,MATCH("חופש",report!$I$1193:$I$1207,0)),0)</f>
        <v>0</v>
      </c>
      <c r="C25" s="148">
        <f>IFERROR(INDEX(report!$K$1193:$K$1207,MATCH("חופש בע.חג",report!$I$1193:$I$1207,0)),0)</f>
        <v>0</v>
      </c>
      <c r="D25" s="148">
        <f>IFERROR(INDEX(report!$K$1193:$K$1207,MATCH("חופש בחוה""מ",report!$I$1193:$I$1207,0)),0)</f>
        <v>0</v>
      </c>
      <c r="E25" s="148">
        <f>B25+C25+D25</f>
        <v>0</v>
      </c>
      <c r="F25" s="120" t="s">
        <v>1553</v>
      </c>
    </row>
    <row r="26" spans="1:6" x14ac:dyDescent="0.2">
      <c r="A26" s="121" t="s">
        <v>1036</v>
      </c>
      <c r="B26" s="148">
        <f>IFERROR(INDEX(report!$K$1245:$K$1259,MATCH("חופש",report!$I$1245:$I$1259,0)),0)</f>
        <v>1</v>
      </c>
      <c r="C26" s="148">
        <f>IFERROR(INDEX(report!$K$1245:$K$1259,MATCH("חופש בע.חג",report!$I$1245:$I$1259,0)),0)</f>
        <v>1.5</v>
      </c>
      <c r="D26" s="148">
        <f>IFERROR(INDEX(report!$K$1245:$K$1259,MATCH("חופש בחוה""מ",report!$I$1245:$I$1259,0)),0)</f>
        <v>2</v>
      </c>
      <c r="E26" s="148">
        <f>B26+C26+D26</f>
        <v>4.5</v>
      </c>
      <c r="F26" s="120" t="s">
        <v>1543</v>
      </c>
    </row>
    <row r="27" spans="1:6" x14ac:dyDescent="0.2">
      <c r="A27" s="121" t="s">
        <v>1071</v>
      </c>
      <c r="B27" s="148">
        <f>IFERROR(INDEX(report!$K$1298:$K$1312,MATCH("חופש",report!$I$1298:$I$1312,0)),0)</f>
        <v>1</v>
      </c>
      <c r="C27" s="148">
        <f>IFERROR(INDEX(report!$K$1298:$K$1312,MATCH("חופש בע.חג",report!$I$1298:$I$1312,0)),0)</f>
        <v>1.5</v>
      </c>
      <c r="D27" s="148">
        <f>IFERROR(INDEX(report!$K$1298:$K$1312,MATCH("חופש בחוה""מ",report!$I$1298:$I$1312,0)),0)</f>
        <v>0</v>
      </c>
      <c r="E27" s="148">
        <f>B27+C27+D27</f>
        <v>2.5</v>
      </c>
      <c r="F27" s="120" t="s">
        <v>1543</v>
      </c>
    </row>
    <row r="28" spans="1:6" x14ac:dyDescent="0.2">
      <c r="A28" s="121" t="s">
        <v>1120</v>
      </c>
      <c r="B28" s="148">
        <f>IFERROR(INDEX(report!$K$1350:$K$1364,MATCH("חופש",report!$I$1350:$I$1364,0)),0)</f>
        <v>0</v>
      </c>
      <c r="C28" s="148">
        <f>IFERROR(INDEX(report!$K$1350:$K$1364,MATCH("חופש בע.חג",report!$I$1350:$I$1364,0)),0)</f>
        <v>0</v>
      </c>
      <c r="D28" s="148">
        <f>IFERROR(INDEX(report!$K$1350:$K$1364,MATCH("חופש בחוה""מ",report!$I$1350:$I$1364,0)),0)</f>
        <v>0</v>
      </c>
      <c r="E28" s="148">
        <f>B28+C28+D28</f>
        <v>0</v>
      </c>
      <c r="F28" s="120" t="s">
        <v>1553</v>
      </c>
    </row>
    <row r="29" spans="1:6" x14ac:dyDescent="0.2">
      <c r="A29" s="121" t="s">
        <v>1146</v>
      </c>
      <c r="B29" s="148">
        <f>IFERROR(INDEX(report!$K$1402:$K$1416,MATCH("חופש",report!$I$1402:$I$1416,0)),0)</f>
        <v>0</v>
      </c>
      <c r="C29" s="148">
        <f>IFERROR(INDEX(report!$K$1402:$K$1416,MATCH("חופש בע.חג",report!$I$1402:$I$1416,0)),0)</f>
        <v>1</v>
      </c>
      <c r="D29" s="148">
        <f>IFERROR(INDEX(report!$K$1402:$K$1416,MATCH("חופש בחוה""מ",report!$I$1402:$I$1416,0)),0)</f>
        <v>0</v>
      </c>
      <c r="E29" s="148">
        <f>B29+C29+D29</f>
        <v>1</v>
      </c>
      <c r="F29" s="120" t="s">
        <v>1551</v>
      </c>
    </row>
    <row r="30" spans="1:6" x14ac:dyDescent="0.2">
      <c r="A30" s="121" t="s">
        <v>1177</v>
      </c>
      <c r="B30" s="148">
        <f>IFERROR(INDEX(report!$K$1455:$K$1469,MATCH("חופש",report!$I$1455:$I$1469,0)),0)</f>
        <v>1</v>
      </c>
      <c r="C30" s="148">
        <f>IFERROR(INDEX(report!$K$1455:$K$1469,MATCH("חופש בע.חג",report!$I$1455:$I$1469,0)),0)</f>
        <v>1.5</v>
      </c>
      <c r="D30" s="148">
        <f>IFERROR(INDEX(report!$K$1455:$K$1469,MATCH("חופש בחוה""מ",report!$I$1455:$I$1469,0)),0)</f>
        <v>0</v>
      </c>
      <c r="E30" s="148">
        <f>B30+C30+D30</f>
        <v>2.5</v>
      </c>
      <c r="F30" s="120" t="s">
        <v>1551</v>
      </c>
    </row>
    <row r="31" spans="1:6" x14ac:dyDescent="0.2">
      <c r="A31" s="121" t="s">
        <v>1197</v>
      </c>
      <c r="B31" s="148">
        <f>IFERROR(INDEX(report!$K$1507:$K$1521,MATCH("חופש",report!$I$1507:$I$1521,0)),0)</f>
        <v>0</v>
      </c>
      <c r="C31" s="148">
        <f>IFERROR(INDEX(report!$K$1507:$K$1521,MATCH("חופש בע.חג",report!$I$1507:$I$1521,0)),0)</f>
        <v>0</v>
      </c>
      <c r="D31" s="148">
        <f>IFERROR(INDEX(report!$K$1507:$K$1521,MATCH("חופש בחוה""מ",report!$I$1507:$I$1521,0)),0)</f>
        <v>0</v>
      </c>
      <c r="E31" s="148">
        <f>B31+C31+D31</f>
        <v>0</v>
      </c>
      <c r="F31" s="120" t="s">
        <v>1553</v>
      </c>
    </row>
    <row r="32" spans="1:6" x14ac:dyDescent="0.2">
      <c r="A32" s="121" t="s">
        <v>1226</v>
      </c>
      <c r="B32" s="148">
        <f>IFERROR(INDEX(report!$K$1559:$K$1573,MATCH("חופש",report!$I$1559:$I$1573,0)),0)</f>
        <v>0</v>
      </c>
      <c r="C32" s="148">
        <f>IFERROR(INDEX(report!$K$1559:$K$1573,MATCH("חופש בע.חג",report!$I$1559:$I$1573,0)),0)</f>
        <v>0</v>
      </c>
      <c r="D32" s="148">
        <f>IFERROR(INDEX(report!$K$1559:$K$1573,MATCH("חופש בחוה""מ",report!$I$1559:$I$1573,0)),0)</f>
        <v>0</v>
      </c>
      <c r="E32" s="148">
        <f>B32+C32+D32</f>
        <v>0</v>
      </c>
      <c r="F32" s="120" t="s">
        <v>1543</v>
      </c>
    </row>
    <row r="33" spans="1:6" x14ac:dyDescent="0.2">
      <c r="A33" s="121" t="s">
        <v>1236</v>
      </c>
      <c r="B33" s="148">
        <f>IFERROR(INDEX(report!$K$1611:$K$1625,MATCH("חופש",report!$I$1611:$I$1625,0)),0)</f>
        <v>2</v>
      </c>
      <c r="C33" s="148">
        <f>IFERROR(INDEX(report!$K$1611:$K$1625,MATCH("חופש בע.חג",report!$I$1611:$I$1625,0)),0)</f>
        <v>1</v>
      </c>
      <c r="D33" s="148">
        <f>IFERROR(INDEX(report!$K$1611:$K$1625,MATCH("חופש בחוה""מ",report!$I$1611:$I$1625,0)),0)</f>
        <v>0</v>
      </c>
      <c r="E33" s="148">
        <f>B33+C33+D33</f>
        <v>3</v>
      </c>
      <c r="F33" s="120" t="s">
        <v>1551</v>
      </c>
    </row>
    <row r="34" spans="1:6" x14ac:dyDescent="0.2">
      <c r="A34" s="121" t="s">
        <v>1267</v>
      </c>
      <c r="B34" s="148">
        <f>IFERROR(INDEX(report!$K$1663:$K$1677,MATCH("חופש",report!$I$1663:$I$1677,0)),0)</f>
        <v>0</v>
      </c>
      <c r="C34" s="148">
        <f>IFERROR(INDEX(report!$K$1663:$K$1677,MATCH("חופש בע.חג",report!$I$1663:$I$1677,0)),0)</f>
        <v>0.5</v>
      </c>
      <c r="D34" s="148">
        <f>IFERROR(INDEX(report!$K$1663:$K$1677,MATCH("חופש בחוה""מ",report!$I$1663:$I$1677,0)),0)</f>
        <v>0</v>
      </c>
      <c r="E34" s="148">
        <f>B34+C34+D34</f>
        <v>0.5</v>
      </c>
      <c r="F34" s="120" t="s">
        <v>1554</v>
      </c>
    </row>
    <row r="35" spans="1:6" x14ac:dyDescent="0.2">
      <c r="A35" s="121" t="s">
        <v>1285</v>
      </c>
      <c r="B35" s="148">
        <f>IFERROR(INDEX(report!$K$1715:$K$1729,MATCH("חופש",report!$I$1715:$I$1729,0)),0)</f>
        <v>0</v>
      </c>
      <c r="C35" s="148">
        <f>IFERROR(INDEX(report!$K$1715:$K$1729,MATCH("חופש בע.חג",report!$I$1715:$I$1729,0)),0)</f>
        <v>0</v>
      </c>
      <c r="D35" s="148">
        <f>IFERROR(INDEX(report!$K$1715:$K$1729,MATCH("חופש בחוה""מ",report!$I$1715:$I$1729,0)),0)</f>
        <v>0</v>
      </c>
      <c r="E35" s="148">
        <f>B35+C35+D35</f>
        <v>0</v>
      </c>
      <c r="F35" s="120" t="s">
        <v>1553</v>
      </c>
    </row>
    <row r="36" spans="1:6" x14ac:dyDescent="0.2">
      <c r="A36" s="121" t="s">
        <v>1300</v>
      </c>
      <c r="B36" s="148">
        <f>IFERROR(INDEX(report!$K$1767:$K$1781,MATCH("חופש",report!$I$1767:$I$1781,0)),0)</f>
        <v>0</v>
      </c>
      <c r="C36" s="148">
        <f>IFERROR(INDEX(report!$K$1767:$K$1781,MATCH("חופש בע.חג",report!$I$1767:$I$1781,0)),0)</f>
        <v>1</v>
      </c>
      <c r="D36" s="148">
        <f>IFERROR(INDEX(report!$K$1767:$K$1781,MATCH("חופש בחוה""מ",report!$I$1767:$I$1781,0)),0)</f>
        <v>2</v>
      </c>
      <c r="E36" s="148">
        <f>B36+C36+D36</f>
        <v>3</v>
      </c>
      <c r="F36" s="120" t="s">
        <v>1552</v>
      </c>
    </row>
    <row r="37" spans="1:6" x14ac:dyDescent="0.2">
      <c r="A37" s="121" t="s">
        <v>1318</v>
      </c>
      <c r="B37" s="148">
        <f>IFERROR(INDEX(report!$K$1819:$K$1833,MATCH("חופש",report!$I$1819:$I$1833,0)),0)</f>
        <v>0</v>
      </c>
      <c r="C37" s="148">
        <f>IFERROR(INDEX(report!$K$1819:$K$1833,MATCH("חופש בע.חג",report!$I$1819:$I$1833,0)),0)</f>
        <v>0</v>
      </c>
      <c r="D37" s="148">
        <f>IFERROR(INDEX(report!$K$1819:$K$1833,MATCH("חופש בחוה""מ",report!$I$1819:$I$1833,0)),0)</f>
        <v>0</v>
      </c>
      <c r="E37" s="148">
        <f>B37+C37+D37</f>
        <v>0</v>
      </c>
      <c r="F37" s="120" t="s">
        <v>1553</v>
      </c>
    </row>
    <row r="38" spans="1:6" x14ac:dyDescent="0.2">
      <c r="A38" s="121" t="s">
        <v>1339</v>
      </c>
      <c r="B38" s="148">
        <f>IFERROR(INDEX(report!$K$1871:$K$1885,MATCH("חופש",report!$I$1871:$I$1885,0)),0)</f>
        <v>0</v>
      </c>
      <c r="C38" s="148">
        <f>IFERROR(INDEX(report!$K$1871:$K$1885,MATCH("חופש בע.חג",report!$I$1871:$I$1885,0)),0)</f>
        <v>1</v>
      </c>
      <c r="D38" s="148">
        <f>IFERROR(INDEX(report!$K$1871:$K$1885,MATCH("חופש בחוה""מ",report!$I$1871:$I$1885,0)),0)</f>
        <v>0</v>
      </c>
      <c r="E38" s="148">
        <f>B38+C38+D38</f>
        <v>1</v>
      </c>
      <c r="F38" s="120" t="s">
        <v>1551</v>
      </c>
    </row>
    <row r="39" spans="1:6" x14ac:dyDescent="0.2">
      <c r="A39" s="121" t="s">
        <v>1360</v>
      </c>
      <c r="B39" s="148">
        <f>IFERROR(INDEX(report!$K$1923:$K$1937,MATCH("חופש",report!$I$1923:$I$1937,0)),0)</f>
        <v>2</v>
      </c>
      <c r="C39" s="148">
        <f>IFERROR(INDEX(report!$K$1923:$K$1937,MATCH("חופש בע.חג",report!$I$1923:$I$1937,0)),0)</f>
        <v>1</v>
      </c>
      <c r="D39" s="148">
        <f>IFERROR(INDEX(report!$K$1923:$K$1937,MATCH("חופש בחוה""מ",report!$I$1923:$I$1937,0)),0)</f>
        <v>2</v>
      </c>
      <c r="E39" s="148">
        <f>B39+C39+D39</f>
        <v>5</v>
      </c>
      <c r="F39" s="120" t="s">
        <v>1552</v>
      </c>
    </row>
    <row r="40" spans="1:6" x14ac:dyDescent="0.2">
      <c r="A40" s="121" t="s">
        <v>1366</v>
      </c>
      <c r="B40" s="148">
        <f>IFERROR(INDEX(report!$K$1979:$K$1993,MATCH("חופש",report!$I$1979:$I$1993,0)),0)</f>
        <v>0</v>
      </c>
      <c r="C40" s="148">
        <f>IFERROR(INDEX(report!$K$1979:$K$1993,MATCH("חופש בע.חג",report!$I$1979:$I$1993,0)),0)</f>
        <v>0</v>
      </c>
      <c r="D40" s="148">
        <f>IFERROR(INDEX(report!$K$1979:$K$1993,MATCH("חופש בחוה""מ",report!$I$1979:$I$1993,0)),0)</f>
        <v>2</v>
      </c>
      <c r="E40" s="148">
        <f>B40+C40+D40</f>
        <v>2</v>
      </c>
      <c r="F40" s="120" t="s">
        <v>1553</v>
      </c>
    </row>
    <row r="41" spans="1:6" x14ac:dyDescent="0.2">
      <c r="A41" s="121" t="s">
        <v>1403</v>
      </c>
      <c r="B41" s="148">
        <f>IFERROR(INDEX(report!$K$2031:$K$2045,MATCH("חופש",report!$I$2031:$I$2045,0)),0)</f>
        <v>0</v>
      </c>
      <c r="C41" s="148">
        <f>IFERROR(INDEX(report!$K$2031:$K$2045,MATCH("חופש בע.חג",report!$I$2031:$I$2045,0)),0)</f>
        <v>0</v>
      </c>
      <c r="D41" s="148">
        <f>IFERROR(INDEX(report!$K$2031:$K$2045,MATCH("חופש בחוה""מ",report!$I$2031:$I$2045,0)),0)</f>
        <v>0</v>
      </c>
      <c r="E41" s="148">
        <f>B41+C41+D41</f>
        <v>0</v>
      </c>
      <c r="F41" s="120" t="s">
        <v>1553</v>
      </c>
    </row>
    <row r="42" spans="1:6" x14ac:dyDescent="0.2">
      <c r="A42" s="121" t="s">
        <v>1419</v>
      </c>
      <c r="B42" s="148">
        <f>IFERROR(INDEX(report!$K$2083:$K$2097,MATCH("חופש",report!$I$2083:$I$2097,0)),0)</f>
        <v>1</v>
      </c>
      <c r="C42" s="148">
        <f>IFERROR(INDEX(report!$K$2083:$K$2097,MATCH("חופש בע.חג",report!$I$2083:$I$2097,0)),0)</f>
        <v>0</v>
      </c>
      <c r="D42" s="148">
        <f>IFERROR(INDEX(report!$K$2083:$K$2097,MATCH("חופש בחוה""מ",report!$I$2083:$I$2097,0)),0)</f>
        <v>0</v>
      </c>
      <c r="E42" s="148">
        <f>B42+C42+D42</f>
        <v>1</v>
      </c>
      <c r="F42" s="120" t="s">
        <v>1553</v>
      </c>
    </row>
    <row r="43" spans="1:6" x14ac:dyDescent="0.2">
      <c r="A43" s="121" t="s">
        <v>1437</v>
      </c>
      <c r="B43" s="148">
        <f>IFERROR(INDEX(report!$K$2135:$K$2149,MATCH("חופש",report!$I$2135:$I$2149,0)),0)</f>
        <v>0</v>
      </c>
      <c r="C43" s="148">
        <f>IFERROR(INDEX(report!$K$2135:$K$2149,MATCH("חופש בע.חג",report!$I$2135:$I$2149,0)),0)</f>
        <v>1</v>
      </c>
      <c r="D43" s="148">
        <f>IFERROR(INDEX(report!$K$2135:$K$2149,MATCH("חופש בחוה""מ",report!$I$2135:$I$2149,0)),0)</f>
        <v>2</v>
      </c>
      <c r="E43" s="148">
        <f>B43+C43+D43</f>
        <v>3</v>
      </c>
      <c r="F43" s="120" t="s">
        <v>1552</v>
      </c>
    </row>
    <row r="44" spans="1:6" x14ac:dyDescent="0.2">
      <c r="A44" s="121" t="s">
        <v>1467</v>
      </c>
      <c r="B44" s="148">
        <f>IFERROR(INDEX(report!$K$2187:$K$2201,MATCH("חופש",report!$I$2187:$I$2201,0)),0)</f>
        <v>0</v>
      </c>
      <c r="C44" s="148">
        <f>IFERROR(INDEX(report!$K$2187:$K$2201,MATCH("חופש בע.חג",report!$I$2187:$I$2201,0)),0)</f>
        <v>1</v>
      </c>
      <c r="D44" s="148">
        <f>IFERROR(INDEX(report!$K$2187:$K$2201,MATCH("חופש בחוה""מ",report!$I$2187:$I$2201,0)),0)</f>
        <v>2</v>
      </c>
      <c r="E44" s="148">
        <f>B44+C44+D44</f>
        <v>3</v>
      </c>
      <c r="F44" s="120" t="s">
        <v>1552</v>
      </c>
    </row>
    <row r="45" spans="1:6" x14ac:dyDescent="0.2">
      <c r="A45" s="121" t="s">
        <v>1488</v>
      </c>
      <c r="B45" s="148">
        <f>IFERROR(INDEX(report!$K$2239:$K$2253,MATCH("חופש",report!$I$2239:$I$2253,0)),0)</f>
        <v>0</v>
      </c>
      <c r="C45" s="148">
        <f>IFERROR(INDEX(report!$K$2239:$K$2253,MATCH("חופש בע.חג",report!$I$2239:$I$2253,0)),0)</f>
        <v>1</v>
      </c>
      <c r="D45" s="148">
        <f>IFERROR(INDEX(report!$K$2239:$K$2253,MATCH("חופש בחוה""מ",report!$I$2239:$I$2253,0)),0)</f>
        <v>2</v>
      </c>
      <c r="E45" s="148">
        <f>B45+C45+D45</f>
        <v>3</v>
      </c>
      <c r="F45" s="120" t="s">
        <v>1552</v>
      </c>
    </row>
    <row r="46" spans="1:6" x14ac:dyDescent="0.2">
      <c r="A46" s="121" t="s">
        <v>1517</v>
      </c>
      <c r="B46" s="148">
        <f>IFERROR(INDEX(report!$K$2291:$K$2305,MATCH("חופש",report!$I$2291:$I$2305,0)),0)</f>
        <v>0</v>
      </c>
      <c r="C46" s="148">
        <f>IFERROR(INDEX(report!$K$2291:$K$2305,MATCH("חופש בע.חג",report!$I$2291:$I$2305,0)),0)</f>
        <v>1</v>
      </c>
      <c r="D46" s="148">
        <f>IFERROR(INDEX(report!$K$2291:$K$2305,MATCH("חופש בחוה""מ",report!$I$2291:$I$2305,0)),0)</f>
        <v>2</v>
      </c>
      <c r="E46" s="148">
        <f>B46+C46+D46</f>
        <v>3</v>
      </c>
      <c r="F46" s="120" t="s">
        <v>1552</v>
      </c>
    </row>
    <row r="47" spans="1:6" ht="15" x14ac:dyDescent="0.25">
      <c r="A47" s="144" t="s">
        <v>1555</v>
      </c>
      <c r="B47" s="149">
        <f>SUM(B3:B46)</f>
        <v>23</v>
      </c>
      <c r="C47" s="149">
        <f>SUM(C3:C46)</f>
        <v>40</v>
      </c>
      <c r="D47" s="149">
        <f>SUM(D3:D46)</f>
        <v>33</v>
      </c>
      <c r="E47" s="149">
        <f>SUM(E3:E46)</f>
        <v>96</v>
      </c>
      <c r="F47" s="122"/>
    </row>
    <row r="48" spans="1:6" x14ac:dyDescent="0.2">
      <c r="A48" s="70"/>
      <c r="B48" s="70"/>
      <c r="C48" s="70"/>
      <c r="D48" s="70"/>
      <c r="E48" s="70"/>
      <c r="F48" s="70"/>
    </row>
    <row r="49" spans="1:6" x14ac:dyDescent="0.2">
      <c r="A49" s="70"/>
      <c r="B49" s="70"/>
      <c r="C49" s="70"/>
      <c r="D49" s="70"/>
      <c r="E49" s="70"/>
      <c r="F49" s="70"/>
    </row>
    <row r="50" spans="1:6" x14ac:dyDescent="0.2">
      <c r="A50" s="70"/>
      <c r="B50" s="70"/>
      <c r="C50" s="70"/>
      <c r="D50" s="70"/>
      <c r="E50" s="70"/>
      <c r="F50" s="70"/>
    </row>
    <row r="51" spans="1:6" x14ac:dyDescent="0.2">
      <c r="A51" s="70"/>
      <c r="B51" s="70"/>
      <c r="C51" s="70"/>
      <c r="D51" s="70"/>
      <c r="E51" s="70"/>
      <c r="F51" s="70"/>
    </row>
    <row r="52" spans="1:6" x14ac:dyDescent="0.2">
      <c r="A52" s="70"/>
      <c r="B52" s="70"/>
      <c r="C52" s="70"/>
      <c r="D52" s="70"/>
      <c r="E52" s="70"/>
      <c r="F52" s="70"/>
    </row>
    <row r="53" spans="1:6" x14ac:dyDescent="0.2">
      <c r="A53" s="70"/>
      <c r="B53" s="70"/>
      <c r="C53" s="70"/>
      <c r="D53" s="70"/>
      <c r="E53" s="70"/>
      <c r="F53" s="70"/>
    </row>
    <row r="54" spans="1:6" x14ac:dyDescent="0.2">
      <c r="A54" s="70"/>
      <c r="B54" s="70"/>
      <c r="C54" s="70"/>
      <c r="D54" s="70"/>
      <c r="E54" s="70"/>
      <c r="F54" s="70"/>
    </row>
    <row r="55" spans="1:6" x14ac:dyDescent="0.2">
      <c r="A55" s="70"/>
      <c r="B55" s="70"/>
      <c r="C55" s="70"/>
      <c r="D55" s="70"/>
      <c r="E55" s="70"/>
      <c r="F55" s="70"/>
    </row>
    <row r="56" spans="1:6" x14ac:dyDescent="0.2">
      <c r="A56" s="70"/>
      <c r="B56" s="70"/>
      <c r="C56" s="70"/>
      <c r="D56" s="70"/>
      <c r="E56" s="70"/>
      <c r="F56" s="70"/>
    </row>
    <row r="57" spans="1:6" x14ac:dyDescent="0.2">
      <c r="A57" s="70"/>
      <c r="B57" s="70"/>
      <c r="C57" s="70"/>
      <c r="D57" s="70"/>
      <c r="E57" s="70"/>
      <c r="F57" s="70"/>
    </row>
    <row r="58" spans="1:6" x14ac:dyDescent="0.2">
      <c r="A58" s="70"/>
      <c r="B58" s="70"/>
      <c r="C58" s="70"/>
      <c r="D58" s="70"/>
      <c r="E58" s="70"/>
      <c r="F58" s="70"/>
    </row>
    <row r="59" spans="1:6" x14ac:dyDescent="0.2">
      <c r="A59" s="70"/>
      <c r="B59" s="70"/>
      <c r="C59" s="70"/>
      <c r="D59" s="70"/>
      <c r="E59" s="70"/>
      <c r="F59" s="70"/>
    </row>
    <row r="60" spans="1:6" x14ac:dyDescent="0.2">
      <c r="A60" s="70"/>
      <c r="B60" s="70"/>
      <c r="C60" s="70"/>
      <c r="D60" s="70"/>
      <c r="E60" s="70"/>
      <c r="F60" s="70"/>
    </row>
    <row r="61" spans="1:6" x14ac:dyDescent="0.2">
      <c r="A61" s="70"/>
      <c r="B61" s="70"/>
      <c r="C61" s="70"/>
      <c r="D61" s="70"/>
      <c r="E61" s="70"/>
      <c r="F61" s="70"/>
    </row>
    <row r="62" spans="1:6" x14ac:dyDescent="0.2">
      <c r="A62" s="70"/>
      <c r="B62" s="70"/>
      <c r="C62" s="70"/>
      <c r="D62" s="70"/>
      <c r="E62" s="70"/>
      <c r="F62" s="70"/>
    </row>
    <row r="63" spans="1:6" x14ac:dyDescent="0.2">
      <c r="A63" s="70"/>
      <c r="B63" s="70"/>
      <c r="C63" s="70"/>
      <c r="D63" s="70"/>
      <c r="E63" s="70"/>
      <c r="F63" s="70"/>
    </row>
    <row r="64" spans="1:6" x14ac:dyDescent="0.2">
      <c r="A64" s="70"/>
      <c r="B64" s="70"/>
      <c r="C64" s="70"/>
      <c r="D64" s="70"/>
      <c r="E64" s="70"/>
      <c r="F64" s="70"/>
    </row>
    <row r="65" spans="1:6" x14ac:dyDescent="0.2">
      <c r="A65" s="70"/>
      <c r="B65" s="70"/>
      <c r="C65" s="70"/>
      <c r="D65" s="70"/>
      <c r="E65" s="70"/>
      <c r="F65" s="70"/>
    </row>
    <row r="66" spans="1:6" x14ac:dyDescent="0.2">
      <c r="A66" s="70"/>
      <c r="B66" s="70"/>
      <c r="C66" s="70"/>
      <c r="D66" s="70"/>
      <c r="E66" s="70"/>
      <c r="F66" s="70"/>
    </row>
    <row r="67" spans="1:6" x14ac:dyDescent="0.2">
      <c r="A67" s="70"/>
      <c r="B67" s="70"/>
      <c r="C67" s="70"/>
      <c r="D67" s="70"/>
      <c r="E67" s="70"/>
      <c r="F67" s="70"/>
    </row>
    <row r="68" spans="1:6" x14ac:dyDescent="0.2">
      <c r="A68" s="70"/>
      <c r="B68" s="70"/>
      <c r="C68" s="70"/>
      <c r="D68" s="70"/>
      <c r="E68" s="70"/>
      <c r="F68" s="70"/>
    </row>
    <row r="69" spans="1:6" x14ac:dyDescent="0.2">
      <c r="A69" s="70"/>
      <c r="B69" s="70"/>
      <c r="C69" s="70"/>
      <c r="D69" s="70"/>
      <c r="E69" s="70"/>
      <c r="F69" s="70"/>
    </row>
    <row r="70" spans="1:6" x14ac:dyDescent="0.2">
      <c r="A70" s="70"/>
      <c r="B70" s="70"/>
      <c r="C70" s="70"/>
      <c r="D70" s="70"/>
      <c r="E70" s="70"/>
      <c r="F70" s="70"/>
    </row>
    <row r="71" spans="1:6" x14ac:dyDescent="0.2">
      <c r="A71" s="70"/>
      <c r="B71" s="70"/>
      <c r="C71" s="70"/>
      <c r="D71" s="70"/>
      <c r="E71" s="70"/>
      <c r="F71" s="70"/>
    </row>
    <row r="72" spans="1:6" x14ac:dyDescent="0.2">
      <c r="A72" s="70"/>
      <c r="B72" s="70"/>
      <c r="C72" s="70"/>
      <c r="D72" s="70"/>
      <c r="E72" s="70"/>
      <c r="F72" s="70"/>
    </row>
    <row r="73" spans="1:6" x14ac:dyDescent="0.2">
      <c r="A73" s="70"/>
      <c r="B73" s="70"/>
      <c r="C73" s="70"/>
      <c r="D73" s="70"/>
      <c r="E73" s="70"/>
      <c r="F73" s="70"/>
    </row>
    <row r="74" spans="1:6" x14ac:dyDescent="0.2">
      <c r="A74" s="70"/>
      <c r="B74" s="70"/>
      <c r="C74" s="70"/>
      <c r="D74" s="70"/>
      <c r="E74" s="70"/>
      <c r="F74" s="70"/>
    </row>
    <row r="75" spans="1:6" x14ac:dyDescent="0.2">
      <c r="A75" s="70"/>
      <c r="B75" s="70"/>
      <c r="C75" s="70"/>
      <c r="D75" s="70"/>
      <c r="E75" s="70"/>
      <c r="F75" s="70"/>
    </row>
    <row r="76" spans="1:6" x14ac:dyDescent="0.2">
      <c r="A76" s="70"/>
      <c r="B76" s="70"/>
      <c r="C76" s="70"/>
      <c r="D76" s="70"/>
      <c r="E76" s="70"/>
      <c r="F76" s="70"/>
    </row>
    <row r="77" spans="1:6" x14ac:dyDescent="0.2">
      <c r="A77" s="70"/>
      <c r="B77" s="70"/>
      <c r="C77" s="70"/>
      <c r="D77" s="70"/>
      <c r="E77" s="70"/>
      <c r="F77" s="70"/>
    </row>
    <row r="78" spans="1:6" x14ac:dyDescent="0.2">
      <c r="A78" s="70"/>
      <c r="B78" s="70"/>
      <c r="C78" s="70"/>
      <c r="D78" s="70"/>
      <c r="E78" s="70"/>
      <c r="F78" s="70"/>
    </row>
    <row r="79" spans="1:6" x14ac:dyDescent="0.2">
      <c r="A79" s="70"/>
      <c r="B79" s="70"/>
      <c r="C79" s="70"/>
      <c r="D79" s="70"/>
      <c r="E79" s="70"/>
      <c r="F79" s="70"/>
    </row>
    <row r="80" spans="1:6" x14ac:dyDescent="0.2">
      <c r="A80" s="70"/>
      <c r="B80" s="70"/>
      <c r="C80" s="70"/>
      <c r="D80" s="70"/>
      <c r="E80" s="70"/>
      <c r="F80" s="70"/>
    </row>
    <row r="81" spans="1:6" x14ac:dyDescent="0.2">
      <c r="A81" s="70"/>
      <c r="B81" s="70"/>
      <c r="C81" s="70"/>
      <c r="D81" s="70"/>
      <c r="E81" s="70"/>
      <c r="F81" s="70"/>
    </row>
    <row r="82" spans="1:6" x14ac:dyDescent="0.2">
      <c r="A82" s="70"/>
      <c r="B82" s="70"/>
      <c r="C82" s="70"/>
      <c r="D82" s="70"/>
      <c r="E82" s="70"/>
      <c r="F82" s="70"/>
    </row>
    <row r="83" spans="1:6" x14ac:dyDescent="0.2">
      <c r="A83" s="70"/>
      <c r="B83" s="70"/>
      <c r="C83" s="70"/>
      <c r="D83" s="70"/>
      <c r="E83" s="70"/>
      <c r="F83" s="70"/>
    </row>
    <row r="84" spans="1:6" x14ac:dyDescent="0.2">
      <c r="A84" s="70"/>
      <c r="B84" s="70"/>
      <c r="C84" s="70"/>
      <c r="D84" s="70"/>
      <c r="E84" s="70"/>
      <c r="F84" s="70"/>
    </row>
    <row r="85" spans="1:6" x14ac:dyDescent="0.2">
      <c r="A85" s="70"/>
      <c r="B85" s="70"/>
      <c r="C85" s="70"/>
      <c r="D85" s="70"/>
      <c r="E85" s="70"/>
      <c r="F85" s="70"/>
    </row>
    <row r="86" spans="1:6" x14ac:dyDescent="0.2">
      <c r="A86" s="70"/>
      <c r="B86" s="70"/>
      <c r="C86" s="70"/>
      <c r="D86" s="70"/>
      <c r="E86" s="70"/>
      <c r="F86" s="70"/>
    </row>
    <row r="87" spans="1:6" x14ac:dyDescent="0.2">
      <c r="A87" s="70"/>
      <c r="B87" s="70"/>
      <c r="C87" s="70"/>
      <c r="D87" s="70"/>
      <c r="E87" s="70"/>
      <c r="F87" s="70"/>
    </row>
    <row r="88" spans="1:6" x14ac:dyDescent="0.2">
      <c r="A88" s="70"/>
      <c r="B88" s="70"/>
      <c r="C88" s="70"/>
      <c r="D88" s="70"/>
      <c r="E88" s="70"/>
      <c r="F88" s="70"/>
    </row>
    <row r="89" spans="1:6" x14ac:dyDescent="0.2">
      <c r="A89" s="70"/>
      <c r="B89" s="70"/>
      <c r="C89" s="70"/>
      <c r="D89" s="70"/>
      <c r="E89" s="70"/>
      <c r="F89" s="70"/>
    </row>
    <row r="90" spans="1:6" x14ac:dyDescent="0.2">
      <c r="A90" s="70"/>
      <c r="B90" s="70"/>
      <c r="C90" s="70"/>
      <c r="D90" s="70"/>
      <c r="E90" s="70"/>
      <c r="F90" s="70"/>
    </row>
    <row r="91" spans="1:6" x14ac:dyDescent="0.2">
      <c r="A91" s="70"/>
      <c r="B91" s="70"/>
      <c r="C91" s="70"/>
      <c r="D91" s="70"/>
      <c r="E91" s="70"/>
      <c r="F91" s="70"/>
    </row>
    <row r="92" spans="1:6" x14ac:dyDescent="0.2">
      <c r="A92" s="70"/>
      <c r="B92" s="70"/>
      <c r="C92" s="70"/>
      <c r="D92" s="70"/>
      <c r="E92" s="70"/>
      <c r="F92" s="70"/>
    </row>
    <row r="93" spans="1:6" x14ac:dyDescent="0.2">
      <c r="A93" s="70"/>
      <c r="B93" s="70"/>
      <c r="C93" s="70"/>
      <c r="D93" s="70"/>
      <c r="E93" s="70"/>
      <c r="F93" s="70"/>
    </row>
    <row r="94" spans="1:6" x14ac:dyDescent="0.2">
      <c r="A94" s="70"/>
      <c r="B94" s="70"/>
      <c r="C94" s="70"/>
      <c r="D94" s="70"/>
      <c r="E94" s="70"/>
      <c r="F94" s="70"/>
    </row>
    <row r="95" spans="1:6" x14ac:dyDescent="0.2">
      <c r="A95" s="70"/>
      <c r="B95" s="70"/>
      <c r="C95" s="70"/>
      <c r="D95" s="70"/>
      <c r="E95" s="70"/>
      <c r="F95" s="70"/>
    </row>
    <row r="96" spans="1:6" x14ac:dyDescent="0.2">
      <c r="A96" s="70"/>
      <c r="B96" s="70"/>
      <c r="C96" s="70"/>
      <c r="D96" s="70"/>
      <c r="E96" s="70"/>
      <c r="F96" s="70"/>
    </row>
    <row r="97" spans="1:6" x14ac:dyDescent="0.2">
      <c r="A97" s="70"/>
      <c r="B97" s="70"/>
      <c r="C97" s="70"/>
      <c r="D97" s="70"/>
      <c r="E97" s="70"/>
      <c r="F97" s="70"/>
    </row>
    <row r="98" spans="1:6" x14ac:dyDescent="0.2">
      <c r="A98" s="70"/>
      <c r="B98" s="70"/>
      <c r="C98" s="70"/>
      <c r="D98" s="70"/>
      <c r="E98" s="70"/>
      <c r="F98" s="70"/>
    </row>
    <row r="99" spans="1:6" x14ac:dyDescent="0.2">
      <c r="A99" s="70"/>
      <c r="B99" s="70"/>
      <c r="C99" s="70"/>
      <c r="D99" s="70"/>
      <c r="E99" s="70"/>
      <c r="F99" s="70"/>
    </row>
    <row r="100" spans="1:6" x14ac:dyDescent="0.2">
      <c r="A100" s="70"/>
      <c r="B100" s="70"/>
      <c r="C100" s="70"/>
      <c r="D100" s="70"/>
      <c r="E100" s="70"/>
      <c r="F100" s="70"/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AAA02-9A71-4034-884F-3811192D2E80}">
  <dimension ref="A1:D2"/>
  <sheetViews>
    <sheetView rightToLeft="1" workbookViewId="0">
      <pane ySplit="2" topLeftCell="A3" activePane="bottomLeft" state="frozen"/>
      <selection pane="bottomLeft" sqref="A1:D1"/>
    </sheetView>
  </sheetViews>
  <sheetFormatPr defaultRowHeight="14.25" x14ac:dyDescent="0.2"/>
  <cols>
    <col min="1" max="1" width="26.625" customWidth="1"/>
    <col min="2" max="2" width="16.625" customWidth="1"/>
    <col min="3" max="3" width="18.375" customWidth="1"/>
    <col min="4" max="4" width="33.375" customWidth="1"/>
  </cols>
  <sheetData>
    <row r="1" spans="1:4" ht="15" x14ac:dyDescent="0.25">
      <c r="A1" s="16" t="s">
        <v>1540</v>
      </c>
      <c r="B1" s="16"/>
      <c r="C1" s="16"/>
      <c r="D1" s="16"/>
    </row>
    <row r="2" spans="1:4" ht="15" x14ac:dyDescent="0.25">
      <c r="A2" s="15" t="s">
        <v>1541</v>
      </c>
      <c r="B2" s="15"/>
      <c r="C2" s="15"/>
      <c r="D2" s="15"/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986EA-2EAD-4258-83B4-F6361FB79750}">
  <dimension ref="A1:C6"/>
  <sheetViews>
    <sheetView rightToLeft="1" workbookViewId="0">
      <pane ySplit="2" topLeftCell="A3" activePane="bottomLeft" state="frozen"/>
      <selection pane="bottomLeft" activeCell="A6" sqref="A6"/>
    </sheetView>
  </sheetViews>
  <sheetFormatPr defaultRowHeight="14.25" x14ac:dyDescent="0.2"/>
  <cols>
    <col min="1" max="1" width="41.625" customWidth="1"/>
    <col min="2" max="2" width="33.375" customWidth="1"/>
    <col min="3" max="3" width="66.625" customWidth="1"/>
  </cols>
  <sheetData>
    <row r="1" spans="1:3" ht="15" x14ac:dyDescent="0.25">
      <c r="A1" s="16" t="s">
        <v>1556</v>
      </c>
      <c r="B1" s="23"/>
      <c r="C1" s="23"/>
    </row>
    <row r="2" spans="1:3" ht="15" x14ac:dyDescent="0.25">
      <c r="A2" s="15" t="s">
        <v>1557</v>
      </c>
      <c r="B2" s="15" t="s">
        <v>1558</v>
      </c>
      <c r="C2" s="15" t="s">
        <v>1559</v>
      </c>
    </row>
    <row r="3" spans="1:3" x14ac:dyDescent="0.2">
      <c r="A3" t="s">
        <v>1560</v>
      </c>
      <c r="B3" t="s">
        <v>1561</v>
      </c>
      <c r="C3" t="s">
        <v>1562</v>
      </c>
    </row>
    <row r="4" spans="1:3" x14ac:dyDescent="0.2">
      <c r="A4" t="s">
        <v>1563</v>
      </c>
      <c r="B4" t="s">
        <v>1564</v>
      </c>
      <c r="C4" t="s">
        <v>1565</v>
      </c>
    </row>
    <row r="5" spans="1:3" x14ac:dyDescent="0.2">
      <c r="A5" t="s">
        <v>1566</v>
      </c>
      <c r="B5" t="s">
        <v>1567</v>
      </c>
      <c r="C5" t="s">
        <v>1568</v>
      </c>
    </row>
    <row r="6" spans="1:3" x14ac:dyDescent="0.2">
      <c r="A6" t="s">
        <v>1569</v>
      </c>
      <c r="B6" t="s">
        <v>1570</v>
      </c>
      <c r="C6" t="s">
        <v>1553</v>
      </c>
    </row>
  </sheetData>
  <mergeCells count="1"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68F43-73A0-4847-AAF3-56023B815C69}">
  <sheetPr>
    <tabColor rgb="FFFFD700"/>
  </sheetPr>
  <dimension ref="A1:Q56"/>
  <sheetViews>
    <sheetView rightToLeft="1" topLeftCell="A23" workbookViewId="0">
      <pane ySplit="3" topLeftCell="A26" activePane="bottomLeft" state="frozen"/>
      <selection activeCell="A23" sqref="A23"/>
      <selection pane="bottomLeft" activeCell="C43" sqref="C43"/>
    </sheetView>
  </sheetViews>
  <sheetFormatPr defaultRowHeight="14.25" x14ac:dyDescent="0.2"/>
  <cols>
    <col min="1" max="1" width="11.625" customWidth="1"/>
    <col min="2" max="2" width="21.625" customWidth="1"/>
    <col min="3" max="14" width="13.375" customWidth="1"/>
    <col min="15" max="15" width="16.625" customWidth="1"/>
    <col min="16" max="16" width="33.375" customWidth="1"/>
    <col min="17" max="17" width="12.5" customWidth="1"/>
  </cols>
  <sheetData>
    <row r="1" spans="1:17" ht="18" x14ac:dyDescent="0.25">
      <c r="B1" s="44" t="s">
        <v>1596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3" spans="1:17" ht="15" x14ac:dyDescent="0.25">
      <c r="A3" s="46" t="s">
        <v>1709</v>
      </c>
      <c r="B3" s="49" t="s">
        <v>1532</v>
      </c>
      <c r="C3" s="49" t="s">
        <v>175</v>
      </c>
      <c r="D3" s="49" t="s">
        <v>1595</v>
      </c>
      <c r="E3" s="49" t="s">
        <v>1593</v>
      </c>
      <c r="F3" s="49" t="s">
        <v>1597</v>
      </c>
      <c r="G3" s="49" t="s">
        <v>265</v>
      </c>
      <c r="H3" s="49" t="s">
        <v>1598</v>
      </c>
      <c r="I3" s="49" t="s">
        <v>1533</v>
      </c>
      <c r="J3" s="49" t="s">
        <v>1599</v>
      </c>
      <c r="K3" s="49" t="s">
        <v>27</v>
      </c>
      <c r="L3" s="49" t="s">
        <v>22</v>
      </c>
      <c r="M3" s="49" t="s">
        <v>1600</v>
      </c>
      <c r="N3" s="49" t="s">
        <v>1531</v>
      </c>
      <c r="O3" s="49" t="s">
        <v>1601</v>
      </c>
      <c r="P3" s="47" t="s">
        <v>19</v>
      </c>
      <c r="Q3" s="69" t="s">
        <v>1709</v>
      </c>
    </row>
    <row r="4" spans="1:17" ht="15" x14ac:dyDescent="0.25">
      <c r="A4" s="97">
        <v>2</v>
      </c>
      <c r="B4" s="53" t="s">
        <v>871</v>
      </c>
      <c r="C4" s="50">
        <f>report!C931</f>
        <v>0</v>
      </c>
      <c r="D4" s="50">
        <f>IFERROR(INDEX(report!$K$930:$K$943,MATCH("חופש",report!$I$930:$I$943,0)),0)</f>
        <v>0</v>
      </c>
      <c r="E4" s="50">
        <f>IFERROR(INDEX(report!$K$930:$K$943,MATCH("חופשה לחיוב",report!$I$930:$I$943,0)),0)</f>
        <v>3.5</v>
      </c>
      <c r="F4" s="50">
        <f>D4+E4</f>
        <v>3.5</v>
      </c>
      <c r="G4" s="50">
        <f>IFERROR(INDEX(report!$K$930:$K$943,MATCH("מילואים",report!$I$930:$I$943,0)),0)</f>
        <v>0</v>
      </c>
      <c r="H4" s="50">
        <f>IFERROR(INDEX(report!$K$930:$K$943,MATCH("תאונת עבודה",report!$I$930:$I$943,0)),0)</f>
        <v>0</v>
      </c>
      <c r="I4" s="50">
        <f>IFERROR(INDEX(report!$K$930:$K$943,MATCH("מחלה",report!$I$930:$I$943,0)),0)</f>
        <v>0</v>
      </c>
      <c r="J4" s="50">
        <f>IFERROR(INDEX(report!$K$930:$K$943,MATCH("מחלה לתשלום",report!$I$930:$I$943,0)),0)</f>
        <v>0</v>
      </c>
      <c r="K4" s="50">
        <f>IFERROR(INDEX(report!$K$930:$K$943,MATCH("חג",report!$I$930:$I$943,0)),0)</f>
        <v>3</v>
      </c>
      <c r="L4" s="50">
        <f>IFERROR(INDEX(report!$K$930:$K$943,MATCH("ערב חג",report!$I$930:$I$943,0)),0)</f>
        <v>3</v>
      </c>
      <c r="M4" s="50">
        <f>IFERROR(INDEX(report!$K$930:$K$943,MATCH("חול המועד",report!$I$930:$I$943,0)),0)</f>
        <v>2</v>
      </c>
      <c r="N4" s="56">
        <f>report!C932</f>
        <v>22</v>
      </c>
      <c r="O4" s="50" t="s">
        <v>1602</v>
      </c>
      <c r="P4" s="72" t="s">
        <v>1752</v>
      </c>
      <c r="Q4" s="48">
        <v>2</v>
      </c>
    </row>
    <row r="5" spans="1:17" ht="15" x14ac:dyDescent="0.25">
      <c r="A5" s="132">
        <v>7</v>
      </c>
      <c r="B5" s="133" t="s">
        <v>530</v>
      </c>
      <c r="C5" s="134">
        <f>report!C514</f>
        <v>12</v>
      </c>
      <c r="D5" s="134">
        <f>IFERROR(INDEX(report!$K$513:$K$526,MATCH("חופש",report!$I$513:$I$526,0)),0)</f>
        <v>2</v>
      </c>
      <c r="E5" s="134">
        <f>IFERROR(INDEX(report!$K$513:$K$526,MATCH("חופשה לחיוב",report!$I$513:$I$526,0)),0)</f>
        <v>4.5</v>
      </c>
      <c r="F5" s="134">
        <f>D5+E5</f>
        <v>6.5</v>
      </c>
      <c r="G5" s="134">
        <f>IFERROR(INDEX(report!$K$513:$K$526,MATCH("מילואים",report!$I$513:$I$526,0)),0)</f>
        <v>0</v>
      </c>
      <c r="H5" s="134">
        <f>IFERROR(INDEX(report!$K$513:$K$526,MATCH("תאונת עבודה",report!$I$513:$I$526,0)),0)</f>
        <v>0</v>
      </c>
      <c r="I5" s="134">
        <f>IFERROR(INDEX(report!$K$513:$K$526,MATCH("מחלה",report!$I$513:$I$526,0)),0)</f>
        <v>0</v>
      </c>
      <c r="J5" s="134">
        <f>IFERROR(INDEX(report!$K$513:$K$526,MATCH("מחלה לתשלום",report!$I$513:$I$526,0)),0)</f>
        <v>0</v>
      </c>
      <c r="K5" s="134">
        <f>IFERROR(INDEX(report!$K$513:$K$526,MATCH("חג",report!$I$513:$I$526,0)),0)</f>
        <v>3</v>
      </c>
      <c r="L5" s="134">
        <f>IFERROR(INDEX(report!$K$513:$K$526,MATCH("ערב חג",report!$I$513:$I$526,0)),0)</f>
        <v>3</v>
      </c>
      <c r="M5" s="134">
        <f>IFERROR(INDEX(report!$K$513:$K$526,MATCH("חול המועד",report!$I$513:$I$526,0)),0)</f>
        <v>2</v>
      </c>
      <c r="N5" s="59">
        <f>report!C515</f>
        <v>21</v>
      </c>
      <c r="O5" s="134" t="s">
        <v>1602</v>
      </c>
      <c r="P5" s="135" t="s">
        <v>1754</v>
      </c>
      <c r="Q5" s="48">
        <v>7</v>
      </c>
    </row>
    <row r="6" spans="1:17" ht="15" x14ac:dyDescent="0.25">
      <c r="A6" s="97">
        <v>8</v>
      </c>
      <c r="B6" s="54" t="s">
        <v>447</v>
      </c>
      <c r="C6" s="51">
        <f>report!C358</f>
        <v>12</v>
      </c>
      <c r="D6" s="51">
        <f>IFERROR(INDEX(report!$K$357:$K$370,MATCH("חופש",report!$I$357:$I$370,0)),0)</f>
        <v>2</v>
      </c>
      <c r="E6" s="51">
        <f>IFERROR(INDEX(report!$K$357:$K$370,MATCH("חופשה לחיוב",report!$I$357:$I$370,0)),0)</f>
        <v>5.5</v>
      </c>
      <c r="F6" s="51">
        <f>D6+E6</f>
        <v>7.5</v>
      </c>
      <c r="G6" s="51">
        <f>IFERROR(INDEX(report!$K$357:$K$370,MATCH("מילואים",report!$I$357:$I$370,0)),0)</f>
        <v>0</v>
      </c>
      <c r="H6" s="51">
        <f>IFERROR(INDEX(report!$K$357:$K$370,MATCH("תאונת עבודה",report!$I$357:$I$370,0)),0)</f>
        <v>0</v>
      </c>
      <c r="I6" s="51">
        <f>IFERROR(INDEX(report!$K$357:$K$370,MATCH("מחלה",report!$I$357:$I$370,0)),0)</f>
        <v>0</v>
      </c>
      <c r="J6" s="51">
        <f>IFERROR(INDEX(report!$K$357:$K$370,MATCH("מחלה לתשלום",report!$I$357:$I$370,0)),0)</f>
        <v>0</v>
      </c>
      <c r="K6" s="51">
        <f>IFERROR(INDEX(report!$K$357:$K$370,MATCH("חג",report!$I$357:$I$370,0)),0)</f>
        <v>3</v>
      </c>
      <c r="L6" s="51">
        <f>IFERROR(INDEX(report!$K$357:$K$370,MATCH("ערב חג",report!$I$357:$I$370,0)),0)</f>
        <v>3</v>
      </c>
      <c r="M6" s="51">
        <f>IFERROR(INDEX(report!$K$357:$K$370,MATCH("חול המועד",report!$I$357:$I$370,0)),0)</f>
        <v>2</v>
      </c>
      <c r="N6" s="57">
        <f>report!C359</f>
        <v>22</v>
      </c>
      <c r="O6" s="51" t="s">
        <v>1602</v>
      </c>
      <c r="P6" s="71" t="s">
        <v>1534</v>
      </c>
      <c r="Q6" s="48">
        <v>8</v>
      </c>
    </row>
    <row r="7" spans="1:17" ht="15" x14ac:dyDescent="0.25">
      <c r="A7" s="132">
        <v>11</v>
      </c>
      <c r="B7" s="133" t="s">
        <v>576</v>
      </c>
      <c r="C7" s="134">
        <f>report!C566</f>
        <v>12</v>
      </c>
      <c r="D7" s="134">
        <f>IFERROR(INDEX(report!$K$565:$K$578,MATCH("חופש",report!$I$565:$I$578,0)),0)</f>
        <v>0</v>
      </c>
      <c r="E7" s="134">
        <f>IFERROR(INDEX(report!$K$565:$K$578,MATCH("חופשה לחיוב",report!$I$565:$I$578,0)),0)</f>
        <v>1.5</v>
      </c>
      <c r="F7" s="134">
        <f>D7+E7</f>
        <v>1.5</v>
      </c>
      <c r="G7" s="134">
        <f>IFERROR(INDEX(report!$K$565:$K$578,MATCH("מילואים",report!$I$565:$I$578,0)),0)</f>
        <v>0</v>
      </c>
      <c r="H7" s="134">
        <f>IFERROR(INDEX(report!$K$565:$K$578,MATCH("תאונת עבודה",report!$I$565:$I$578,0)),0)</f>
        <v>0</v>
      </c>
      <c r="I7" s="134">
        <f>IFERROR(INDEX(report!$K$565:$K$578,MATCH("מחלה",report!$I$565:$I$578,0)),0)</f>
        <v>0</v>
      </c>
      <c r="J7" s="134">
        <f>IFERROR(INDEX(report!$K$565:$K$578,MATCH("מחלה לתשלום",report!$I$565:$I$578,0)),0)</f>
        <v>0</v>
      </c>
      <c r="K7" s="134">
        <f>IFERROR(INDEX(report!$K$565:$K$578,MATCH("חג",report!$I$565:$I$578,0)),0)</f>
        <v>3</v>
      </c>
      <c r="L7" s="134">
        <f>IFERROR(INDEX(report!$K$565:$K$578,MATCH("ערב חג",report!$I$565:$I$578,0)),0)</f>
        <v>3</v>
      </c>
      <c r="M7" s="134">
        <f>IFERROR(INDEX(report!$K$565:$K$578,MATCH("חול המועד",report!$I$565:$I$578,0)),0)</f>
        <v>2</v>
      </c>
      <c r="N7" s="59">
        <f>report!C567</f>
        <v>20</v>
      </c>
      <c r="O7" s="134" t="s">
        <v>1602</v>
      </c>
      <c r="P7" s="135" t="s">
        <v>1755</v>
      </c>
      <c r="Q7" s="48">
        <v>11</v>
      </c>
    </row>
    <row r="8" spans="1:17" ht="15" x14ac:dyDescent="0.25">
      <c r="A8" s="97">
        <v>22</v>
      </c>
      <c r="B8" s="54" t="s">
        <v>298</v>
      </c>
      <c r="C8" s="51">
        <f>report!C201</f>
        <v>14</v>
      </c>
      <c r="D8" s="51">
        <f>IFERROR(INDEX(report!$K$200:$K$213,MATCH("חופש",report!$I$200:$I$213,0)),0)</f>
        <v>2</v>
      </c>
      <c r="E8" s="51">
        <f>IFERROR(INDEX(report!$K$200:$K$213,MATCH("חופשה לחיוב",report!$I$200:$I$213,0)),0)</f>
        <v>3.5</v>
      </c>
      <c r="F8" s="51">
        <f>D8+E8</f>
        <v>5.5</v>
      </c>
      <c r="G8" s="51">
        <f>IFERROR(INDEX(report!$K$200:$K$213,MATCH("מילואים",report!$I$200:$I$213,0)),0)</f>
        <v>0</v>
      </c>
      <c r="H8" s="51">
        <f>IFERROR(INDEX(report!$K$200:$K$213,MATCH("תאונת עבודה",report!$I$200:$I$213,0)),0)</f>
        <v>0</v>
      </c>
      <c r="I8" s="51">
        <f>IFERROR(INDEX(report!$K$200:$K$213,MATCH("מחלה",report!$I$200:$I$213,0)),0)</f>
        <v>0</v>
      </c>
      <c r="J8" s="51">
        <f>IFERROR(INDEX(report!$K$200:$K$213,MATCH("מחלה לתשלום",report!$I$200:$I$213,0)),0)</f>
        <v>0</v>
      </c>
      <c r="K8" s="51">
        <f>IFERROR(INDEX(report!$K$200:$K$213,MATCH("חג",report!$I$200:$I$213,0)),0)</f>
        <v>3</v>
      </c>
      <c r="L8" s="51">
        <f>IFERROR(INDEX(report!$K$200:$K$213,MATCH("ערב חג",report!$I$200:$I$213,0)),0)</f>
        <v>3</v>
      </c>
      <c r="M8" s="51">
        <f>IFERROR(INDEX(report!$K$200:$K$213,MATCH("חול המועד",report!$I$200:$I$213,0)),0)</f>
        <v>0</v>
      </c>
      <c r="N8" s="57">
        <f>report!C202</f>
        <v>22</v>
      </c>
      <c r="O8" s="51" t="s">
        <v>1602</v>
      </c>
      <c r="P8" s="71" t="s">
        <v>1534</v>
      </c>
      <c r="Q8" s="48">
        <v>22</v>
      </c>
    </row>
    <row r="9" spans="1:17" ht="15" x14ac:dyDescent="0.25">
      <c r="A9" s="97">
        <v>54</v>
      </c>
      <c r="B9" s="54" t="s">
        <v>984</v>
      </c>
      <c r="C9" s="51">
        <f>report!C1142</f>
        <v>10</v>
      </c>
      <c r="D9" s="51">
        <f>IFERROR(INDEX(report!$K$1141:$K$1154,MATCH("חופש",report!$I$1141:$I$1154,0)),0)</f>
        <v>1</v>
      </c>
      <c r="E9" s="51">
        <f>IFERROR(INDEX(report!$K$1141:$K$1154,MATCH("חופשה לחיוב",report!$I$1141:$I$1154,0)),0)</f>
        <v>4</v>
      </c>
      <c r="F9" s="51">
        <f>D9+E9</f>
        <v>5</v>
      </c>
      <c r="G9" s="51">
        <f>IFERROR(INDEX(report!$K$1141:$K$1154,MATCH("מילואים",report!$I$1141:$I$1154,0)),0)</f>
        <v>0</v>
      </c>
      <c r="H9" s="51">
        <f>IFERROR(INDEX(report!$K$1141:$K$1154,MATCH("תאונת עבודה",report!$I$1141:$I$1154,0)),0)</f>
        <v>0</v>
      </c>
      <c r="I9" s="51">
        <f>IFERROR(INDEX(report!$K$1141:$K$1154,MATCH("מחלה",report!$I$1141:$I$1154,0)),0)</f>
        <v>4</v>
      </c>
      <c r="J9" s="51">
        <f>IFERROR(INDEX(report!$K$1141:$K$1154,MATCH("מחלה לתשלום",report!$I$1141:$I$1154,0)),0)</f>
        <v>0</v>
      </c>
      <c r="K9" s="51">
        <f>IFERROR(INDEX(report!$K$1141:$K$1154,MATCH("חג",report!$I$1141:$I$1154,0)),0)</f>
        <v>3</v>
      </c>
      <c r="L9" s="51">
        <f>IFERROR(INDEX(report!$K$1141:$K$1154,MATCH("ערב חג",report!$I$1141:$I$1154,0)),0)</f>
        <v>2</v>
      </c>
      <c r="M9" s="51">
        <f>IFERROR(INDEX(report!$K$1141:$K$1154,MATCH("חול המועד",report!$I$1141:$I$1154,0)),0)</f>
        <v>2</v>
      </c>
      <c r="N9" s="57">
        <f>report!C1143</f>
        <v>18</v>
      </c>
      <c r="O9" s="51" t="s">
        <v>1602</v>
      </c>
      <c r="P9" s="71" t="s">
        <v>1534</v>
      </c>
      <c r="Q9" s="48">
        <v>54</v>
      </c>
    </row>
    <row r="10" spans="1:17" ht="15" x14ac:dyDescent="0.25">
      <c r="A10" s="97">
        <v>60</v>
      </c>
      <c r="B10" s="54" t="s">
        <v>1236</v>
      </c>
      <c r="C10" s="51">
        <f>report!C1612</f>
        <v>15</v>
      </c>
      <c r="D10" s="51">
        <f>IFERROR(INDEX(report!$K$1611:$K$1624,MATCH("חופש",report!$I$1611:$I$1624,0)),0)</f>
        <v>2</v>
      </c>
      <c r="E10" s="51">
        <f>IFERROR(INDEX(report!$K$1611:$K$1624,MATCH("חופשה לחיוב",report!$I$1611:$I$1624,0)),0)</f>
        <v>3</v>
      </c>
      <c r="F10" s="51">
        <f>D10+E10</f>
        <v>5</v>
      </c>
      <c r="G10" s="51">
        <f>IFERROR(INDEX(report!$K$1611:$K$1624,MATCH("מילואים",report!$I$1611:$I$1624,0)),0)</f>
        <v>0</v>
      </c>
      <c r="H10" s="51">
        <f>IFERROR(INDEX(report!$K$1611:$K$1624,MATCH("תאונת עבודה",report!$I$1611:$I$1624,0)),0)</f>
        <v>0</v>
      </c>
      <c r="I10" s="51">
        <f>IFERROR(INDEX(report!$K$1611:$K$1624,MATCH("מחלה",report!$I$1611:$I$1624,0)),0)</f>
        <v>0</v>
      </c>
      <c r="J10" s="51">
        <f>IFERROR(INDEX(report!$K$1611:$K$1624,MATCH("מחלה לתשלום",report!$I$1611:$I$1624,0)),0)</f>
        <v>0</v>
      </c>
      <c r="K10" s="51">
        <f>IFERROR(INDEX(report!$K$1611:$K$1624,MATCH("חג",report!$I$1611:$I$1624,0)),0)</f>
        <v>3</v>
      </c>
      <c r="L10" s="51">
        <f>IFERROR(INDEX(report!$K$1611:$K$1624,MATCH("ערב חג",report!$I$1611:$I$1624,0)),0)</f>
        <v>2</v>
      </c>
      <c r="M10" s="51">
        <f>IFERROR(INDEX(report!$K$1611:$K$1624,MATCH("חול המועד",report!$I$1611:$I$1624,0)),0)</f>
        <v>0</v>
      </c>
      <c r="N10" s="57">
        <f>report!C1613</f>
        <v>22</v>
      </c>
      <c r="O10" s="51" t="s">
        <v>1602</v>
      </c>
      <c r="P10" s="71" t="s">
        <v>1534</v>
      </c>
      <c r="Q10" s="48">
        <v>60</v>
      </c>
    </row>
    <row r="11" spans="1:17" ht="15" x14ac:dyDescent="0.25">
      <c r="A11" s="97">
        <v>62</v>
      </c>
      <c r="B11" s="54" t="s">
        <v>1360</v>
      </c>
      <c r="C11" s="51">
        <f>report!C1924</f>
        <v>3</v>
      </c>
      <c r="D11" s="51">
        <f>IFERROR(INDEX(report!$K$1923:$K$1936,MATCH("חופש",report!$I$1923:$I$1936,0)),0)</f>
        <v>2</v>
      </c>
      <c r="E11" s="51">
        <f>IFERROR(INDEX(report!$K$1923:$K$1936,MATCH("חופשה לחיוב",report!$I$1923:$I$1936,0)),0)</f>
        <v>5</v>
      </c>
      <c r="F11" s="51">
        <f>D11+E11</f>
        <v>7</v>
      </c>
      <c r="G11" s="51">
        <f>IFERROR(INDEX(report!$K$1923:$K$1936,MATCH("מילואים",report!$I$1923:$I$1936,0)),0)</f>
        <v>15</v>
      </c>
      <c r="H11" s="51">
        <f>IFERROR(INDEX(report!$K$1923:$K$1936,MATCH("תאונת עבודה",report!$I$1923:$I$1936,0)),0)</f>
        <v>0</v>
      </c>
      <c r="I11" s="51">
        <f>IFERROR(INDEX(report!$K$1923:$K$1936,MATCH("מחלה",report!$I$1923:$I$1936,0)),0)</f>
        <v>0</v>
      </c>
      <c r="J11" s="51">
        <f>IFERROR(INDEX(report!$K$1923:$K$1936,MATCH("מחלה לתשלום",report!$I$1923:$I$1936,0)),0)</f>
        <v>0</v>
      </c>
      <c r="K11" s="51">
        <f>IFERROR(INDEX(report!$K$1923:$K$1936,MATCH("חג",report!$I$1923:$I$1936,0)),0)</f>
        <v>3</v>
      </c>
      <c r="L11" s="51">
        <f>IFERROR(INDEX(report!$K$1923:$K$1936,MATCH("ערב חג",report!$I$1923:$I$1936,0)),0)</f>
        <v>2</v>
      </c>
      <c r="M11" s="51">
        <f>IFERROR(INDEX(report!$K$1923:$K$1936,MATCH("חול המועד",report!$I$1923:$I$1936,0)),0)</f>
        <v>2</v>
      </c>
      <c r="N11" s="57">
        <f>report!C1925</f>
        <v>22</v>
      </c>
      <c r="O11" s="51" t="s">
        <v>1602</v>
      </c>
      <c r="P11" s="71" t="s">
        <v>1536</v>
      </c>
      <c r="Q11" s="48">
        <v>62</v>
      </c>
    </row>
    <row r="12" spans="1:17" ht="15" x14ac:dyDescent="0.25">
      <c r="A12" s="97">
        <v>64</v>
      </c>
      <c r="B12" s="54" t="s">
        <v>1467</v>
      </c>
      <c r="C12" s="51">
        <f>report!C2188</f>
        <v>12</v>
      </c>
      <c r="D12" s="51">
        <f>IFERROR(INDEX(report!$K$2187:$K$2200,MATCH("חופש",report!$I$2187:$I$2200,0)),0)</f>
        <v>0</v>
      </c>
      <c r="E12" s="51">
        <f>IFERROR(INDEX(report!$K$2187:$K$2200,MATCH("חופשה לחיוב",report!$I$2187:$I$2200,0)),0)</f>
        <v>3</v>
      </c>
      <c r="F12" s="51">
        <f>D12+E12</f>
        <v>3</v>
      </c>
      <c r="G12" s="51">
        <f>IFERROR(INDEX(report!$K$2187:$K$2200,MATCH("מילואים",report!$I$2187:$I$2200,0)),0)</f>
        <v>1</v>
      </c>
      <c r="H12" s="51">
        <f>IFERROR(INDEX(report!$K$2187:$K$2200,MATCH("תאונת עבודה",report!$I$2187:$I$2200,0)),0)</f>
        <v>0</v>
      </c>
      <c r="I12" s="51">
        <f>IFERROR(INDEX(report!$K$2187:$K$2200,MATCH("מחלה",report!$I$2187:$I$2200,0)),0)</f>
        <v>2</v>
      </c>
      <c r="J12" s="51">
        <f>IFERROR(INDEX(report!$K$2187:$K$2200,MATCH("מחלה לתשלום",report!$I$2187:$I$2200,0)),0)</f>
        <v>0</v>
      </c>
      <c r="K12" s="51">
        <f>IFERROR(INDEX(report!$K$2187:$K$2200,MATCH("חג",report!$I$2187:$I$2200,0)),0)</f>
        <v>3</v>
      </c>
      <c r="L12" s="51">
        <f>IFERROR(INDEX(report!$K$2187:$K$2200,MATCH("ערב חג",report!$I$2187:$I$2200,0)),0)</f>
        <v>2</v>
      </c>
      <c r="M12" s="51">
        <f>IFERROR(INDEX(report!$K$2187:$K$2200,MATCH("חול המועד",report!$I$2187:$I$2200,0)),0)</f>
        <v>2</v>
      </c>
      <c r="N12" s="57">
        <f>report!C2189</f>
        <v>20.5</v>
      </c>
      <c r="O12" s="51" t="s">
        <v>1602</v>
      </c>
      <c r="P12" s="71" t="s">
        <v>1534</v>
      </c>
      <c r="Q12" s="48">
        <v>64</v>
      </c>
    </row>
    <row r="13" spans="1:17" ht="15" x14ac:dyDescent="0.25">
      <c r="A13" s="97">
        <v>65</v>
      </c>
      <c r="B13" s="54" t="s">
        <v>751</v>
      </c>
      <c r="C13" s="51">
        <f>report!C775</f>
        <v>18</v>
      </c>
      <c r="D13" s="51">
        <f>IFERROR(INDEX(report!$K$774:$K$787,MATCH("חופש",report!$I$774:$I$787,0)),0)</f>
        <v>0</v>
      </c>
      <c r="E13" s="51">
        <f>IFERROR(INDEX(report!$K$774:$K$787,MATCH("חופשה לחיוב",report!$I$774:$I$787,0)),0)</f>
        <v>0.5</v>
      </c>
      <c r="F13" s="51">
        <f>D13+E13</f>
        <v>0.5</v>
      </c>
      <c r="G13" s="51">
        <f>IFERROR(INDEX(report!$K$774:$K$787,MATCH("מילואים",report!$I$774:$I$787,0)),0)</f>
        <v>0</v>
      </c>
      <c r="H13" s="51">
        <f>IFERROR(INDEX(report!$K$774:$K$787,MATCH("תאונת עבודה",report!$I$774:$I$787,0)),0)</f>
        <v>0</v>
      </c>
      <c r="I13" s="51">
        <f>IFERROR(INDEX(report!$K$774:$K$787,MATCH("מחלה",report!$I$774:$I$787,0)),0)</f>
        <v>0</v>
      </c>
      <c r="J13" s="51">
        <f>IFERROR(INDEX(report!$K$774:$K$787,MATCH("מחלה לתשלום",report!$I$774:$I$787,0)),0)</f>
        <v>0</v>
      </c>
      <c r="K13" s="51">
        <f>IFERROR(INDEX(report!$K$774:$K$787,MATCH("חג",report!$I$774:$I$787,0)),0)</f>
        <v>3</v>
      </c>
      <c r="L13" s="51">
        <f>IFERROR(INDEX(report!$K$774:$K$787,MATCH("ערב חג",report!$I$774:$I$787,0)),0)</f>
        <v>1</v>
      </c>
      <c r="M13" s="51">
        <f>IFERROR(INDEX(report!$K$774:$K$787,MATCH("חול המועד",report!$I$774:$I$787,0)),0)</f>
        <v>2</v>
      </c>
      <c r="N13" s="57">
        <f>report!C776</f>
        <v>22</v>
      </c>
      <c r="O13" s="51" t="s">
        <v>1602</v>
      </c>
      <c r="P13" s="71" t="s">
        <v>1534</v>
      </c>
      <c r="Q13" s="48">
        <v>65</v>
      </c>
    </row>
    <row r="14" spans="1:17" ht="15" x14ac:dyDescent="0.25">
      <c r="A14" s="97">
        <v>66</v>
      </c>
      <c r="B14" s="54" t="s">
        <v>1366</v>
      </c>
      <c r="C14" s="51">
        <f>report!C1980</f>
        <v>17</v>
      </c>
      <c r="D14" s="51">
        <f>IFERROR(INDEX(report!$K$1979:$K$1992,MATCH("חופש",report!$I$1979:$I$1992,0)),0)</f>
        <v>0</v>
      </c>
      <c r="E14" s="51">
        <f>IFERROR(INDEX(report!$K$1979:$K$1992,MATCH("חופשה לחיוב",report!$I$1979:$I$1992,0)),0)</f>
        <v>2</v>
      </c>
      <c r="F14" s="51">
        <f>D14+E14</f>
        <v>2</v>
      </c>
      <c r="G14" s="51">
        <f>IFERROR(INDEX(report!$K$1979:$K$1992,MATCH("מילואים",report!$I$1979:$I$1992,0)),0)</f>
        <v>0</v>
      </c>
      <c r="H14" s="51">
        <f>IFERROR(INDEX(report!$K$1979:$K$1992,MATCH("תאונת עבודה",report!$I$1979:$I$1992,0)),0)</f>
        <v>0</v>
      </c>
      <c r="I14" s="51">
        <f>IFERROR(INDEX(report!$K$1979:$K$1992,MATCH("מחלה",report!$I$1979:$I$1992,0)),0)</f>
        <v>0</v>
      </c>
      <c r="J14" s="51">
        <f>IFERROR(INDEX(report!$K$1979:$K$1992,MATCH("מחלה לתשלום",report!$I$1979:$I$1992,0)),0)</f>
        <v>0</v>
      </c>
      <c r="K14" s="51">
        <f>IFERROR(INDEX(report!$K$1979:$K$1992,MATCH("חג",report!$I$1979:$I$1992,0)),0)</f>
        <v>3</v>
      </c>
      <c r="L14" s="51">
        <f>IFERROR(INDEX(report!$K$1979:$K$1992,MATCH("ערב חג",report!$I$1979:$I$1992,0)),0)</f>
        <v>0</v>
      </c>
      <c r="M14" s="51">
        <f>IFERROR(INDEX(report!$K$1979:$K$1992,MATCH("חול המועד",report!$I$1979:$I$1992,0)),0)</f>
        <v>2</v>
      </c>
      <c r="N14" s="57">
        <f>report!C1981</f>
        <v>22</v>
      </c>
      <c r="O14" s="51" t="s">
        <v>1602</v>
      </c>
      <c r="P14" s="71" t="s">
        <v>1534</v>
      </c>
      <c r="Q14" s="48">
        <v>66</v>
      </c>
    </row>
    <row r="15" spans="1:17" ht="15" x14ac:dyDescent="0.25">
      <c r="A15" s="97">
        <v>75</v>
      </c>
      <c r="B15" s="54" t="s">
        <v>1285</v>
      </c>
      <c r="C15" s="51">
        <f>report!C1716</f>
        <v>11</v>
      </c>
      <c r="D15" s="51">
        <f>IFERROR(INDEX(report!$K$1715:$K$1728,MATCH("חופש",report!$I$1715:$I$1728,0)),0)</f>
        <v>0</v>
      </c>
      <c r="E15" s="51">
        <f>IFERROR(INDEX(report!$K$1715:$K$1728,MATCH("חופשה לחיוב",report!$I$1715:$I$1728,0)),0)</f>
        <v>0</v>
      </c>
      <c r="F15" s="51">
        <f>D15+E15</f>
        <v>0</v>
      </c>
      <c r="G15" s="51">
        <f>IFERROR(INDEX(report!$K$1715:$K$1728,MATCH("מילואים",report!$I$1715:$I$1728,0)),0)</f>
        <v>30</v>
      </c>
      <c r="H15" s="51">
        <f>IFERROR(INDEX(report!$K$1715:$K$1728,MATCH("תאונת עבודה",report!$I$1715:$I$1728,0)),0)</f>
        <v>0</v>
      </c>
      <c r="I15" s="51">
        <f>IFERROR(INDEX(report!$K$1715:$K$1728,MATCH("מחלה",report!$I$1715:$I$1728,0)),0)</f>
        <v>0</v>
      </c>
      <c r="J15" s="51">
        <f>IFERROR(INDEX(report!$K$1715:$K$1728,MATCH("מחלה לתשלום",report!$I$1715:$I$1728,0)),0)</f>
        <v>0</v>
      </c>
      <c r="K15" s="51">
        <f>IFERROR(INDEX(report!$K$1715:$K$1728,MATCH("חג",report!$I$1715:$I$1728,0)),0)</f>
        <v>0</v>
      </c>
      <c r="L15" s="51">
        <f>IFERROR(INDEX(report!$K$1715:$K$1728,MATCH("ערב חג",report!$I$1715:$I$1728,0)),0)</f>
        <v>0</v>
      </c>
      <c r="M15" s="51">
        <f>IFERROR(INDEX(report!$K$1715:$K$1728,MATCH("חול המועד",report!$I$1715:$I$1728,0)),0)</f>
        <v>0</v>
      </c>
      <c r="N15" s="57">
        <f>report!C1717</f>
        <v>22</v>
      </c>
      <c r="O15" s="51" t="s">
        <v>1602</v>
      </c>
      <c r="P15" s="71" t="s">
        <v>1534</v>
      </c>
      <c r="Q15" s="48">
        <v>75</v>
      </c>
    </row>
    <row r="16" spans="1:17" ht="15" x14ac:dyDescent="0.25">
      <c r="A16" s="97">
        <v>76</v>
      </c>
      <c r="B16" s="54" t="s">
        <v>1403</v>
      </c>
      <c r="C16" s="51">
        <f>report!C2032</f>
        <v>8</v>
      </c>
      <c r="D16" s="51">
        <f>IFERROR(INDEX(report!$K$2031:$K$2044,MATCH("חופש",report!$I$2031:$I$2044,0)),0)</f>
        <v>0</v>
      </c>
      <c r="E16" s="51">
        <f>IFERROR(INDEX(report!$K$2031:$K$2044,MATCH("חופשה לחיוב",report!$I$2031:$I$2044,0)),0)</f>
        <v>0</v>
      </c>
      <c r="F16" s="51">
        <f>D16+E16</f>
        <v>0</v>
      </c>
      <c r="G16" s="51">
        <f>IFERROR(INDEX(report!$K$2031:$K$2044,MATCH("מילואים",report!$I$2031:$I$2044,0)),0)</f>
        <v>23</v>
      </c>
      <c r="H16" s="51">
        <f>IFERROR(INDEX(report!$K$2031:$K$2044,MATCH("תאונת עבודה",report!$I$2031:$I$2044,0)),0)</f>
        <v>0</v>
      </c>
      <c r="I16" s="51">
        <f>IFERROR(INDEX(report!$K$2031:$K$2044,MATCH("מחלה",report!$I$2031:$I$2044,0)),0)</f>
        <v>0</v>
      </c>
      <c r="J16" s="51">
        <f>IFERROR(INDEX(report!$K$2031:$K$2044,MATCH("מחלה לתשלום",report!$I$2031:$I$2044,0)),0)</f>
        <v>0</v>
      </c>
      <c r="K16" s="51">
        <f>IFERROR(INDEX(report!$K$2031:$K$2044,MATCH("חג",report!$I$2031:$I$2044,0)),0)</f>
        <v>3</v>
      </c>
      <c r="L16" s="51">
        <f>IFERROR(INDEX(report!$K$2031:$K$2044,MATCH("ערב חג",report!$I$2031:$I$2044,0)),0)</f>
        <v>0</v>
      </c>
      <c r="M16" s="51">
        <f>IFERROR(INDEX(report!$K$2031:$K$2044,MATCH("חול המועד",report!$I$2031:$I$2044,0)),0)</f>
        <v>0</v>
      </c>
      <c r="N16" s="57">
        <f>report!C2033</f>
        <v>22</v>
      </c>
      <c r="O16" s="51" t="s">
        <v>1602</v>
      </c>
      <c r="P16" s="71" t="s">
        <v>1534</v>
      </c>
      <c r="Q16" s="48">
        <v>76</v>
      </c>
    </row>
    <row r="17" spans="1:17" ht="15" x14ac:dyDescent="0.25">
      <c r="A17" s="97">
        <v>78</v>
      </c>
      <c r="B17" s="54" t="s">
        <v>943</v>
      </c>
      <c r="C17" s="51">
        <f>report!C1090</f>
        <v>16</v>
      </c>
      <c r="D17" s="51">
        <f>IFERROR(INDEX(report!$K$1089:$K$1102,MATCH("חופש",report!$I$1089:$I$1102,0)),0)</f>
        <v>1</v>
      </c>
      <c r="E17" s="51">
        <f>IFERROR(INDEX(report!$K$1089:$K$1102,MATCH("חופשה לחיוב",report!$I$1089:$I$1102,0)),0)</f>
        <v>2</v>
      </c>
      <c r="F17" s="51">
        <f>D17+E17</f>
        <v>3</v>
      </c>
      <c r="G17" s="51">
        <f>IFERROR(INDEX(report!$K$1089:$K$1102,MATCH("מילואים",report!$I$1089:$I$1102,0)),0)</f>
        <v>0</v>
      </c>
      <c r="H17" s="51">
        <f>IFERROR(INDEX(report!$K$1089:$K$1102,MATCH("תאונת עבודה",report!$I$1089:$I$1102,0)),0)</f>
        <v>0</v>
      </c>
      <c r="I17" s="51">
        <f>IFERROR(INDEX(report!$K$1089:$K$1102,MATCH("מחלה",report!$I$1089:$I$1102,0)),0)</f>
        <v>0</v>
      </c>
      <c r="J17" s="51">
        <f>IFERROR(INDEX(report!$K$1089:$K$1102,MATCH("מחלה לתשלום",report!$I$1089:$I$1102,0)),0)</f>
        <v>0</v>
      </c>
      <c r="K17" s="51">
        <f>IFERROR(INDEX(report!$K$1089:$K$1102,MATCH("חג",report!$I$1089:$I$1102,0)),0)</f>
        <v>3</v>
      </c>
      <c r="L17" s="51">
        <f>IFERROR(INDEX(report!$K$1089:$K$1102,MATCH("ערב חג",report!$I$1089:$I$1102,0)),0)</f>
        <v>2</v>
      </c>
      <c r="M17" s="51">
        <f>IFERROR(INDEX(report!$K$1089:$K$1102,MATCH("חול המועד",report!$I$1089:$I$1102,0)),0)</f>
        <v>2</v>
      </c>
      <c r="N17" s="57">
        <f>report!C1091</f>
        <v>22</v>
      </c>
      <c r="O17" s="51" t="s">
        <v>1602</v>
      </c>
      <c r="P17" s="71" t="s">
        <v>1534</v>
      </c>
      <c r="Q17" s="48">
        <v>78</v>
      </c>
    </row>
    <row r="18" spans="1:17" ht="15" x14ac:dyDescent="0.25">
      <c r="A18" s="97">
        <v>86</v>
      </c>
      <c r="B18" s="54" t="s">
        <v>1197</v>
      </c>
      <c r="C18" s="51">
        <f>report!C1508</f>
        <v>14</v>
      </c>
      <c r="D18" s="51">
        <f>IFERROR(INDEX(report!$K$1507:$K$1520,MATCH("חופש",report!$I$1507:$I$1520,0)),0)</f>
        <v>0</v>
      </c>
      <c r="E18" s="51">
        <f>IFERROR(INDEX(report!$K$1507:$K$1520,MATCH("חופשה לחיוב",report!$I$1507:$I$1520,0)),0)</f>
        <v>0</v>
      </c>
      <c r="F18" s="51">
        <f>D18+E18</f>
        <v>0</v>
      </c>
      <c r="G18" s="51">
        <f>IFERROR(INDEX(report!$K$1507:$K$1520,MATCH("מילואים",report!$I$1507:$I$1520,0)),0)</f>
        <v>23</v>
      </c>
      <c r="H18" s="51">
        <f>IFERROR(INDEX(report!$K$1507:$K$1520,MATCH("תאונת עבודה",report!$I$1507:$I$1520,0)),0)</f>
        <v>0</v>
      </c>
      <c r="I18" s="51">
        <f>IFERROR(INDEX(report!$K$1507:$K$1520,MATCH("מחלה",report!$I$1507:$I$1520,0)),0)</f>
        <v>0</v>
      </c>
      <c r="J18" s="51">
        <f>IFERROR(INDEX(report!$K$1507:$K$1520,MATCH("מחלה לתשלום",report!$I$1507:$I$1520,0)),0)</f>
        <v>0</v>
      </c>
      <c r="K18" s="51">
        <f>IFERROR(INDEX(report!$K$1507:$K$1520,MATCH("חג",report!$I$1507:$I$1520,0)),0)</f>
        <v>3</v>
      </c>
      <c r="L18" s="51">
        <f>IFERROR(INDEX(report!$K$1507:$K$1520,MATCH("ערב חג",report!$I$1507:$I$1520,0)),0)</f>
        <v>0</v>
      </c>
      <c r="M18" s="51">
        <f>IFERROR(INDEX(report!$K$1507:$K$1520,MATCH("חול המועד",report!$I$1507:$I$1520,0)),0)</f>
        <v>0</v>
      </c>
      <c r="N18" s="57">
        <f>report!C1509</f>
        <v>22</v>
      </c>
      <c r="O18" s="51" t="s">
        <v>1602</v>
      </c>
      <c r="P18" s="71" t="s">
        <v>1534</v>
      </c>
      <c r="Q18" s="48">
        <v>86</v>
      </c>
    </row>
    <row r="19" spans="1:17" ht="15" x14ac:dyDescent="0.25">
      <c r="A19" s="97">
        <v>87</v>
      </c>
      <c r="B19" s="54" t="s">
        <v>1226</v>
      </c>
      <c r="C19" s="51">
        <f>report!C1560</f>
        <v>6</v>
      </c>
      <c r="D19" s="51">
        <f>IFERROR(INDEX(report!$K$1559:$K$1572,MATCH("חופש",report!$I$1559:$I$1572,0)),0)</f>
        <v>0</v>
      </c>
      <c r="E19" s="51">
        <f>IFERROR(INDEX(report!$K$1559:$K$1572,MATCH("חופשה לחיוב",report!$I$1559:$I$1572,0)),0)</f>
        <v>0</v>
      </c>
      <c r="F19" s="51">
        <f>D19+E19</f>
        <v>0</v>
      </c>
      <c r="G19" s="51">
        <f>IFERROR(INDEX(report!$K$1559:$K$1572,MATCH("מילואים",report!$I$1559:$I$1572,0)),0)</f>
        <v>0</v>
      </c>
      <c r="H19" s="51">
        <f>IFERROR(INDEX(report!$K$1559:$K$1572,MATCH("תאונת עבודה",report!$I$1559:$I$1572,0)),0)</f>
        <v>0</v>
      </c>
      <c r="I19" s="51">
        <f>IFERROR(INDEX(report!$K$1559:$K$1572,MATCH("מחלה",report!$I$1559:$I$1572,0)),0)</f>
        <v>0</v>
      </c>
      <c r="J19" s="51">
        <f>IFERROR(INDEX(report!$K$1559:$K$1572,MATCH("מחלה לתשלום",report!$I$1559:$I$1572,0)),0)</f>
        <v>0</v>
      </c>
      <c r="K19" s="51">
        <f>IFERROR(INDEX(report!$K$1559:$K$1572,MATCH("חג",report!$I$1559:$I$1572,0)),0)</f>
        <v>1</v>
      </c>
      <c r="L19" s="51">
        <f>IFERROR(INDEX(report!$K$1559:$K$1572,MATCH("ערב חג",report!$I$1559:$I$1572,0)),0)</f>
        <v>0</v>
      </c>
      <c r="M19" s="51">
        <f>IFERROR(INDEX(report!$K$1559:$K$1572,MATCH("חול המועד",report!$I$1559:$I$1572,0)),0)</f>
        <v>0</v>
      </c>
      <c r="N19" s="59">
        <f>report!C1561</f>
        <v>7</v>
      </c>
      <c r="O19" s="51" t="s">
        <v>1602</v>
      </c>
      <c r="P19" s="72" t="s">
        <v>1715</v>
      </c>
      <c r="Q19" s="48">
        <v>87</v>
      </c>
    </row>
    <row r="20" spans="1:17" ht="15" x14ac:dyDescent="0.25">
      <c r="A20" s="97">
        <v>92</v>
      </c>
      <c r="B20" s="54" t="s">
        <v>1146</v>
      </c>
      <c r="C20" s="51">
        <f>report!C1403</f>
        <v>14</v>
      </c>
      <c r="D20" s="51">
        <f>IFERROR(INDEX(report!$K$1402:$K$1415,MATCH("חופש",report!$I$1402:$I$1415,0)),0)</f>
        <v>0</v>
      </c>
      <c r="E20" s="51">
        <f>IFERROR(INDEX(report!$K$1402:$K$1415,MATCH("חופשה לחיוב",report!$I$1402:$I$1415,0)),0)</f>
        <v>1</v>
      </c>
      <c r="F20" s="51">
        <f>D20+E20</f>
        <v>1</v>
      </c>
      <c r="G20" s="51">
        <f>IFERROR(INDEX(report!$K$1402:$K$1415,MATCH("מילואים",report!$I$1402:$I$1415,0)),0)</f>
        <v>3</v>
      </c>
      <c r="H20" s="51">
        <f>IFERROR(INDEX(report!$K$1402:$K$1415,MATCH("תאונת עבודה",report!$I$1402:$I$1415,0)),0)</f>
        <v>0</v>
      </c>
      <c r="I20" s="51">
        <f>IFERROR(INDEX(report!$K$1402:$K$1415,MATCH("מחלה",report!$I$1402:$I$1415,0)),0)</f>
        <v>0</v>
      </c>
      <c r="J20" s="51">
        <f>IFERROR(INDEX(report!$K$1402:$K$1415,MATCH("מחלה לתשלום",report!$I$1402:$I$1415,0)),0)</f>
        <v>0</v>
      </c>
      <c r="K20" s="51">
        <f>IFERROR(INDEX(report!$K$1402:$K$1415,MATCH("חג",report!$I$1402:$I$1415,0)),0)</f>
        <v>3</v>
      </c>
      <c r="L20" s="51">
        <f>IFERROR(INDEX(report!$K$1402:$K$1415,MATCH("ערב חג",report!$I$1402:$I$1415,0)),0)</f>
        <v>2</v>
      </c>
      <c r="M20" s="51">
        <f>IFERROR(INDEX(report!$K$1402:$K$1415,MATCH("חול המועד",report!$I$1402:$I$1415,0)),0)</f>
        <v>0</v>
      </c>
      <c r="N20" s="57">
        <f>report!C1404</f>
        <v>22</v>
      </c>
      <c r="O20" s="51" t="s">
        <v>1602</v>
      </c>
      <c r="P20" s="71" t="s">
        <v>1534</v>
      </c>
      <c r="Q20" s="48">
        <v>92</v>
      </c>
    </row>
    <row r="21" spans="1:17" ht="15" x14ac:dyDescent="0.25">
      <c r="A21" s="97">
        <v>93</v>
      </c>
      <c r="B21" s="54" t="s">
        <v>1120</v>
      </c>
      <c r="C21" s="51">
        <f>report!C1351</f>
        <v>17</v>
      </c>
      <c r="D21" s="51">
        <f>IFERROR(INDEX(report!$K$1350:$K$1363,MATCH("חופש",report!$I$1350:$I$1363,0)),0)</f>
        <v>0</v>
      </c>
      <c r="E21" s="51">
        <f>IFERROR(INDEX(report!$K$1350:$K$1363,MATCH("חופשה לחיוב",report!$I$1350:$I$1363,0)),0)</f>
        <v>0</v>
      </c>
      <c r="F21" s="51">
        <f>D21+E21</f>
        <v>0</v>
      </c>
      <c r="G21" s="51">
        <f>IFERROR(INDEX(report!$K$1350:$K$1363,MATCH("מילואים",report!$I$1350:$I$1363,0)),0)</f>
        <v>14</v>
      </c>
      <c r="H21" s="51">
        <f>IFERROR(INDEX(report!$K$1350:$K$1363,MATCH("תאונת עבודה",report!$I$1350:$I$1363,0)),0)</f>
        <v>0</v>
      </c>
      <c r="I21" s="51">
        <f>IFERROR(INDEX(report!$K$1350:$K$1363,MATCH("מחלה",report!$I$1350:$I$1363,0)),0)</f>
        <v>0</v>
      </c>
      <c r="J21" s="51">
        <f>IFERROR(INDEX(report!$K$1350:$K$1363,MATCH("מחלה לתשלום",report!$I$1350:$I$1363,0)),0)</f>
        <v>0</v>
      </c>
      <c r="K21" s="51">
        <f>IFERROR(INDEX(report!$K$1350:$K$1363,MATCH("חג",report!$I$1350:$I$1363,0)),0)</f>
        <v>3</v>
      </c>
      <c r="L21" s="51">
        <f>IFERROR(INDEX(report!$K$1350:$K$1363,MATCH("ערב חג",report!$I$1350:$I$1363,0)),0)</f>
        <v>0</v>
      </c>
      <c r="M21" s="51">
        <f>IFERROR(INDEX(report!$K$1350:$K$1363,MATCH("חול המועד",report!$I$1350:$I$1363,0)),0)</f>
        <v>0</v>
      </c>
      <c r="N21" s="57">
        <f>report!C1352</f>
        <v>22</v>
      </c>
      <c r="O21" s="51" t="s">
        <v>1602</v>
      </c>
      <c r="P21" s="71" t="s">
        <v>1534</v>
      </c>
      <c r="Q21" s="48">
        <v>93</v>
      </c>
    </row>
    <row r="22" spans="1:17" ht="15" x14ac:dyDescent="0.25">
      <c r="A22" s="97">
        <v>94</v>
      </c>
      <c r="B22" s="54" t="s">
        <v>1318</v>
      </c>
      <c r="C22" s="51">
        <f>report!C1820</f>
        <v>19</v>
      </c>
      <c r="D22" s="51">
        <f>IFERROR(INDEX(report!$K$1819:$K$1832,MATCH("חופש",report!$I$1819:$I$1832,0)),0)</f>
        <v>0</v>
      </c>
      <c r="E22" s="51">
        <f>IFERROR(INDEX(report!$K$1819:$K$1832,MATCH("חופשה לחיוב",report!$I$1819:$I$1832,0)),0)</f>
        <v>0</v>
      </c>
      <c r="F22" s="51">
        <f>D22+E22</f>
        <v>0</v>
      </c>
      <c r="G22" s="51">
        <f>IFERROR(INDEX(report!$K$1819:$K$1832,MATCH("מילואים",report!$I$1819:$I$1832,0)),0)</f>
        <v>0</v>
      </c>
      <c r="H22" s="51">
        <f>IFERROR(INDEX(report!$K$1819:$K$1832,MATCH("תאונת עבודה",report!$I$1819:$I$1832,0)),0)</f>
        <v>0</v>
      </c>
      <c r="I22" s="51">
        <f>IFERROR(INDEX(report!$K$1819:$K$1832,MATCH("מחלה",report!$I$1819:$I$1832,0)),0)</f>
        <v>0</v>
      </c>
      <c r="J22" s="51">
        <f>IFERROR(INDEX(report!$K$1819:$K$1832,MATCH("מחלה לתשלום",report!$I$1819:$I$1832,0)),0)</f>
        <v>0</v>
      </c>
      <c r="K22" s="51">
        <f>IFERROR(INDEX(report!$K$1819:$K$1832,MATCH("חג",report!$I$1819:$I$1832,0)),0)</f>
        <v>3</v>
      </c>
      <c r="L22" s="51">
        <f>IFERROR(INDEX(report!$K$1819:$K$1832,MATCH("ערב חג",report!$I$1819:$I$1832,0)),0)</f>
        <v>0</v>
      </c>
      <c r="M22" s="51">
        <f>IFERROR(INDEX(report!$K$1819:$K$1832,MATCH("חול המועד",report!$I$1819:$I$1832,0)),0)</f>
        <v>2</v>
      </c>
      <c r="N22" s="57">
        <f>report!C1821</f>
        <v>22</v>
      </c>
      <c r="O22" s="51" t="s">
        <v>1602</v>
      </c>
      <c r="P22" s="71" t="s">
        <v>1534</v>
      </c>
      <c r="Q22" s="48">
        <v>94</v>
      </c>
    </row>
    <row r="23" spans="1:17" ht="15" x14ac:dyDescent="0.25">
      <c r="A23" s="97">
        <v>95</v>
      </c>
      <c r="B23" s="54" t="s">
        <v>377</v>
      </c>
      <c r="C23" s="51">
        <f>report!C253</f>
        <v>0</v>
      </c>
      <c r="D23" s="51">
        <f>IFERROR(INDEX(report!$K$252:$K$265,MATCH("חופש",report!$I$252:$I$265,0)),0)</f>
        <v>0</v>
      </c>
      <c r="E23" s="51">
        <f>IFERROR(INDEX(report!$K$252:$K$265,MATCH("חופשה לחיוב",report!$I$252:$I$265,0)),0)</f>
        <v>0</v>
      </c>
      <c r="F23" s="51">
        <f>D23+E23</f>
        <v>0</v>
      </c>
      <c r="G23" s="51">
        <f>IFERROR(INDEX(report!$K$252:$K$265,MATCH("מילואים",report!$I$252:$I$265,0)),0)</f>
        <v>0</v>
      </c>
      <c r="H23" s="51">
        <f>IFERROR(INDEX(report!$K$252:$K$265,MATCH("תאונת עבודה",report!$I$252:$I$265,0)),0)</f>
        <v>22</v>
      </c>
      <c r="I23" s="51">
        <f>IFERROR(INDEX(report!$K$252:$K$265,MATCH("מחלה",report!$I$252:$I$265,0)),0)</f>
        <v>0</v>
      </c>
      <c r="J23" s="51">
        <f>IFERROR(INDEX(report!$K$252:$K$265,MATCH("מחלה לתשלום",report!$I$252:$I$265,0)),0)</f>
        <v>0</v>
      </c>
      <c r="K23" s="51">
        <f>IFERROR(INDEX(report!$K$252:$K$265,MATCH("חג",report!$I$252:$I$265,0)),0)</f>
        <v>0</v>
      </c>
      <c r="L23" s="51">
        <f>IFERROR(INDEX(report!$K$252:$K$265,MATCH("ערב חג",report!$I$252:$I$265,0)),0)</f>
        <v>0</v>
      </c>
      <c r="M23" s="51">
        <f>IFERROR(INDEX(report!$K$252:$K$265,MATCH("חול המועד",report!$I$252:$I$265,0)),0)</f>
        <v>0</v>
      </c>
      <c r="N23" s="57">
        <f>report!C254</f>
        <v>22</v>
      </c>
      <c r="O23" s="51" t="s">
        <v>1602</v>
      </c>
      <c r="P23" s="71" t="s">
        <v>1534</v>
      </c>
      <c r="Q23" s="48">
        <v>95</v>
      </c>
    </row>
    <row r="24" spans="1:17" ht="15" x14ac:dyDescent="0.25">
      <c r="A24" s="97">
        <v>96</v>
      </c>
      <c r="B24" s="54" t="s">
        <v>529</v>
      </c>
      <c r="C24" s="51">
        <f>report!C462</f>
        <v>0</v>
      </c>
      <c r="D24" s="51">
        <f>IFERROR(INDEX(report!$K$461:$K$474,MATCH("חופש",report!$I$461:$I$474,0)),0)</f>
        <v>2</v>
      </c>
      <c r="E24" s="51">
        <f>IFERROR(INDEX(report!$K$461:$K$474,MATCH("חופשה לחיוב",report!$I$461:$I$474,0)),0)</f>
        <v>2.5</v>
      </c>
      <c r="F24" s="51">
        <f>D24+E24</f>
        <v>4.5</v>
      </c>
      <c r="G24" s="51">
        <f>IFERROR(INDEX(report!$K$461:$K$474,MATCH("מילואים",report!$I$461:$I$474,0)),0)</f>
        <v>28</v>
      </c>
      <c r="H24" s="51">
        <f>IFERROR(INDEX(report!$K$461:$K$474,MATCH("תאונת עבודה",report!$I$461:$I$474,0)),0)</f>
        <v>0</v>
      </c>
      <c r="I24" s="51">
        <f>IFERROR(INDEX(report!$K$461:$K$474,MATCH("מחלה",report!$I$461:$I$474,0)),0)</f>
        <v>0</v>
      </c>
      <c r="J24" s="51">
        <f>IFERROR(INDEX(report!$K$461:$K$474,MATCH("מחלה לתשלום",report!$I$461:$I$474,0)),0)</f>
        <v>0</v>
      </c>
      <c r="K24" s="51">
        <f>IFERROR(INDEX(report!$K$461:$K$474,MATCH("חג",report!$I$461:$I$474,0)),0)</f>
        <v>0</v>
      </c>
      <c r="L24" s="51">
        <f>IFERROR(INDEX(report!$K$461:$K$474,MATCH("ערב חג",report!$I$461:$I$474,0)),0)</f>
        <v>0</v>
      </c>
      <c r="M24" s="51">
        <f>IFERROR(INDEX(report!$K$461:$K$474,MATCH("חול המועד",report!$I$461:$I$474,0)),0)</f>
        <v>0</v>
      </c>
      <c r="N24" s="57">
        <f>report!C463</f>
        <v>22</v>
      </c>
      <c r="O24" s="51" t="s">
        <v>1602</v>
      </c>
      <c r="P24" s="71" t="s">
        <v>1534</v>
      </c>
      <c r="Q24" s="48">
        <v>96</v>
      </c>
    </row>
    <row r="25" spans="1:17" ht="15" x14ac:dyDescent="0.25">
      <c r="A25" s="97">
        <v>97</v>
      </c>
      <c r="B25" s="65" t="s">
        <v>1419</v>
      </c>
      <c r="C25" s="66">
        <f>report!C2084</f>
        <v>16</v>
      </c>
      <c r="D25" s="66">
        <f>IFERROR(INDEX(report!$K$2083:$K$2096,MATCH("חופש",report!$I$2083:$I$2096,0)),0)</f>
        <v>1</v>
      </c>
      <c r="E25" s="66">
        <f>IFERROR(INDEX(report!$K$2083:$K$2096,MATCH("חופשה לחיוב",report!$I$2083:$I$2096,0)),0)</f>
        <v>1</v>
      </c>
      <c r="F25" s="66">
        <f>D25+E25</f>
        <v>2</v>
      </c>
      <c r="G25" s="66">
        <f>IFERROR(INDEX(report!$K$2083:$K$2096,MATCH("מילואים",report!$I$2083:$I$2096,0)),0)</f>
        <v>6</v>
      </c>
      <c r="H25" s="66">
        <f>IFERROR(INDEX(report!$K$2083:$K$2096,MATCH("תאונת עבודה",report!$I$2083:$I$2096,0)),0)</f>
        <v>0</v>
      </c>
      <c r="I25" s="66">
        <f>IFERROR(INDEX(report!$K$2083:$K$2096,MATCH("מחלה",report!$I$2083:$I$2096,0)),0)</f>
        <v>0</v>
      </c>
      <c r="J25" s="66">
        <f>IFERROR(INDEX(report!$K$2083:$K$2096,MATCH("מחלה לתשלום",report!$I$2083:$I$2096,0)),0)</f>
        <v>0</v>
      </c>
      <c r="K25" s="66">
        <f>IFERROR(INDEX(report!$K$2083:$K$2096,MATCH("חג",report!$I$2083:$I$2096,0)),0)</f>
        <v>3</v>
      </c>
      <c r="L25" s="66">
        <f>IFERROR(INDEX(report!$K$2083:$K$2096,MATCH("ערב חג",report!$I$2083:$I$2096,0)),0)</f>
        <v>0</v>
      </c>
      <c r="M25" s="66">
        <f>IFERROR(INDEX(report!$K$2083:$K$2096,MATCH("חול המועד",report!$I$2083:$I$2096,0)),0)</f>
        <v>0</v>
      </c>
      <c r="N25" s="57">
        <f>report!C2085</f>
        <v>22</v>
      </c>
      <c r="O25" s="67" t="s">
        <v>1602</v>
      </c>
      <c r="P25" s="71" t="s">
        <v>1534</v>
      </c>
      <c r="Q25" s="48">
        <v>97</v>
      </c>
    </row>
    <row r="26" spans="1:17" ht="15" x14ac:dyDescent="0.25">
      <c r="A26" s="97">
        <v>100</v>
      </c>
      <c r="B26" s="54" t="s">
        <v>872</v>
      </c>
      <c r="C26" s="51">
        <f>report!C985</f>
        <v>15</v>
      </c>
      <c r="D26" s="51">
        <f>IFERROR(INDEX(report!$K$984:$K$997,MATCH("חופש",report!$I$984:$I$997,0)),0)</f>
        <v>2</v>
      </c>
      <c r="E26" s="51">
        <f>IFERROR(INDEX(report!$K$984:$K$997,MATCH("חופשה לחיוב",report!$I$984:$I$997,0)),0)</f>
        <v>3</v>
      </c>
      <c r="F26" s="51">
        <f>D26+E26</f>
        <v>5</v>
      </c>
      <c r="G26" s="51">
        <f>IFERROR(INDEX(report!$K$984:$K$997,MATCH("מילואים",report!$I$984:$I$997,0)),0)</f>
        <v>0</v>
      </c>
      <c r="H26" s="51">
        <f>IFERROR(INDEX(report!$K$984:$K$997,MATCH("תאונת עבודה",report!$I$984:$I$997,0)),0)</f>
        <v>0</v>
      </c>
      <c r="I26" s="51">
        <f>IFERROR(INDEX(report!$K$984:$K$997,MATCH("מחלה",report!$I$984:$I$997,0)),0)</f>
        <v>0</v>
      </c>
      <c r="J26" s="51">
        <f>IFERROR(INDEX(report!$K$984:$K$997,MATCH("מחלה לתשלום",report!$I$984:$I$997,0)),0)</f>
        <v>0</v>
      </c>
      <c r="K26" s="51">
        <f>IFERROR(INDEX(report!$K$984:$K$997,MATCH("חג",report!$I$984:$I$997,0)),0)</f>
        <v>3</v>
      </c>
      <c r="L26" s="51">
        <f>IFERROR(INDEX(report!$K$984:$K$997,MATCH("ערב חג",report!$I$984:$I$997,0)),0)</f>
        <v>2</v>
      </c>
      <c r="M26" s="51">
        <f>IFERROR(INDEX(report!$K$984:$K$997,MATCH("חול המועד",report!$I$984:$I$997,0)),0)</f>
        <v>0</v>
      </c>
      <c r="N26" s="57">
        <f>report!C986</f>
        <v>22</v>
      </c>
      <c r="O26" s="51" t="s">
        <v>1602</v>
      </c>
      <c r="P26" s="71" t="s">
        <v>1534</v>
      </c>
      <c r="Q26" s="48">
        <v>100</v>
      </c>
    </row>
    <row r="27" spans="1:17" ht="15" x14ac:dyDescent="0.25">
      <c r="A27" s="97">
        <v>101</v>
      </c>
      <c r="B27" s="54" t="s">
        <v>701</v>
      </c>
      <c r="C27" s="51">
        <f>report!C723</f>
        <v>14</v>
      </c>
      <c r="D27" s="51">
        <f>IFERROR(INDEX(report!$K$722:$K$735,MATCH("חופש",report!$I$722:$I$735,0)),0)</f>
        <v>0</v>
      </c>
      <c r="E27" s="51">
        <f>IFERROR(INDEX(report!$K$722:$K$735,MATCH("חופשה לחיוב",report!$I$722:$I$735,0)),0)</f>
        <v>0.5</v>
      </c>
      <c r="F27" s="51">
        <f>D27+E27</f>
        <v>0.5</v>
      </c>
      <c r="G27" s="51">
        <f>IFERROR(INDEX(report!$K$722:$K$735,MATCH("מילואים",report!$I$722:$I$735,0)),0)</f>
        <v>11</v>
      </c>
      <c r="H27" s="51">
        <f>IFERROR(INDEX(report!$K$722:$K$735,MATCH("תאונת עבודה",report!$I$722:$I$735,0)),0)</f>
        <v>0</v>
      </c>
      <c r="I27" s="51">
        <f>IFERROR(INDEX(report!$K$722:$K$735,MATCH("מחלה",report!$I$722:$I$735,0)),0)</f>
        <v>0</v>
      </c>
      <c r="J27" s="51">
        <f>IFERROR(INDEX(report!$K$722:$K$735,MATCH("מחלה לתשלום",report!$I$722:$I$735,0)),0)</f>
        <v>0</v>
      </c>
      <c r="K27" s="51">
        <f>IFERROR(INDEX(report!$K$722:$K$735,MATCH("חג",report!$I$722:$I$735,0)),0)</f>
        <v>3</v>
      </c>
      <c r="L27" s="51">
        <f>IFERROR(INDEX(report!$K$722:$K$735,MATCH("ערב חג",report!$I$722:$I$735,0)),0)</f>
        <v>0</v>
      </c>
      <c r="M27" s="51">
        <f>IFERROR(INDEX(report!$K$722:$K$735,MATCH("חול המועד",report!$I$722:$I$735,0)),0)</f>
        <v>0</v>
      </c>
      <c r="N27" s="57">
        <f>report!C724</f>
        <v>22</v>
      </c>
      <c r="O27" s="51" t="s">
        <v>1602</v>
      </c>
      <c r="P27" s="71" t="s">
        <v>1534</v>
      </c>
      <c r="Q27" s="48">
        <v>101</v>
      </c>
    </row>
    <row r="28" spans="1:17" ht="15" x14ac:dyDescent="0.25">
      <c r="A28" s="97">
        <v>105</v>
      </c>
      <c r="B28" s="54" t="s">
        <v>651</v>
      </c>
      <c r="C28" s="51">
        <f>report!C671</f>
        <v>16</v>
      </c>
      <c r="D28" s="51">
        <f>IFERROR(INDEX(report!$K$670:$K$683,MATCH("חופש",report!$I$670:$I$683,0)),0)</f>
        <v>0</v>
      </c>
      <c r="E28" s="51">
        <f>IFERROR(INDEX(report!$K$670:$K$683,MATCH("חופשה לחיוב",report!$I$670:$I$683,0)),0)</f>
        <v>1.5</v>
      </c>
      <c r="F28" s="51">
        <f>D28+E28</f>
        <v>1.5</v>
      </c>
      <c r="G28" s="51">
        <f>IFERROR(INDEX(report!$K$670:$K$683,MATCH("מילואים",report!$I$670:$I$683,0)),0)</f>
        <v>0</v>
      </c>
      <c r="H28" s="51">
        <f>IFERROR(INDEX(report!$K$670:$K$683,MATCH("תאונת עבודה",report!$I$670:$I$683,0)),0)</f>
        <v>0</v>
      </c>
      <c r="I28" s="51">
        <f>IFERROR(INDEX(report!$K$670:$K$683,MATCH("מחלה",report!$I$670:$I$683,0)),0)</f>
        <v>0</v>
      </c>
      <c r="J28" s="51">
        <f>IFERROR(INDEX(report!$K$670:$K$683,MATCH("מחלה לתשלום",report!$I$670:$I$683,0)),0)</f>
        <v>0</v>
      </c>
      <c r="K28" s="51">
        <f>IFERROR(INDEX(report!$K$670:$K$683,MATCH("חג",report!$I$670:$I$683,0)),0)</f>
        <v>3</v>
      </c>
      <c r="L28" s="51">
        <f>IFERROR(INDEX(report!$K$670:$K$683,MATCH("ערב חג",report!$I$670:$I$683,0)),0)</f>
        <v>3</v>
      </c>
      <c r="M28" s="51">
        <f>IFERROR(INDEX(report!$K$670:$K$683,MATCH("חול המועד",report!$I$670:$I$683,0)),0)</f>
        <v>2</v>
      </c>
      <c r="N28" s="57">
        <f>report!C672</f>
        <v>22</v>
      </c>
      <c r="O28" s="51" t="s">
        <v>1602</v>
      </c>
      <c r="P28" s="71" t="s">
        <v>1534</v>
      </c>
      <c r="Q28" s="48">
        <v>105</v>
      </c>
    </row>
    <row r="29" spans="1:17" ht="15" x14ac:dyDescent="0.25">
      <c r="A29" s="97">
        <v>106</v>
      </c>
      <c r="B29" s="54" t="s">
        <v>1267</v>
      </c>
      <c r="C29" s="51">
        <f>report!C1664</f>
        <v>14</v>
      </c>
      <c r="D29" s="51">
        <f>IFERROR(INDEX(report!$K$1663:$K$1676,MATCH("חופש",report!$I$1663:$I$1676,0)),0)</f>
        <v>0</v>
      </c>
      <c r="E29" s="51">
        <f>IFERROR(INDEX(report!$K$1663:$K$1676,MATCH("חופשה לחיוב",report!$I$1663:$I$1676,0)),0)</f>
        <v>0.5</v>
      </c>
      <c r="F29" s="51">
        <f>D29+E29</f>
        <v>0.5</v>
      </c>
      <c r="G29" s="51">
        <f>IFERROR(INDEX(report!$K$1663:$K$1676,MATCH("מילואים",report!$I$1663:$I$1676,0)),0)</f>
        <v>0</v>
      </c>
      <c r="H29" s="51">
        <f>IFERROR(INDEX(report!$K$1663:$K$1676,MATCH("תאונת עבודה",report!$I$1663:$I$1676,0)),0)</f>
        <v>0</v>
      </c>
      <c r="I29" s="51">
        <f>IFERROR(INDEX(report!$K$1663:$K$1676,MATCH("מחלה",report!$I$1663:$I$1676,0)),0)</f>
        <v>4</v>
      </c>
      <c r="J29" s="51">
        <f>IFERROR(INDEX(report!$K$1663:$K$1676,MATCH("מחלה לתשלום",report!$I$1663:$I$1676,0)),0)</f>
        <v>0</v>
      </c>
      <c r="K29" s="51">
        <f>IFERROR(INDEX(report!$K$1663:$K$1676,MATCH("חג",report!$I$1663:$I$1676,0)),0)</f>
        <v>3</v>
      </c>
      <c r="L29" s="51">
        <f>IFERROR(INDEX(report!$K$1663:$K$1676,MATCH("ערב חג",report!$I$1663:$I$1676,0)),0)</f>
        <v>1</v>
      </c>
      <c r="M29" s="51">
        <f>IFERROR(INDEX(report!$K$1663:$K$1676,MATCH("חול המועד",report!$I$1663:$I$1676,0)),0)</f>
        <v>0</v>
      </c>
      <c r="N29" s="57">
        <f>report!C1665</f>
        <v>20</v>
      </c>
      <c r="O29" s="51" t="s">
        <v>1602</v>
      </c>
      <c r="P29" s="72" t="s">
        <v>1536</v>
      </c>
      <c r="Q29" s="48">
        <v>106</v>
      </c>
    </row>
    <row r="30" spans="1:17" ht="15" x14ac:dyDescent="0.25">
      <c r="A30" s="97">
        <v>109</v>
      </c>
      <c r="B30" s="54" t="s">
        <v>1437</v>
      </c>
      <c r="C30" s="51">
        <f>report!C2136</f>
        <v>15</v>
      </c>
      <c r="D30" s="51">
        <f>IFERROR(INDEX(report!$K$2135:$K$2148,MATCH("חופש",report!$I$2135:$I$2148,0)),0)</f>
        <v>0</v>
      </c>
      <c r="E30" s="51">
        <f>IFERROR(INDEX(report!$K$2135:$K$2148,MATCH("חופשה לחיוב",report!$I$2135:$I$2148,0)),0)</f>
        <v>3</v>
      </c>
      <c r="F30" s="51">
        <f>D30+E30</f>
        <v>3</v>
      </c>
      <c r="G30" s="51">
        <f>IFERROR(INDEX(report!$K$2135:$K$2148,MATCH("מילואים",report!$I$2135:$I$2148,0)),0)</f>
        <v>0</v>
      </c>
      <c r="H30" s="51">
        <f>IFERROR(INDEX(report!$K$2135:$K$2148,MATCH("תאונת עבודה",report!$I$2135:$I$2148,0)),0)</f>
        <v>0</v>
      </c>
      <c r="I30" s="51">
        <f>IFERROR(INDEX(report!$K$2135:$K$2148,MATCH("מחלה",report!$I$2135:$I$2148,0)),0)</f>
        <v>0</v>
      </c>
      <c r="J30" s="51">
        <f>IFERROR(INDEX(report!$K$2135:$K$2148,MATCH("מחלה לתשלום",report!$I$2135:$I$2148,0)),0)</f>
        <v>0</v>
      </c>
      <c r="K30" s="51">
        <f>IFERROR(INDEX(report!$K$2135:$K$2148,MATCH("חג",report!$I$2135:$I$2148,0)),0)</f>
        <v>3</v>
      </c>
      <c r="L30" s="51">
        <f>IFERROR(INDEX(report!$K$2135:$K$2148,MATCH("ערב חג",report!$I$2135:$I$2148,0)),0)</f>
        <v>2</v>
      </c>
      <c r="M30" s="51">
        <f>IFERROR(INDEX(report!$K$2135:$K$2148,MATCH("חול המועד",report!$I$2135:$I$2148,0)),0)</f>
        <v>2</v>
      </c>
      <c r="N30" s="57">
        <f>report!C2137</f>
        <v>22</v>
      </c>
      <c r="O30" s="51" t="s">
        <v>1602</v>
      </c>
      <c r="P30" s="71" t="s">
        <v>1534</v>
      </c>
      <c r="Q30" s="48">
        <v>109</v>
      </c>
    </row>
    <row r="31" spans="1:17" ht="15" x14ac:dyDescent="0.25">
      <c r="A31" s="97">
        <v>110</v>
      </c>
      <c r="B31" s="54" t="s">
        <v>380</v>
      </c>
      <c r="C31" s="51">
        <f>report!C305</f>
        <v>15</v>
      </c>
      <c r="D31" s="51">
        <f>IFERROR(INDEX(report!$K$304:$K$317,MATCH("חופש",report!$I$304:$I$317,0)),0)</f>
        <v>1</v>
      </c>
      <c r="E31" s="51">
        <f>IFERROR(INDEX(report!$K$304:$K$317,MATCH("חופשה לחיוב",report!$I$304:$I$317,0)),0)</f>
        <v>2.5</v>
      </c>
      <c r="F31" s="51">
        <f>D31+E31</f>
        <v>3.5</v>
      </c>
      <c r="G31" s="51">
        <f>IFERROR(INDEX(report!$K$304:$K$317,MATCH("מילואים",report!$I$304:$I$317,0)),0)</f>
        <v>0</v>
      </c>
      <c r="H31" s="51">
        <f>IFERROR(INDEX(report!$K$304:$K$317,MATCH("תאונת עבודה",report!$I$304:$I$317,0)),0)</f>
        <v>0</v>
      </c>
      <c r="I31" s="51">
        <f>IFERROR(INDEX(report!$K$304:$K$317,MATCH("מחלה",report!$I$304:$I$317,0)),0)</f>
        <v>0</v>
      </c>
      <c r="J31" s="51">
        <f>IFERROR(INDEX(report!$K$304:$K$317,MATCH("מחלה לתשלום",report!$I$304:$I$317,0)),0)</f>
        <v>0</v>
      </c>
      <c r="K31" s="51">
        <f>IFERROR(INDEX(report!$K$304:$K$317,MATCH("חג",report!$I$304:$I$317,0)),0)</f>
        <v>3</v>
      </c>
      <c r="L31" s="51">
        <f>IFERROR(INDEX(report!$K$304:$K$317,MATCH("ערב חג",report!$I$304:$I$317,0)),0)</f>
        <v>3</v>
      </c>
      <c r="M31" s="51">
        <f>IFERROR(INDEX(report!$K$304:$K$317,MATCH("חול המועד",report!$I$304:$I$317,0)),0)</f>
        <v>2</v>
      </c>
      <c r="N31" s="57">
        <f>report!C306</f>
        <v>22</v>
      </c>
      <c r="O31" s="51" t="s">
        <v>1602</v>
      </c>
      <c r="P31" s="71" t="s">
        <v>1534</v>
      </c>
      <c r="Q31" s="48">
        <v>110</v>
      </c>
    </row>
    <row r="32" spans="1:17" ht="15" x14ac:dyDescent="0.25">
      <c r="A32" s="97">
        <v>112</v>
      </c>
      <c r="B32" s="54" t="s">
        <v>633</v>
      </c>
      <c r="C32" s="51">
        <f>report!C619</f>
        <v>4</v>
      </c>
      <c r="D32" s="51">
        <f>IFERROR(INDEX(report!$K$618:$K$631,MATCH("חופש",report!$I$618:$I$631,0)),0)</f>
        <v>1</v>
      </c>
      <c r="E32" s="51">
        <f>IFERROR(INDEX(report!$K$618:$K$631,MATCH("חופשה לחיוב",report!$I$618:$I$631,0)),0)</f>
        <v>2.5</v>
      </c>
      <c r="F32" s="51">
        <f>D32+E32</f>
        <v>3.5</v>
      </c>
      <c r="G32" s="51">
        <f>IFERROR(INDEX(report!$K$618:$K$631,MATCH("מילואים",report!$I$618:$I$631,0)),0)</f>
        <v>16</v>
      </c>
      <c r="H32" s="51">
        <f>IFERROR(INDEX(report!$K$618:$K$631,MATCH("תאונת עבודה",report!$I$618:$I$631,0)),0)</f>
        <v>0</v>
      </c>
      <c r="I32" s="51">
        <f>IFERROR(INDEX(report!$K$618:$K$631,MATCH("מחלה",report!$I$618:$I$631,0)),0)</f>
        <v>0</v>
      </c>
      <c r="J32" s="51">
        <f>IFERROR(INDEX(report!$K$618:$K$631,MATCH("מחלה לתשלום",report!$I$618:$I$631,0)),0)</f>
        <v>0</v>
      </c>
      <c r="K32" s="51">
        <f>IFERROR(INDEX(report!$K$618:$K$631,MATCH("חג",report!$I$618:$I$631,0)),0)</f>
        <v>3</v>
      </c>
      <c r="L32" s="51">
        <f>IFERROR(INDEX(report!$K$618:$K$631,MATCH("ערב חג",report!$I$618:$I$631,0)),0)</f>
        <v>3</v>
      </c>
      <c r="M32" s="51">
        <f>IFERROR(INDEX(report!$K$618:$K$631,MATCH("חול המועד",report!$I$618:$I$631,0)),0)</f>
        <v>2</v>
      </c>
      <c r="N32" s="57">
        <f>report!C620</f>
        <v>22</v>
      </c>
      <c r="O32" s="51" t="s">
        <v>1602</v>
      </c>
      <c r="P32" s="71" t="s">
        <v>1534</v>
      </c>
      <c r="Q32" s="48">
        <v>112</v>
      </c>
    </row>
    <row r="33" spans="1:17" ht="15" x14ac:dyDescent="0.25">
      <c r="A33" s="97">
        <v>113</v>
      </c>
      <c r="B33" s="54" t="s">
        <v>0</v>
      </c>
      <c r="C33" s="51">
        <f>report!C43</f>
        <v>14</v>
      </c>
      <c r="D33" s="51">
        <f>IFERROR(INDEX(report!$K$42:$K$55,MATCH("חופש",report!$I$42:$I$55,0)),0)</f>
        <v>0</v>
      </c>
      <c r="E33" s="51">
        <f>IFERROR(INDEX(report!$K$42:$K$55,MATCH("חופשה לחיוב",report!$I$42:$I$55,0)),0)</f>
        <v>3.5</v>
      </c>
      <c r="F33" s="51">
        <f>D33+E33</f>
        <v>3.5</v>
      </c>
      <c r="G33" s="51">
        <f>IFERROR(INDEX(report!$K$42:$K$55,MATCH("מילואים",report!$I$42:$I$55,0)),0)</f>
        <v>0</v>
      </c>
      <c r="H33" s="51">
        <f>IFERROR(INDEX(report!$K$42:$K$55,MATCH("תאונת עבודה",report!$I$42:$I$55,0)),0)</f>
        <v>0</v>
      </c>
      <c r="I33" s="51">
        <f>IFERROR(INDEX(report!$K$42:$K$55,MATCH("מחלה",report!$I$42:$I$55,0)),0)</f>
        <v>0</v>
      </c>
      <c r="J33" s="51">
        <f>IFERROR(INDEX(report!$K$42:$K$55,MATCH("מחלה לתשלום",report!$I$42:$I$55,0)),0)</f>
        <v>0</v>
      </c>
      <c r="K33" s="51">
        <f>IFERROR(INDEX(report!$K$42:$K$55,MATCH("חג",report!$I$42:$I$55,0)),0)</f>
        <v>3</v>
      </c>
      <c r="L33" s="51">
        <f>IFERROR(INDEX(report!$K$42:$K$55,MATCH("ערב חג",report!$I$42:$I$55,0)),0)</f>
        <v>3</v>
      </c>
      <c r="M33" s="51">
        <f>IFERROR(INDEX(report!$K$42:$K$55,MATCH("חול המועד",report!$I$42:$I$55,0)),0)</f>
        <v>2</v>
      </c>
      <c r="N33" s="57">
        <f>report!C44</f>
        <v>22</v>
      </c>
      <c r="O33" s="51" t="s">
        <v>1602</v>
      </c>
      <c r="P33" s="71" t="s">
        <v>1534</v>
      </c>
      <c r="Q33" s="48">
        <v>113</v>
      </c>
    </row>
    <row r="34" spans="1:17" ht="15" x14ac:dyDescent="0.25">
      <c r="A34" s="97">
        <v>115</v>
      </c>
      <c r="B34" s="54" t="s">
        <v>1339</v>
      </c>
      <c r="C34" s="51">
        <f>report!C1872</f>
        <v>16</v>
      </c>
      <c r="D34" s="51">
        <f>IFERROR(INDEX(report!$K$1871:$K$1884,MATCH("חופש",report!$I$1871:$I$1884,0)),0)</f>
        <v>0</v>
      </c>
      <c r="E34" s="51">
        <f>IFERROR(INDEX(report!$K$1871:$K$1884,MATCH("חופשה לחיוב",report!$I$1871:$I$1884,0)),0)</f>
        <v>1</v>
      </c>
      <c r="F34" s="51">
        <f>D34+E34</f>
        <v>1</v>
      </c>
      <c r="G34" s="51">
        <f>IFERROR(INDEX(report!$K$1871:$K$1884,MATCH("מילואים",report!$I$1871:$I$1884,0)),0)</f>
        <v>0</v>
      </c>
      <c r="H34" s="51">
        <f>IFERROR(INDEX(report!$K$1871:$K$1884,MATCH("תאונת עבודה",report!$I$1871:$I$1884,0)),0)</f>
        <v>0</v>
      </c>
      <c r="I34" s="51">
        <f>IFERROR(INDEX(report!$K$1871:$K$1884,MATCH("מחלה",report!$I$1871:$I$1884,0)),0)</f>
        <v>1</v>
      </c>
      <c r="J34" s="51">
        <f>IFERROR(INDEX(report!$K$1871:$K$1884,MATCH("מחלה לתשלום",report!$I$1871:$I$1884,0)),0)</f>
        <v>0</v>
      </c>
      <c r="K34" s="51">
        <f>IFERROR(INDEX(report!$K$1871:$K$1884,MATCH("חג",report!$I$1871:$I$1884,0)),0)</f>
        <v>3</v>
      </c>
      <c r="L34" s="51">
        <f>IFERROR(INDEX(report!$K$1871:$K$1884,MATCH("ערב חג",report!$I$1871:$I$1884,0)),0)</f>
        <v>2</v>
      </c>
      <c r="M34" s="51">
        <f>IFERROR(INDEX(report!$K$1871:$K$1884,MATCH("חול המועד",report!$I$1871:$I$1884,0)),0)</f>
        <v>0</v>
      </c>
      <c r="N34" s="57">
        <f>report!C1873</f>
        <v>21</v>
      </c>
      <c r="O34" s="51" t="s">
        <v>1602</v>
      </c>
      <c r="P34" s="71" t="s">
        <v>1534</v>
      </c>
      <c r="Q34" s="48">
        <v>115</v>
      </c>
    </row>
    <row r="35" spans="1:17" ht="15" x14ac:dyDescent="0.25">
      <c r="A35" s="97">
        <v>116</v>
      </c>
      <c r="B35" s="54" t="s">
        <v>1488</v>
      </c>
      <c r="C35" s="51">
        <f>report!C2240</f>
        <v>16</v>
      </c>
      <c r="D35" s="51">
        <f>IFERROR(INDEX(report!$K$2239:$K$2252,MATCH("חופש",report!$I$2239:$I$2252,0)),0)</f>
        <v>0</v>
      </c>
      <c r="E35" s="51">
        <f>IFERROR(INDEX(report!$K$2239:$K$2252,MATCH("חופשה לחיוב",report!$I$2239:$I$2252,0)),0)</f>
        <v>3</v>
      </c>
      <c r="F35" s="51">
        <f>D35+E35</f>
        <v>3</v>
      </c>
      <c r="G35" s="51">
        <f>IFERROR(INDEX(report!$K$2239:$K$2252,MATCH("מילואים",report!$I$2239:$I$2252,0)),0)</f>
        <v>0</v>
      </c>
      <c r="H35" s="51">
        <f>IFERROR(INDEX(report!$K$2239:$K$2252,MATCH("תאונת עבודה",report!$I$2239:$I$2252,0)),0)</f>
        <v>0</v>
      </c>
      <c r="I35" s="51">
        <f>IFERROR(INDEX(report!$K$2239:$K$2252,MATCH("מחלה",report!$I$2239:$I$2252,0)),0)</f>
        <v>0</v>
      </c>
      <c r="J35" s="51">
        <f>IFERROR(INDEX(report!$K$2239:$K$2252,MATCH("מחלה לתשלום",report!$I$2239:$I$2252,0)),0)</f>
        <v>0</v>
      </c>
      <c r="K35" s="51">
        <f>IFERROR(INDEX(report!$K$2239:$K$2252,MATCH("חג",report!$I$2239:$I$2252,0)),0)</f>
        <v>3</v>
      </c>
      <c r="L35" s="51">
        <f>IFERROR(INDEX(report!$K$2239:$K$2252,MATCH("ערב חג",report!$I$2239:$I$2252,0)),0)</f>
        <v>2</v>
      </c>
      <c r="M35" s="51">
        <f>IFERROR(INDEX(report!$K$2239:$K$2252,MATCH("חול המועד",report!$I$2239:$I$2252,0)),0)</f>
        <v>2</v>
      </c>
      <c r="N35" s="57">
        <f>report!C2241</f>
        <v>22</v>
      </c>
      <c r="O35" s="51" t="s">
        <v>1602</v>
      </c>
      <c r="P35" s="71" t="s">
        <v>1535</v>
      </c>
      <c r="Q35" s="48">
        <v>116</v>
      </c>
    </row>
    <row r="36" spans="1:17" ht="15" x14ac:dyDescent="0.25">
      <c r="A36" s="132">
        <v>117</v>
      </c>
      <c r="B36" s="133" t="s">
        <v>1036</v>
      </c>
      <c r="C36" s="134">
        <f>report!C1246</f>
        <v>12</v>
      </c>
      <c r="D36" s="134">
        <f>IFERROR(INDEX(report!$K$1245:$K$1258,MATCH("חופש",report!$I$1245:$I$1258,0)),0)</f>
        <v>1</v>
      </c>
      <c r="E36" s="134">
        <f>IFERROR(INDEX(report!$K$1245:$K$1258,MATCH("חופשה לחיוב",report!$I$1245:$I$1258,0)),0)</f>
        <v>4.5</v>
      </c>
      <c r="F36" s="134">
        <f>D36+E36</f>
        <v>5.5</v>
      </c>
      <c r="G36" s="134">
        <f>IFERROR(INDEX(report!$K$1245:$K$1258,MATCH("מילואים",report!$I$1245:$I$1258,0)),0)</f>
        <v>0</v>
      </c>
      <c r="H36" s="134">
        <f>IFERROR(INDEX(report!$K$1245:$K$1258,MATCH("תאונת עבודה",report!$I$1245:$I$1258,0)),0)</f>
        <v>0</v>
      </c>
      <c r="I36" s="134">
        <f>IFERROR(INDEX(report!$K$1245:$K$1258,MATCH("מחלה",report!$I$1245:$I$1258,0)),0)</f>
        <v>0</v>
      </c>
      <c r="J36" s="134">
        <f>IFERROR(INDEX(report!$K$1245:$K$1258,MATCH("מחלה לתשלום",report!$I$1245:$I$1258,0)),0)</f>
        <v>0</v>
      </c>
      <c r="K36" s="134">
        <f>IFERROR(INDEX(report!$K$1245:$K$1258,MATCH("חג",report!$I$1245:$I$1258,0)),0)</f>
        <v>3</v>
      </c>
      <c r="L36" s="134">
        <f>IFERROR(INDEX(report!$K$1245:$K$1258,MATCH("ערב חג",report!$I$1245:$I$1258,0)),0)</f>
        <v>3</v>
      </c>
      <c r="M36" s="134">
        <f>IFERROR(INDEX(report!$K$1245:$K$1258,MATCH("חול המועד",report!$I$1245:$I$1258,0)),0)</f>
        <v>2</v>
      </c>
      <c r="N36" s="59">
        <f>report!C1247</f>
        <v>21</v>
      </c>
      <c r="O36" s="134" t="s">
        <v>1602</v>
      </c>
      <c r="P36" s="135" t="s">
        <v>1756</v>
      </c>
      <c r="Q36" s="48">
        <v>117</v>
      </c>
    </row>
    <row r="37" spans="1:17" ht="15" x14ac:dyDescent="0.25">
      <c r="A37" s="132">
        <v>118</v>
      </c>
      <c r="B37" s="133" t="s">
        <v>182</v>
      </c>
      <c r="C37" s="134">
        <f>report!C96</f>
        <v>12</v>
      </c>
      <c r="D37" s="134">
        <f>IFERROR(INDEX(report!$K$95:$K$108,MATCH("חופש",report!$I$95:$I$108,0)),0)</f>
        <v>1</v>
      </c>
      <c r="E37" s="134">
        <f>IFERROR(INDEX(report!$K$95:$K$108,MATCH("חופשה לחיוב",report!$I$95:$I$108,0)),0)</f>
        <v>0</v>
      </c>
      <c r="F37" s="134">
        <f>D37+E37</f>
        <v>1</v>
      </c>
      <c r="G37" s="134">
        <f>IFERROR(INDEX(report!$K$95:$K$108,MATCH("מילואים",report!$I$95:$I$108,0)),0)</f>
        <v>3</v>
      </c>
      <c r="H37" s="134">
        <f>IFERROR(INDEX(report!$K$95:$K$108,MATCH("תאונת עבודה",report!$I$95:$I$108,0)),0)</f>
        <v>0</v>
      </c>
      <c r="I37" s="134">
        <f>IFERROR(INDEX(report!$K$95:$K$108,MATCH("מחלה",report!$I$95:$I$108,0)),0)</f>
        <v>0</v>
      </c>
      <c r="J37" s="134">
        <f>IFERROR(INDEX(report!$K$95:$K$108,MATCH("מחלה לתשלום",report!$I$95:$I$108,0)),0)</f>
        <v>0</v>
      </c>
      <c r="K37" s="134">
        <f>IFERROR(INDEX(report!$K$95:$K$108,MATCH("חג",report!$I$95:$I$108,0)),0)</f>
        <v>3</v>
      </c>
      <c r="L37" s="134">
        <f>IFERROR(INDEX(report!$K$95:$K$108,MATCH("ערב חג",report!$I$95:$I$108,0)),0)</f>
        <v>2</v>
      </c>
      <c r="M37" s="134">
        <f>IFERROR(INDEX(report!$K$95:$K$108,MATCH("חול המועד",report!$I$95:$I$108,0)),0)</f>
        <v>2</v>
      </c>
      <c r="N37" s="59">
        <f>report!C97</f>
        <v>20</v>
      </c>
      <c r="O37" s="134" t="s">
        <v>1602</v>
      </c>
      <c r="P37" s="135" t="s">
        <v>1753</v>
      </c>
      <c r="Q37" s="48">
        <v>118</v>
      </c>
    </row>
    <row r="38" spans="1:17" ht="15" x14ac:dyDescent="0.25">
      <c r="A38" s="97">
        <v>119</v>
      </c>
      <c r="B38" s="54" t="s">
        <v>1071</v>
      </c>
      <c r="C38" s="51">
        <f>report!C1299</f>
        <v>12</v>
      </c>
      <c r="D38" s="51">
        <f>IFERROR(INDEX(report!$K$1298:$K$1311,MATCH("חופש",report!$I$1298:$I$1311,0)),0)</f>
        <v>1</v>
      </c>
      <c r="E38" s="51">
        <f>IFERROR(INDEX(report!$K$1298:$K$1311,MATCH("חופשה לחיוב",report!$I$1298:$I$1311,0)),0)</f>
        <v>2.5</v>
      </c>
      <c r="F38" s="51">
        <f>D38+E38</f>
        <v>3.5</v>
      </c>
      <c r="G38" s="51">
        <f>IFERROR(INDEX(report!$K$1298:$K$1311,MATCH("מילואים",report!$I$1298:$I$1311,0)),0)</f>
        <v>0</v>
      </c>
      <c r="H38" s="51">
        <f>IFERROR(INDEX(report!$K$1298:$K$1311,MATCH("תאונת עבודה",report!$I$1298:$I$1311,0)),0)</f>
        <v>0</v>
      </c>
      <c r="I38" s="51">
        <f>IFERROR(INDEX(report!$K$1298:$K$1311,MATCH("מחלה",report!$I$1298:$I$1311,0)),0)</f>
        <v>0</v>
      </c>
      <c r="J38" s="51">
        <f>IFERROR(INDEX(report!$K$1298:$K$1311,MATCH("מחלה לתשלום",report!$I$1298:$I$1311,0)),0)</f>
        <v>0</v>
      </c>
      <c r="K38" s="51">
        <f>IFERROR(INDEX(report!$K$1298:$K$1311,MATCH("חג",report!$I$1298:$I$1311,0)),0)</f>
        <v>3</v>
      </c>
      <c r="L38" s="51">
        <f>IFERROR(INDEX(report!$K$1298:$K$1311,MATCH("ערב חג",report!$I$1298:$I$1311,0)),0)</f>
        <v>3</v>
      </c>
      <c r="M38" s="51">
        <f>IFERROR(INDEX(report!$K$1298:$K$1311,MATCH("חול המועד",report!$I$1298:$I$1311,0)),0)</f>
        <v>0</v>
      </c>
      <c r="N38" s="57">
        <f>report!C1300</f>
        <v>11</v>
      </c>
      <c r="O38" s="51" t="s">
        <v>1602</v>
      </c>
      <c r="P38" s="71" t="s">
        <v>1534</v>
      </c>
      <c r="Q38" s="48">
        <v>119</v>
      </c>
    </row>
    <row r="39" spans="1:17" ht="15" x14ac:dyDescent="0.25">
      <c r="A39" s="97">
        <v>121</v>
      </c>
      <c r="B39" s="65" t="s">
        <v>266</v>
      </c>
      <c r="C39" s="66">
        <f>report!C148</f>
        <v>5</v>
      </c>
      <c r="D39" s="66">
        <f>IFERROR(INDEX(report!$K$147:$K$160,MATCH("חופש",report!$I$147:$I$160,0)),0)</f>
        <v>0</v>
      </c>
      <c r="E39" s="66">
        <f>IFERROR(INDEX(report!$K$147:$K$160,MATCH("חופשה לחיוב",report!$I$147:$I$160,0)),0)</f>
        <v>3.5</v>
      </c>
      <c r="F39" s="66">
        <f>D39+E39</f>
        <v>3.5</v>
      </c>
      <c r="G39" s="66">
        <f>IFERROR(INDEX(report!$K$147:$K$160,MATCH("מילואים",report!$I$147:$I$160,0)),0)</f>
        <v>9</v>
      </c>
      <c r="H39" s="66">
        <f>IFERROR(INDEX(report!$K$147:$K$160,MATCH("תאונת עבודה",report!$I$147:$I$160,0)),0)</f>
        <v>0</v>
      </c>
      <c r="I39" s="66">
        <f>IFERROR(INDEX(report!$K$147:$K$160,MATCH("מחלה",report!$I$147:$I$160,0)),0)</f>
        <v>0</v>
      </c>
      <c r="J39" s="66">
        <f>IFERROR(INDEX(report!$K$147:$K$160,MATCH("מחלה לתשלום",report!$I$147:$I$160,0)),0)</f>
        <v>0</v>
      </c>
      <c r="K39" s="66">
        <f>IFERROR(INDEX(report!$K$147:$K$160,MATCH("חג",report!$I$147:$I$160,0)),0)</f>
        <v>3</v>
      </c>
      <c r="L39" s="66">
        <f>IFERROR(INDEX(report!$K$147:$K$160,MATCH("ערב חג",report!$I$147:$I$160,0)),0)</f>
        <v>3</v>
      </c>
      <c r="M39" s="66">
        <f>IFERROR(INDEX(report!$K$147:$K$160,MATCH("חול המועד",report!$I$147:$I$160,0)),0)</f>
        <v>2</v>
      </c>
      <c r="N39" s="57">
        <f>report!C149</f>
        <v>22</v>
      </c>
      <c r="O39" s="67" t="s">
        <v>1602</v>
      </c>
      <c r="P39" s="72" t="s">
        <v>1534</v>
      </c>
      <c r="Q39" s="48">
        <v>121</v>
      </c>
    </row>
    <row r="40" spans="1:17" ht="15" x14ac:dyDescent="0.25">
      <c r="A40" s="97">
        <v>122</v>
      </c>
      <c r="B40" s="54" t="s">
        <v>833</v>
      </c>
      <c r="C40" s="51">
        <f>report!C879</f>
        <v>8</v>
      </c>
      <c r="D40" s="51">
        <f>IFERROR(INDEX(report!$K$878:$K$891,MATCH("חופש",report!$I$878:$I$891,0)),0)</f>
        <v>0</v>
      </c>
      <c r="E40" s="51">
        <f>IFERROR(INDEX(report!$K$878:$K$891,MATCH("חופשה לחיוב",report!$I$878:$I$891,0)),0)</f>
        <v>3.5</v>
      </c>
      <c r="F40" s="51">
        <f>D40+E40</f>
        <v>3.5</v>
      </c>
      <c r="G40" s="51">
        <f>IFERROR(INDEX(report!$K$878:$K$891,MATCH("מילואים",report!$I$878:$I$891,0)),0)</f>
        <v>0</v>
      </c>
      <c r="H40" s="51">
        <f>IFERROR(INDEX(report!$K$878:$K$891,MATCH("תאונת עבודה",report!$I$878:$I$891,0)),0)</f>
        <v>0</v>
      </c>
      <c r="I40" s="51">
        <f>IFERROR(INDEX(report!$K$878:$K$891,MATCH("מחלה",report!$I$878:$I$891,0)),0)</f>
        <v>0</v>
      </c>
      <c r="J40" s="51">
        <f>IFERROR(INDEX(report!$K$878:$K$891,MATCH("מחלה לתשלום",report!$I$878:$I$891,0)),0)</f>
        <v>0</v>
      </c>
      <c r="K40" s="51">
        <f>IFERROR(INDEX(report!$K$878:$K$891,MATCH("חג",report!$I$878:$I$891,0)),0)</f>
        <v>3</v>
      </c>
      <c r="L40" s="51">
        <f>IFERROR(INDEX(report!$K$878:$K$891,MATCH("ערב חג",report!$I$878:$I$891,0)),0)</f>
        <v>3</v>
      </c>
      <c r="M40" s="51">
        <f>IFERROR(INDEX(report!$K$878:$K$891,MATCH("חול המועד",report!$I$878:$I$891,0)),0)</f>
        <v>2</v>
      </c>
      <c r="N40" s="57">
        <f>report!C880</f>
        <v>22</v>
      </c>
      <c r="O40" s="51" t="s">
        <v>1602</v>
      </c>
      <c r="P40" s="71" t="s">
        <v>1534</v>
      </c>
      <c r="Q40" s="48">
        <v>122</v>
      </c>
    </row>
    <row r="41" spans="1:17" ht="15" x14ac:dyDescent="0.25">
      <c r="A41" s="132">
        <v>123</v>
      </c>
      <c r="B41" s="133" t="s">
        <v>1300</v>
      </c>
      <c r="C41" s="134">
        <f>report!C1768</f>
        <v>13</v>
      </c>
      <c r="D41" s="134">
        <f>IFERROR(INDEX(report!$K$1767:$K$1780,MATCH("חופש",report!$I$1767:$I$1780,0)),0)</f>
        <v>0</v>
      </c>
      <c r="E41" s="134">
        <f>IFERROR(INDEX(report!$K$1767:$K$1780,MATCH("חופשה לחיוב",report!$I$1767:$I$1780,0)),0)</f>
        <v>3</v>
      </c>
      <c r="F41" s="134">
        <f>D41+E41</f>
        <v>3</v>
      </c>
      <c r="G41" s="134">
        <f>IFERROR(INDEX(report!$K$1767:$K$1780,MATCH("מילואים",report!$I$1767:$I$1780,0)),0)</f>
        <v>0</v>
      </c>
      <c r="H41" s="134">
        <f>IFERROR(INDEX(report!$K$1767:$K$1780,MATCH("תאונת עבודה",report!$I$1767:$I$1780,0)),0)</f>
        <v>0</v>
      </c>
      <c r="I41" s="134">
        <f>IFERROR(INDEX(report!$K$1767:$K$1780,MATCH("מחלה",report!$I$1767:$I$1780,0)),0)</f>
        <v>0</v>
      </c>
      <c r="J41" s="134">
        <f>IFERROR(INDEX(report!$K$1767:$K$1780,MATCH("מחלה לתשלום",report!$I$1767:$I$1780,0)),0)</f>
        <v>0</v>
      </c>
      <c r="K41" s="134">
        <f>IFERROR(INDEX(report!$K$1767:$K$1780,MATCH("חג",report!$I$1767:$I$1780,0)),0)</f>
        <v>3</v>
      </c>
      <c r="L41" s="134">
        <f>IFERROR(INDEX(report!$K$1767:$K$1780,MATCH("ערב חג",report!$I$1767:$I$1780,0)),0)</f>
        <v>2</v>
      </c>
      <c r="M41" s="134">
        <f>IFERROR(INDEX(report!$K$1767:$K$1780,MATCH("חול המועד",report!$I$1767:$I$1780,0)),0)</f>
        <v>2</v>
      </c>
      <c r="N41" s="59">
        <f>report!C1769</f>
        <v>20</v>
      </c>
      <c r="O41" s="134" t="s">
        <v>1602</v>
      </c>
      <c r="P41" s="135" t="s">
        <v>1757</v>
      </c>
      <c r="Q41" s="48">
        <v>123</v>
      </c>
    </row>
    <row r="42" spans="1:17" ht="15" x14ac:dyDescent="0.25">
      <c r="A42" s="97">
        <v>124</v>
      </c>
      <c r="B42" s="54" t="s">
        <v>1177</v>
      </c>
      <c r="C42" s="51">
        <f>report!C1456</f>
        <v>8</v>
      </c>
      <c r="D42" s="51">
        <f>IFERROR(INDEX(report!$K$1455:$K$1468,MATCH("חופש",report!$I$1455:$I$1468,0)),0)</f>
        <v>1</v>
      </c>
      <c r="E42" s="51">
        <f>IFERROR(INDEX(report!$K$1455:$K$1468,MATCH("חופשה לחיוב",report!$I$1455:$I$1468,0)),0)</f>
        <v>2.5</v>
      </c>
      <c r="F42" s="51">
        <f>D42+E42</f>
        <v>3.5</v>
      </c>
      <c r="G42" s="51">
        <f>IFERROR(INDEX(report!$K$1455:$K$1468,MATCH("מילואים",report!$I$1455:$I$1468,0)),0)</f>
        <v>12</v>
      </c>
      <c r="H42" s="51">
        <f>IFERROR(INDEX(report!$K$1455:$K$1468,MATCH("תאונת עבודה",report!$I$1455:$I$1468,0)),0)</f>
        <v>0</v>
      </c>
      <c r="I42" s="51">
        <f>IFERROR(INDEX(report!$K$1455:$K$1468,MATCH("מחלה",report!$I$1455:$I$1468,0)),0)</f>
        <v>0</v>
      </c>
      <c r="J42" s="51">
        <f>IFERROR(INDEX(report!$K$1455:$K$1468,MATCH("מחלה לתשלום",report!$I$1455:$I$1468,0)),0)</f>
        <v>0</v>
      </c>
      <c r="K42" s="51">
        <f>IFERROR(INDEX(report!$K$1455:$K$1468,MATCH("חג",report!$I$1455:$I$1468,0)),0)</f>
        <v>3</v>
      </c>
      <c r="L42" s="51">
        <f>IFERROR(INDEX(report!$K$1455:$K$1468,MATCH("ערב חג",report!$I$1455:$I$1468,0)),0)</f>
        <v>3</v>
      </c>
      <c r="M42" s="51">
        <f>IFERROR(INDEX(report!$K$1455:$K$1468,MATCH("חול המועד",report!$I$1455:$I$1468,0)),0)</f>
        <v>2</v>
      </c>
      <c r="N42" s="57">
        <f>report!C1457</f>
        <v>22</v>
      </c>
      <c r="O42" s="51" t="s">
        <v>1602</v>
      </c>
      <c r="P42" s="71" t="s">
        <v>1534</v>
      </c>
      <c r="Q42" s="48">
        <v>124</v>
      </c>
    </row>
    <row r="43" spans="1:17" ht="15" x14ac:dyDescent="0.25">
      <c r="A43" s="97">
        <v>125</v>
      </c>
      <c r="B43" s="54" t="s">
        <v>1021</v>
      </c>
      <c r="C43" s="51">
        <f>report!C1194</f>
        <v>8</v>
      </c>
      <c r="D43" s="51">
        <f>IFERROR(INDEX(report!$K$1193:$K$1206,MATCH("חופש",report!$I$1193:$I$1206,0)),0)</f>
        <v>0</v>
      </c>
      <c r="E43" s="51">
        <f>IFERROR(INDEX(report!$K$1193:$K$1206,MATCH("חופשה לחיוב",report!$I$1193:$I$1206,0)),0)</f>
        <v>0</v>
      </c>
      <c r="F43" s="51">
        <f>D43+E43</f>
        <v>0</v>
      </c>
      <c r="G43" s="51">
        <f>IFERROR(INDEX(report!$K$1193:$K$1206,MATCH("מילואים",report!$I$1193:$I$1206,0)),0)</f>
        <v>28</v>
      </c>
      <c r="H43" s="51">
        <f>IFERROR(INDEX(report!$K$1193:$K$1206,MATCH("תאונת עבודה",report!$I$1193:$I$1206,0)),0)</f>
        <v>0</v>
      </c>
      <c r="I43" s="51">
        <f>IFERROR(INDEX(report!$K$1193:$K$1206,MATCH("מחלה",report!$I$1193:$I$1206,0)),0)</f>
        <v>0</v>
      </c>
      <c r="J43" s="51">
        <f>IFERROR(INDEX(report!$K$1193:$K$1206,MATCH("מחלה לתשלום",report!$I$1193:$I$1206,0)),0)</f>
        <v>0</v>
      </c>
      <c r="K43" s="51">
        <f>IFERROR(INDEX(report!$K$1193:$K$1206,MATCH("חג",report!$I$1193:$I$1206,0)),0)</f>
        <v>0</v>
      </c>
      <c r="L43" s="51">
        <f>IFERROR(INDEX(report!$K$1193:$K$1206,MATCH("ערב חג",report!$I$1193:$I$1206,0)),0)</f>
        <v>0</v>
      </c>
      <c r="M43" s="51">
        <f>IFERROR(INDEX(report!$K$1193:$K$1206,MATCH("חול המועד",report!$I$1193:$I$1206,0)),0)</f>
        <v>0</v>
      </c>
      <c r="N43" s="57">
        <f>report!C1195</f>
        <v>22</v>
      </c>
      <c r="O43" s="51" t="s">
        <v>1602</v>
      </c>
      <c r="P43" s="71" t="s">
        <v>1534</v>
      </c>
      <c r="Q43" s="48">
        <v>125</v>
      </c>
    </row>
    <row r="44" spans="1:17" ht="15" x14ac:dyDescent="0.25">
      <c r="A44" s="97">
        <v>126</v>
      </c>
      <c r="B44" s="54" t="s">
        <v>1517</v>
      </c>
      <c r="C44" s="51">
        <f>report!C2292</f>
        <v>9</v>
      </c>
      <c r="D44" s="51">
        <f>IFERROR(INDEX(report!$K$2291:$K$2304,MATCH("חופש",report!$I$2291:$I$2304,0)),0)</f>
        <v>0</v>
      </c>
      <c r="E44" s="51">
        <f>IFERROR(INDEX(report!$K$2291:$K$2304,MATCH("חופשה לחיוב",report!$I$2291:$I$2304,0)),0)</f>
        <v>3</v>
      </c>
      <c r="F44" s="51">
        <f>D44+E44</f>
        <v>3</v>
      </c>
      <c r="G44" s="51">
        <f>IFERROR(INDEX(report!$K$2291:$K$2304,MATCH("מילואים",report!$I$2291:$I$2304,0)),0)</f>
        <v>0</v>
      </c>
      <c r="H44" s="51">
        <f>IFERROR(INDEX(report!$K$2291:$K$2304,MATCH("תאונת עבודה",report!$I$2291:$I$2304,0)),0)</f>
        <v>0</v>
      </c>
      <c r="I44" s="51">
        <f>IFERROR(INDEX(report!$K$2291:$K$2304,MATCH("מחלה",report!$I$2291:$I$2304,0)),0)</f>
        <v>0</v>
      </c>
      <c r="J44" s="51">
        <f>IFERROR(INDEX(report!$K$2291:$K$2304,MATCH("מחלה לתשלום",report!$I$2291:$I$2304,0)),0)</f>
        <v>0</v>
      </c>
      <c r="K44" s="51">
        <f>IFERROR(INDEX(report!$K$2291:$K$2304,MATCH("חג",report!$I$2291:$I$2304,0)),0)</f>
        <v>0</v>
      </c>
      <c r="L44" s="51">
        <f>IFERROR(INDEX(report!$K$2291:$K$2304,MATCH("ערב חג",report!$I$2291:$I$2304,0)),0)</f>
        <v>0</v>
      </c>
      <c r="M44" s="51">
        <f>IFERROR(INDEX(report!$K$2291:$K$2304,MATCH("חול המועד",report!$I$2291:$I$2304,0)),0)</f>
        <v>0</v>
      </c>
      <c r="N44" s="59">
        <f>report!C2293</f>
        <v>10</v>
      </c>
      <c r="O44" s="51" t="s">
        <v>1602</v>
      </c>
      <c r="P44" s="72" t="s">
        <v>1751</v>
      </c>
      <c r="Q44" s="48">
        <v>126</v>
      </c>
    </row>
    <row r="45" spans="1:17" ht="15" x14ac:dyDescent="0.25">
      <c r="A45" s="97">
        <v>127</v>
      </c>
      <c r="B45" s="65" t="s">
        <v>816</v>
      </c>
      <c r="C45" s="66">
        <f>report!C827</f>
        <v>4</v>
      </c>
      <c r="D45" s="66">
        <f>IFERROR(INDEX(report!$K$826:$K$839,MATCH("חופש",report!$I$826:$I$839,0)),0)</f>
        <v>0</v>
      </c>
      <c r="E45" s="66">
        <f>IFERROR(INDEX(report!$K$826:$K$839,MATCH("חופשה לחיוב",report!$I$826:$I$839,0)),0)</f>
        <v>3.5</v>
      </c>
      <c r="F45" s="66">
        <f>D45+E45</f>
        <v>3.5</v>
      </c>
      <c r="G45" s="66">
        <f>IFERROR(INDEX(report!$K$826:$K$839,MATCH("מילואים",report!$I$826:$I$839,0)),0)</f>
        <v>0</v>
      </c>
      <c r="H45" s="66">
        <f>IFERROR(INDEX(report!$K$826:$K$839,MATCH("תאונת עבודה",report!$I$826:$I$839,0)),0)</f>
        <v>0</v>
      </c>
      <c r="I45" s="66">
        <f>IFERROR(INDEX(report!$K$826:$K$839,MATCH("מחלה",report!$I$826:$I$839,0)),0)</f>
        <v>0</v>
      </c>
      <c r="J45" s="66">
        <f>IFERROR(INDEX(report!$K$826:$K$839,MATCH("מחלה לתשלום",report!$I$826:$I$839,0)),0)</f>
        <v>0</v>
      </c>
      <c r="K45" s="66">
        <f>IFERROR(INDEX(report!$K$826:$K$839,MATCH("חג",report!$I$826:$I$839,0)),0)</f>
        <v>0</v>
      </c>
      <c r="L45" s="66">
        <f>IFERROR(INDEX(report!$K$826:$K$839,MATCH("ערב חג",report!$I$826:$I$839,0)),0)</f>
        <v>0</v>
      </c>
      <c r="M45" s="66">
        <f>IFERROR(INDEX(report!$K$826:$K$839,MATCH("חול המועד",report!$I$826:$I$839,0)),0)</f>
        <v>0</v>
      </c>
      <c r="N45" s="59">
        <f>report!C828</f>
        <v>4</v>
      </c>
      <c r="O45" s="67" t="s">
        <v>1602</v>
      </c>
      <c r="P45" s="72" t="s">
        <v>1750</v>
      </c>
      <c r="Q45" s="91" t="s">
        <v>1710</v>
      </c>
    </row>
    <row r="46" spans="1:17" ht="15" x14ac:dyDescent="0.25">
      <c r="A46" s="97" t="s">
        <v>1710</v>
      </c>
      <c r="B46" s="54" t="s">
        <v>901</v>
      </c>
      <c r="C46" s="51">
        <f>report!C1037</f>
        <v>11</v>
      </c>
      <c r="D46" s="51">
        <f>IFERROR(INDEX(report!$K$1036:$K$1049,MATCH("חופש",report!$I$1036:$I$1049,0)),0)</f>
        <v>0</v>
      </c>
      <c r="E46" s="51">
        <f>IFERROR(INDEX(report!$K$1036:$K$1049,MATCH("חופשה לחיוב",report!$I$1036:$I$1049,0)),0)</f>
        <v>1</v>
      </c>
      <c r="F46" s="51">
        <f>D46+E46</f>
        <v>1</v>
      </c>
      <c r="G46" s="51">
        <f>IFERROR(INDEX(report!$K$1036:$K$1049,MATCH("מילואים",report!$I$1036:$I$1049,0)),0)</f>
        <v>0</v>
      </c>
      <c r="H46" s="51">
        <f>IFERROR(INDEX(report!$K$1036:$K$1049,MATCH("תאונת עבודה",report!$I$1036:$I$1049,0)),0)</f>
        <v>0</v>
      </c>
      <c r="I46" s="51">
        <f>IFERROR(INDEX(report!$K$1036:$K$1049,MATCH("מחלה",report!$I$1036:$I$1049,0)),0)</f>
        <v>0</v>
      </c>
      <c r="J46" s="51">
        <f>IFERROR(INDEX(report!$K$1036:$K$1049,MATCH("מחלה לתשלום",report!$I$1036:$I$1049,0)),0)</f>
        <v>0</v>
      </c>
      <c r="K46" s="51">
        <f>IFERROR(INDEX(report!$K$1036:$K$1049,MATCH("חג",report!$I$1036:$I$1049,0)),0)</f>
        <v>3</v>
      </c>
      <c r="L46" s="51">
        <f>IFERROR(INDEX(report!$K$1036:$K$1049,MATCH("ערב חג",report!$I$1036:$I$1049,0)),0)</f>
        <v>2</v>
      </c>
      <c r="M46" s="51">
        <f>IFERROR(INDEX(report!$K$1036:$K$1049,MATCH("חול המועד",report!$I$1036:$I$1049,0)),0)</f>
        <v>2</v>
      </c>
      <c r="N46" s="57">
        <f>report!C1038</f>
        <v>22</v>
      </c>
      <c r="O46" s="51" t="s">
        <v>1602</v>
      </c>
      <c r="P46" s="71" t="s">
        <v>1534</v>
      </c>
      <c r="Q46" s="91" t="s">
        <v>1710</v>
      </c>
    </row>
    <row r="47" spans="1:17" ht="15.75" thickBot="1" x14ac:dyDescent="0.3">
      <c r="A47" s="97" t="s">
        <v>1710</v>
      </c>
      <c r="B47" s="55" t="s">
        <v>509</v>
      </c>
      <c r="C47" s="52">
        <f>report!C410</f>
        <v>5</v>
      </c>
      <c r="D47" s="52">
        <f>IFERROR(INDEX(report!$K$409:$K$422,MATCH("חופש",report!$I$409:$I$422,0)),0)</f>
        <v>0</v>
      </c>
      <c r="E47" s="52">
        <f>IFERROR(INDEX(report!$K$409:$K$422,MATCH("חופשה לחיוב",report!$I$409:$I$422,0)),0)</f>
        <v>3.5</v>
      </c>
      <c r="F47" s="52">
        <f>D47+E47</f>
        <v>3.5</v>
      </c>
      <c r="G47" s="52">
        <f>IFERROR(INDEX(report!$K$409:$K$422,MATCH("מילואים",report!$I$409:$I$422,0)),0)</f>
        <v>0</v>
      </c>
      <c r="H47" s="52">
        <f>IFERROR(INDEX(report!$K$409:$K$422,MATCH("תאונת עבודה",report!$I$409:$I$422,0)),0)</f>
        <v>0</v>
      </c>
      <c r="I47" s="52">
        <f>IFERROR(INDEX(report!$K$409:$K$422,MATCH("מחלה",report!$I$409:$I$422,0)),0)</f>
        <v>0</v>
      </c>
      <c r="J47" s="52">
        <f>IFERROR(INDEX(report!$K$409:$K$422,MATCH("מחלה לתשלום",report!$I$409:$I$422,0)),0)</f>
        <v>0</v>
      </c>
      <c r="K47" s="52">
        <f>IFERROR(INDEX(report!$K$409:$K$422,MATCH("חג",report!$I$409:$I$422,0)),0)</f>
        <v>3</v>
      </c>
      <c r="L47" s="52">
        <f>IFERROR(INDEX(report!$K$409:$K$422,MATCH("ערב חג",report!$I$409:$I$422,0)),0)</f>
        <v>3</v>
      </c>
      <c r="M47" s="52">
        <f>IFERROR(INDEX(report!$K$409:$K$422,MATCH("חול המועד",report!$I$409:$I$422,0)),0)</f>
        <v>2</v>
      </c>
      <c r="N47" s="58">
        <f>report!C411</f>
        <v>22</v>
      </c>
      <c r="O47" s="52" t="s">
        <v>1602</v>
      </c>
      <c r="P47" s="71" t="s">
        <v>1534</v>
      </c>
      <c r="Q47" s="91" t="s">
        <v>1710</v>
      </c>
    </row>
    <row r="48" spans="1:17" ht="15.75" thickTop="1" x14ac:dyDescent="0.25">
      <c r="B48" s="62" t="s">
        <v>1555</v>
      </c>
      <c r="C48" s="63">
        <f>SUM(C4:C47)</f>
        <v>492</v>
      </c>
      <c r="D48" s="63">
        <f>SUM(D4:D47)</f>
        <v>23</v>
      </c>
      <c r="E48" s="63">
        <f>SUM(E4:E47)</f>
        <v>94</v>
      </c>
      <c r="F48" s="63">
        <f>SUM(F4:F47)</f>
        <v>117</v>
      </c>
      <c r="G48" s="63">
        <f>SUM(G4:G47)</f>
        <v>222</v>
      </c>
      <c r="H48" s="63">
        <f>SUM(H4:H47)</f>
        <v>22</v>
      </c>
      <c r="I48" s="63">
        <f>SUM(I4:I47)</f>
        <v>11</v>
      </c>
      <c r="J48" s="63">
        <f>SUM(J4:J47)</f>
        <v>0</v>
      </c>
      <c r="K48" s="63">
        <f>SUM(K4:K47)</f>
        <v>112</v>
      </c>
      <c r="L48" s="63">
        <f>SUM(L4:L47)</f>
        <v>73</v>
      </c>
      <c r="M48" s="63">
        <f>SUM(M4:M47)</f>
        <v>50</v>
      </c>
      <c r="N48" s="63">
        <f>SUM(N4:N47)</f>
        <v>895.5</v>
      </c>
      <c r="O48" s="63"/>
      <c r="P48" s="61"/>
    </row>
    <row r="50" spans="2:2" ht="15.75" x14ac:dyDescent="0.25">
      <c r="B50" s="64" t="s">
        <v>1603</v>
      </c>
    </row>
    <row r="51" spans="2:2" x14ac:dyDescent="0.2">
      <c r="B51" t="s">
        <v>1604</v>
      </c>
    </row>
    <row r="52" spans="2:2" x14ac:dyDescent="0.2">
      <c r="B52" t="s">
        <v>1605</v>
      </c>
    </row>
    <row r="53" spans="2:2" x14ac:dyDescent="0.2">
      <c r="B53" t="s">
        <v>1606</v>
      </c>
    </row>
    <row r="54" spans="2:2" x14ac:dyDescent="0.2">
      <c r="B54" t="s">
        <v>1607</v>
      </c>
    </row>
    <row r="55" spans="2:2" x14ac:dyDescent="0.2">
      <c r="B55" t="s">
        <v>1608</v>
      </c>
    </row>
    <row r="56" spans="2:2" ht="15" x14ac:dyDescent="0.25">
      <c r="B56" s="68" t="s">
        <v>1609</v>
      </c>
    </row>
  </sheetData>
  <mergeCells count="1">
    <mergeCell ref="B1:P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3DC22-4DC3-4625-A1D3-89A04F961042}">
  <sheetPr>
    <tabColor rgb="FF1F4E78"/>
  </sheetPr>
  <dimension ref="A1:N49"/>
  <sheetViews>
    <sheetView rightToLeft="1" workbookViewId="0">
      <pane ySplit="3" topLeftCell="A4" activePane="bottomLeft" state="frozen"/>
      <selection pane="bottomLeft" activeCell="D5" sqref="D5"/>
    </sheetView>
  </sheetViews>
  <sheetFormatPr defaultRowHeight="14.25" x14ac:dyDescent="0.2"/>
  <cols>
    <col min="1" max="1" width="11.625" customWidth="1"/>
    <col min="2" max="2" width="21.625" customWidth="1"/>
    <col min="3" max="7" width="12.5" customWidth="1"/>
    <col min="8" max="8" width="18.375" customWidth="1"/>
    <col min="9" max="11" width="13.375" customWidth="1"/>
    <col min="12" max="12" width="21.625" customWidth="1"/>
    <col min="13" max="13" width="15" customWidth="1"/>
    <col min="14" max="14" width="12.5" customWidth="1"/>
  </cols>
  <sheetData>
    <row r="1" spans="1:14" ht="18" x14ac:dyDescent="0.25">
      <c r="A1" s="98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73"/>
    </row>
    <row r="3" spans="1:14" ht="30" x14ac:dyDescent="0.25">
      <c r="A3" s="46" t="s">
        <v>1709</v>
      </c>
      <c r="B3" s="75" t="s">
        <v>1532</v>
      </c>
      <c r="C3" s="75" t="s">
        <v>175</v>
      </c>
      <c r="D3" s="75" t="s">
        <v>1531</v>
      </c>
      <c r="E3" s="75" t="s">
        <v>1593</v>
      </c>
      <c r="F3" s="75" t="s">
        <v>1533</v>
      </c>
      <c r="G3" s="75" t="s">
        <v>1610</v>
      </c>
      <c r="H3" s="75" t="s">
        <v>1611</v>
      </c>
      <c r="I3" s="75" t="s">
        <v>1612</v>
      </c>
      <c r="J3" s="75" t="s">
        <v>1613</v>
      </c>
      <c r="K3" s="75" t="s">
        <v>1614</v>
      </c>
      <c r="L3" s="74" t="s">
        <v>1615</v>
      </c>
      <c r="M3" s="74" t="s">
        <v>1617</v>
      </c>
      <c r="N3" s="75" t="s">
        <v>1709</v>
      </c>
    </row>
    <row r="4" spans="1:14" ht="15" x14ac:dyDescent="0.25">
      <c r="A4" s="132">
        <v>7</v>
      </c>
      <c r="B4" s="136" t="s">
        <v>530</v>
      </c>
      <c r="C4" s="137">
        <v>12</v>
      </c>
      <c r="D4" s="105">
        <v>21</v>
      </c>
      <c r="E4" s="137">
        <v>4.5</v>
      </c>
      <c r="F4" s="137">
        <v>0</v>
      </c>
      <c r="G4" s="140">
        <v>0</v>
      </c>
      <c r="H4" s="138">
        <v>115.4</v>
      </c>
      <c r="I4" s="138">
        <v>100.05</v>
      </c>
      <c r="J4" s="138">
        <v>13.53</v>
      </c>
      <c r="K4" s="138">
        <v>1.81</v>
      </c>
      <c r="L4" s="141">
        <v>0</v>
      </c>
      <c r="M4" s="92">
        <v>0.01</v>
      </c>
      <c r="N4" s="94">
        <v>7</v>
      </c>
    </row>
    <row r="5" spans="1:14" ht="15" x14ac:dyDescent="0.25">
      <c r="A5" s="97">
        <v>8</v>
      </c>
      <c r="B5" s="76" t="s">
        <v>447</v>
      </c>
      <c r="C5" s="100">
        <v>12</v>
      </c>
      <c r="D5" s="100">
        <v>22</v>
      </c>
      <c r="E5" s="77">
        <v>5.5</v>
      </c>
      <c r="F5" s="77">
        <v>0</v>
      </c>
      <c r="G5" s="79">
        <v>0</v>
      </c>
      <c r="H5" s="99">
        <v>117.65</v>
      </c>
      <c r="I5" s="78">
        <v>100.58</v>
      </c>
      <c r="J5" s="78">
        <v>16.68</v>
      </c>
      <c r="K5" s="78">
        <v>0.38</v>
      </c>
      <c r="L5" s="88">
        <v>0</v>
      </c>
      <c r="M5" s="92">
        <v>0.01</v>
      </c>
      <c r="N5" s="94">
        <v>8</v>
      </c>
    </row>
    <row r="6" spans="1:14" ht="15" x14ac:dyDescent="0.25">
      <c r="A6" s="132">
        <v>11</v>
      </c>
      <c r="B6" s="136" t="s">
        <v>576</v>
      </c>
      <c r="C6" s="137">
        <v>12</v>
      </c>
      <c r="D6" s="105">
        <v>20</v>
      </c>
      <c r="E6" s="137">
        <v>2.5</v>
      </c>
      <c r="F6" s="137">
        <v>0</v>
      </c>
      <c r="G6" s="137">
        <v>0</v>
      </c>
      <c r="H6" s="138">
        <v>76.98</v>
      </c>
      <c r="I6" s="138">
        <v>76.98</v>
      </c>
      <c r="J6" s="138">
        <v>0</v>
      </c>
      <c r="K6" s="138">
        <v>0</v>
      </c>
      <c r="L6" s="139">
        <v>0</v>
      </c>
      <c r="M6" s="92">
        <v>0</v>
      </c>
      <c r="N6" s="94">
        <v>11</v>
      </c>
    </row>
    <row r="7" spans="1:14" ht="15" x14ac:dyDescent="0.25">
      <c r="A7" s="97">
        <v>22</v>
      </c>
      <c r="B7" s="76" t="s">
        <v>298</v>
      </c>
      <c r="C7" s="100">
        <v>14</v>
      </c>
      <c r="D7" s="100">
        <v>22</v>
      </c>
      <c r="E7" s="77">
        <v>3.5</v>
      </c>
      <c r="F7" s="77">
        <v>0</v>
      </c>
      <c r="G7" s="77">
        <v>0</v>
      </c>
      <c r="H7" s="99">
        <v>129.65</v>
      </c>
      <c r="I7" s="78">
        <v>115.7</v>
      </c>
      <c r="J7" s="78">
        <v>13.5</v>
      </c>
      <c r="K7" s="78">
        <v>0.45</v>
      </c>
      <c r="L7" s="88">
        <v>0</v>
      </c>
      <c r="M7" s="92">
        <v>0</v>
      </c>
      <c r="N7" s="94">
        <v>22</v>
      </c>
    </row>
    <row r="8" spans="1:14" ht="15" x14ac:dyDescent="0.25">
      <c r="A8" s="97">
        <v>54</v>
      </c>
      <c r="B8" s="76" t="s">
        <v>984</v>
      </c>
      <c r="C8" s="100">
        <v>10</v>
      </c>
      <c r="D8" s="100">
        <v>20</v>
      </c>
      <c r="E8" s="77">
        <v>0</v>
      </c>
      <c r="F8" s="77">
        <v>4</v>
      </c>
      <c r="G8" s="77">
        <v>0</v>
      </c>
      <c r="H8" s="99">
        <v>69.86</v>
      </c>
      <c r="I8" s="78">
        <v>67.13</v>
      </c>
      <c r="J8" s="78">
        <v>2.38</v>
      </c>
      <c r="K8" s="78">
        <v>0.35</v>
      </c>
      <c r="L8" s="88">
        <v>0</v>
      </c>
      <c r="M8" s="92">
        <v>0</v>
      </c>
      <c r="N8" s="94">
        <v>54</v>
      </c>
    </row>
    <row r="9" spans="1:14" ht="15" x14ac:dyDescent="0.25">
      <c r="A9" s="97">
        <v>60</v>
      </c>
      <c r="B9" s="76" t="s">
        <v>1236</v>
      </c>
      <c r="C9" s="100">
        <v>15</v>
      </c>
      <c r="D9" s="100">
        <v>22</v>
      </c>
      <c r="E9" s="77">
        <v>3</v>
      </c>
      <c r="F9" s="77">
        <v>0</v>
      </c>
      <c r="G9" s="77">
        <v>0</v>
      </c>
      <c r="H9" s="99">
        <v>135.11000000000001</v>
      </c>
      <c r="I9" s="78">
        <v>125</v>
      </c>
      <c r="J9" s="78">
        <v>10.11</v>
      </c>
      <c r="K9" s="78">
        <v>0</v>
      </c>
      <c r="L9" s="88">
        <v>0</v>
      </c>
      <c r="M9" s="92">
        <v>0</v>
      </c>
      <c r="N9" s="94">
        <v>60</v>
      </c>
    </row>
    <row r="10" spans="1:14" ht="15" x14ac:dyDescent="0.25">
      <c r="A10" s="97">
        <v>62</v>
      </c>
      <c r="B10" s="76" t="s">
        <v>1360</v>
      </c>
      <c r="C10" s="100">
        <v>3</v>
      </c>
      <c r="D10" s="100">
        <v>22</v>
      </c>
      <c r="E10" s="77">
        <v>5</v>
      </c>
      <c r="F10" s="77">
        <v>0</v>
      </c>
      <c r="G10" s="77">
        <v>15</v>
      </c>
      <c r="H10" s="99">
        <v>25.75</v>
      </c>
      <c r="I10" s="78">
        <v>24.2</v>
      </c>
      <c r="J10" s="78">
        <v>1.55</v>
      </c>
      <c r="K10" s="78">
        <v>0</v>
      </c>
      <c r="L10" s="88">
        <v>8.4</v>
      </c>
      <c r="M10" s="92">
        <v>0</v>
      </c>
      <c r="N10" s="94">
        <v>62</v>
      </c>
    </row>
    <row r="11" spans="1:14" ht="15" x14ac:dyDescent="0.25">
      <c r="A11" s="97">
        <v>64</v>
      </c>
      <c r="B11" s="76" t="s">
        <v>1467</v>
      </c>
      <c r="C11" s="100">
        <v>12</v>
      </c>
      <c r="D11" s="100">
        <v>21.5</v>
      </c>
      <c r="E11" s="77">
        <v>0</v>
      </c>
      <c r="F11" s="77">
        <v>2</v>
      </c>
      <c r="G11" s="79">
        <v>1</v>
      </c>
      <c r="H11" s="99">
        <v>104.36</v>
      </c>
      <c r="I11" s="78">
        <v>99.8</v>
      </c>
      <c r="J11" s="78">
        <v>4.5599999999999996</v>
      </c>
      <c r="K11" s="78">
        <v>0</v>
      </c>
      <c r="L11" s="88">
        <v>0</v>
      </c>
      <c r="M11" s="92">
        <v>0</v>
      </c>
      <c r="N11" s="94">
        <v>64</v>
      </c>
    </row>
    <row r="12" spans="1:14" ht="15" x14ac:dyDescent="0.25">
      <c r="A12" s="97">
        <v>65</v>
      </c>
      <c r="B12" s="76" t="s">
        <v>751</v>
      </c>
      <c r="C12" s="100">
        <v>18</v>
      </c>
      <c r="D12" s="100">
        <v>22</v>
      </c>
      <c r="E12" s="77">
        <v>0.5</v>
      </c>
      <c r="F12" s="77">
        <v>0</v>
      </c>
      <c r="G12" s="77">
        <v>0</v>
      </c>
      <c r="H12" s="99">
        <v>181.98</v>
      </c>
      <c r="I12" s="78">
        <v>144.46</v>
      </c>
      <c r="J12" s="78">
        <v>27.83</v>
      </c>
      <c r="K12" s="78">
        <v>9.68</v>
      </c>
      <c r="L12" s="88">
        <v>0</v>
      </c>
      <c r="M12" s="92">
        <v>0.01</v>
      </c>
      <c r="N12" s="94">
        <v>65</v>
      </c>
    </row>
    <row r="13" spans="1:14" ht="15" x14ac:dyDescent="0.25">
      <c r="A13" s="97">
        <v>66</v>
      </c>
      <c r="B13" s="76" t="s">
        <v>1366</v>
      </c>
      <c r="C13" s="100">
        <v>17</v>
      </c>
      <c r="D13" s="100">
        <v>22</v>
      </c>
      <c r="E13" s="77">
        <v>0</v>
      </c>
      <c r="F13" s="77">
        <v>0</v>
      </c>
      <c r="G13" s="77">
        <v>0</v>
      </c>
      <c r="H13" s="99">
        <v>140.53</v>
      </c>
      <c r="I13" s="78">
        <v>129.6</v>
      </c>
      <c r="J13" s="78">
        <v>10.93</v>
      </c>
      <c r="K13" s="78">
        <v>0</v>
      </c>
      <c r="L13" s="88">
        <v>0</v>
      </c>
      <c r="M13" s="92">
        <v>0</v>
      </c>
      <c r="N13" s="94">
        <v>66</v>
      </c>
    </row>
    <row r="14" spans="1:14" ht="15" x14ac:dyDescent="0.25">
      <c r="A14" s="97">
        <v>75</v>
      </c>
      <c r="B14" s="76" t="s">
        <v>1285</v>
      </c>
      <c r="C14" s="100">
        <v>11</v>
      </c>
      <c r="D14" s="100">
        <v>22</v>
      </c>
      <c r="E14" s="77">
        <v>0</v>
      </c>
      <c r="F14" s="77">
        <v>0</v>
      </c>
      <c r="G14" s="79">
        <v>30</v>
      </c>
      <c r="H14" s="99">
        <v>97.2</v>
      </c>
      <c r="I14" s="78">
        <v>92.4</v>
      </c>
      <c r="J14" s="78">
        <v>4.8</v>
      </c>
      <c r="K14" s="78">
        <v>0</v>
      </c>
      <c r="L14" s="89">
        <v>92.4</v>
      </c>
      <c r="M14" s="92">
        <v>0</v>
      </c>
      <c r="N14" s="94">
        <v>75</v>
      </c>
    </row>
    <row r="15" spans="1:14" ht="15" x14ac:dyDescent="0.25">
      <c r="A15" s="97">
        <v>76</v>
      </c>
      <c r="B15" s="76" t="s">
        <v>1403</v>
      </c>
      <c r="C15" s="100">
        <v>8</v>
      </c>
      <c r="D15" s="100">
        <v>22</v>
      </c>
      <c r="E15" s="77">
        <v>0</v>
      </c>
      <c r="F15" s="77">
        <v>0</v>
      </c>
      <c r="G15" s="77">
        <v>23</v>
      </c>
      <c r="H15" s="99">
        <v>78.48</v>
      </c>
      <c r="I15" s="78">
        <v>64.58</v>
      </c>
      <c r="J15" s="78">
        <v>12.41</v>
      </c>
      <c r="K15" s="78">
        <v>1.48</v>
      </c>
      <c r="L15" s="88">
        <v>33.6</v>
      </c>
      <c r="M15" s="92">
        <v>0.01</v>
      </c>
      <c r="N15" s="94">
        <v>76</v>
      </c>
    </row>
    <row r="16" spans="1:14" ht="15" x14ac:dyDescent="0.25">
      <c r="A16" s="97">
        <v>78</v>
      </c>
      <c r="B16" s="76" t="s">
        <v>943</v>
      </c>
      <c r="C16" s="100">
        <v>16</v>
      </c>
      <c r="D16" s="100">
        <v>22</v>
      </c>
      <c r="E16" s="77">
        <v>2</v>
      </c>
      <c r="F16" s="77">
        <v>0</v>
      </c>
      <c r="G16" s="79">
        <v>0</v>
      </c>
      <c r="H16" s="99">
        <v>151.86000000000001</v>
      </c>
      <c r="I16" s="78">
        <v>133.4</v>
      </c>
      <c r="J16" s="78">
        <v>17.149999999999999</v>
      </c>
      <c r="K16" s="78">
        <v>1.31</v>
      </c>
      <c r="L16" s="88">
        <v>0</v>
      </c>
      <c r="M16" s="92">
        <v>0</v>
      </c>
      <c r="N16" s="94">
        <v>78</v>
      </c>
    </row>
    <row r="17" spans="1:14" ht="15" x14ac:dyDescent="0.25">
      <c r="A17" s="97">
        <v>86</v>
      </c>
      <c r="B17" s="76" t="s">
        <v>1197</v>
      </c>
      <c r="C17" s="77">
        <v>14</v>
      </c>
      <c r="D17" s="77">
        <v>22</v>
      </c>
      <c r="E17" s="77">
        <v>0</v>
      </c>
      <c r="F17" s="77">
        <v>0</v>
      </c>
      <c r="G17" s="77">
        <v>23</v>
      </c>
      <c r="H17" s="78">
        <v>128.4</v>
      </c>
      <c r="I17" s="78">
        <v>112.11</v>
      </c>
      <c r="J17" s="78">
        <v>15.51</v>
      </c>
      <c r="K17" s="78">
        <v>0.76</v>
      </c>
      <c r="L17" s="88">
        <v>78.52</v>
      </c>
      <c r="M17" s="92">
        <v>0.02</v>
      </c>
      <c r="N17" s="94">
        <v>86</v>
      </c>
    </row>
    <row r="18" spans="1:14" ht="15" x14ac:dyDescent="0.25">
      <c r="A18" s="97">
        <v>87</v>
      </c>
      <c r="B18" s="76" t="s">
        <v>1226</v>
      </c>
      <c r="C18" s="77">
        <v>6</v>
      </c>
      <c r="D18" s="105">
        <v>7</v>
      </c>
      <c r="E18" s="77">
        <v>0</v>
      </c>
      <c r="F18" s="77">
        <v>0</v>
      </c>
      <c r="G18" s="77">
        <v>0</v>
      </c>
      <c r="H18" s="78">
        <v>38.950000000000003</v>
      </c>
      <c r="I18" s="78">
        <v>38.950000000000003</v>
      </c>
      <c r="J18" s="78">
        <v>0</v>
      </c>
      <c r="K18" s="78">
        <v>0</v>
      </c>
      <c r="L18" s="88">
        <v>0</v>
      </c>
      <c r="M18" s="92">
        <v>0</v>
      </c>
      <c r="N18" s="94">
        <v>87</v>
      </c>
    </row>
    <row r="19" spans="1:14" ht="15" x14ac:dyDescent="0.25">
      <c r="A19" s="97">
        <v>92</v>
      </c>
      <c r="B19" s="76" t="s">
        <v>1146</v>
      </c>
      <c r="C19" s="77">
        <v>14</v>
      </c>
      <c r="D19" s="77">
        <v>22</v>
      </c>
      <c r="E19" s="77">
        <v>1</v>
      </c>
      <c r="F19" s="77">
        <v>0</v>
      </c>
      <c r="G19" s="77">
        <v>3</v>
      </c>
      <c r="H19" s="78">
        <v>118</v>
      </c>
      <c r="I19" s="78">
        <v>112.95</v>
      </c>
      <c r="J19" s="78">
        <v>5.05</v>
      </c>
      <c r="K19" s="78">
        <v>0</v>
      </c>
      <c r="L19" s="88">
        <v>0</v>
      </c>
      <c r="M19" s="92">
        <v>0</v>
      </c>
      <c r="N19" s="94">
        <v>92</v>
      </c>
    </row>
    <row r="20" spans="1:14" ht="15" x14ac:dyDescent="0.25">
      <c r="A20" s="97">
        <v>93</v>
      </c>
      <c r="B20" s="76" t="s">
        <v>1120</v>
      </c>
      <c r="C20" s="77">
        <v>17</v>
      </c>
      <c r="D20" s="77">
        <v>22</v>
      </c>
      <c r="E20" s="77">
        <v>0</v>
      </c>
      <c r="F20" s="77">
        <v>0</v>
      </c>
      <c r="G20" s="77">
        <v>14</v>
      </c>
      <c r="H20" s="78">
        <v>147.38</v>
      </c>
      <c r="I20" s="78">
        <v>136.47999999999999</v>
      </c>
      <c r="J20" s="78">
        <v>10.63</v>
      </c>
      <c r="K20" s="78">
        <v>0.26</v>
      </c>
      <c r="L20" s="88">
        <v>46.65</v>
      </c>
      <c r="M20" s="92">
        <v>0.01</v>
      </c>
      <c r="N20" s="94">
        <v>93</v>
      </c>
    </row>
    <row r="21" spans="1:14" ht="15" x14ac:dyDescent="0.25">
      <c r="A21" s="97">
        <v>94</v>
      </c>
      <c r="B21" s="76" t="s">
        <v>1318</v>
      </c>
      <c r="C21" s="77">
        <v>19</v>
      </c>
      <c r="D21" s="77">
        <v>22</v>
      </c>
      <c r="E21" s="77">
        <v>0</v>
      </c>
      <c r="F21" s="77">
        <v>0</v>
      </c>
      <c r="G21" s="77">
        <v>0</v>
      </c>
      <c r="H21" s="78">
        <v>151.96</v>
      </c>
      <c r="I21" s="78">
        <v>150.9</v>
      </c>
      <c r="J21" s="78">
        <v>1.06</v>
      </c>
      <c r="K21" s="78">
        <v>0</v>
      </c>
      <c r="L21" s="88">
        <v>0</v>
      </c>
      <c r="M21" s="92">
        <v>0</v>
      </c>
      <c r="N21" s="94">
        <v>94</v>
      </c>
    </row>
    <row r="22" spans="1:14" ht="15" x14ac:dyDescent="0.25">
      <c r="A22" s="97">
        <v>95</v>
      </c>
      <c r="B22" s="76" t="s">
        <v>377</v>
      </c>
      <c r="C22" s="77">
        <v>0</v>
      </c>
      <c r="D22" s="77">
        <v>22</v>
      </c>
      <c r="E22" s="77">
        <v>0</v>
      </c>
      <c r="F22" s="77">
        <v>0</v>
      </c>
      <c r="G22" s="77">
        <v>0</v>
      </c>
      <c r="H22" s="78">
        <v>0</v>
      </c>
      <c r="I22" s="78">
        <v>0</v>
      </c>
      <c r="J22" s="78">
        <v>0</v>
      </c>
      <c r="K22" s="78">
        <v>0</v>
      </c>
      <c r="L22" s="88">
        <v>0</v>
      </c>
      <c r="M22" s="92">
        <v>0</v>
      </c>
      <c r="N22" s="94">
        <v>95</v>
      </c>
    </row>
    <row r="23" spans="1:14" ht="15" x14ac:dyDescent="0.25">
      <c r="A23" s="97">
        <v>96</v>
      </c>
      <c r="B23" s="76" t="s">
        <v>529</v>
      </c>
      <c r="C23" s="77">
        <v>0</v>
      </c>
      <c r="D23" s="77">
        <v>22</v>
      </c>
      <c r="E23" s="77">
        <v>2</v>
      </c>
      <c r="F23" s="77">
        <v>0</v>
      </c>
      <c r="G23" s="77">
        <v>28</v>
      </c>
      <c r="H23" s="78">
        <v>0</v>
      </c>
      <c r="I23" s="78">
        <v>0</v>
      </c>
      <c r="J23" s="78">
        <v>0</v>
      </c>
      <c r="K23" s="78">
        <v>0</v>
      </c>
      <c r="L23" s="88">
        <v>0</v>
      </c>
      <c r="M23" s="92">
        <v>0</v>
      </c>
      <c r="N23" s="94">
        <v>96</v>
      </c>
    </row>
    <row r="24" spans="1:14" ht="15" x14ac:dyDescent="0.25">
      <c r="A24" s="97">
        <v>97</v>
      </c>
      <c r="B24" s="76" t="s">
        <v>1419</v>
      </c>
      <c r="C24" s="77">
        <v>16</v>
      </c>
      <c r="D24" s="77">
        <v>22</v>
      </c>
      <c r="E24" s="77">
        <v>1</v>
      </c>
      <c r="F24" s="80">
        <v>0</v>
      </c>
      <c r="G24" s="77">
        <v>6</v>
      </c>
      <c r="H24" s="78">
        <v>137.43</v>
      </c>
      <c r="I24" s="78">
        <v>127.76</v>
      </c>
      <c r="J24" s="78">
        <v>9.06</v>
      </c>
      <c r="K24" s="78">
        <v>0.6</v>
      </c>
      <c r="L24" s="88">
        <v>0</v>
      </c>
      <c r="M24" s="92">
        <v>0.01</v>
      </c>
      <c r="N24" s="94">
        <v>97</v>
      </c>
    </row>
    <row r="25" spans="1:14" ht="15" x14ac:dyDescent="0.25">
      <c r="A25" s="97">
        <v>100</v>
      </c>
      <c r="B25" s="76" t="s">
        <v>872</v>
      </c>
      <c r="C25" s="77">
        <v>15</v>
      </c>
      <c r="D25" s="77">
        <v>22</v>
      </c>
      <c r="E25" s="77">
        <v>3</v>
      </c>
      <c r="F25" s="77">
        <v>0</v>
      </c>
      <c r="G25" s="79">
        <v>0</v>
      </c>
      <c r="H25" s="78">
        <v>120.03</v>
      </c>
      <c r="I25" s="78">
        <v>119.03</v>
      </c>
      <c r="J25" s="78">
        <v>1</v>
      </c>
      <c r="K25" s="78">
        <v>0</v>
      </c>
      <c r="L25" s="89">
        <v>0</v>
      </c>
      <c r="M25" s="92">
        <v>0</v>
      </c>
      <c r="N25" s="94">
        <v>100</v>
      </c>
    </row>
    <row r="26" spans="1:14" ht="15" x14ac:dyDescent="0.25">
      <c r="A26" s="97">
        <v>101</v>
      </c>
      <c r="B26" s="76" t="s">
        <v>701</v>
      </c>
      <c r="C26" s="77">
        <v>14</v>
      </c>
      <c r="D26" s="77">
        <v>22</v>
      </c>
      <c r="E26" s="77">
        <v>0.5</v>
      </c>
      <c r="F26" s="77">
        <v>0</v>
      </c>
      <c r="G26" s="77">
        <v>11</v>
      </c>
      <c r="H26" s="78">
        <v>117.4</v>
      </c>
      <c r="I26" s="78">
        <v>103.36</v>
      </c>
      <c r="J26" s="78">
        <v>12.85</v>
      </c>
      <c r="K26" s="78">
        <v>1.18</v>
      </c>
      <c r="L26" s="88">
        <v>0</v>
      </c>
      <c r="M26" s="92">
        <v>0.01</v>
      </c>
      <c r="N26" s="94">
        <v>101</v>
      </c>
    </row>
    <row r="27" spans="1:14" ht="15" x14ac:dyDescent="0.25">
      <c r="A27" s="97">
        <v>105</v>
      </c>
      <c r="B27" s="76" t="s">
        <v>651</v>
      </c>
      <c r="C27" s="77">
        <v>16</v>
      </c>
      <c r="D27" s="77">
        <v>22</v>
      </c>
      <c r="E27" s="77">
        <v>1.5</v>
      </c>
      <c r="F27" s="77">
        <v>0</v>
      </c>
      <c r="G27" s="77">
        <v>0</v>
      </c>
      <c r="H27" s="78">
        <v>146.31</v>
      </c>
      <c r="I27" s="78">
        <v>134.4</v>
      </c>
      <c r="J27" s="78">
        <v>11.43</v>
      </c>
      <c r="K27" s="78">
        <v>0.48</v>
      </c>
      <c r="L27" s="88">
        <v>0</v>
      </c>
      <c r="M27" s="92">
        <v>0</v>
      </c>
      <c r="N27" s="94">
        <v>105</v>
      </c>
    </row>
    <row r="28" spans="1:14" ht="15" x14ac:dyDescent="0.25">
      <c r="A28" s="97">
        <v>106</v>
      </c>
      <c r="B28" s="76" t="s">
        <v>1267</v>
      </c>
      <c r="C28" s="77">
        <v>14</v>
      </c>
      <c r="D28" s="105">
        <v>20.5</v>
      </c>
      <c r="E28" s="77">
        <v>0.5</v>
      </c>
      <c r="F28" s="77">
        <v>4</v>
      </c>
      <c r="G28" s="79">
        <v>0</v>
      </c>
      <c r="H28" s="78">
        <v>123.78</v>
      </c>
      <c r="I28" s="78">
        <v>113.83</v>
      </c>
      <c r="J28" s="78">
        <v>9.8800000000000008</v>
      </c>
      <c r="K28" s="78">
        <v>0.06</v>
      </c>
      <c r="L28" s="89">
        <v>0</v>
      </c>
      <c r="M28" s="92">
        <v>0.01</v>
      </c>
      <c r="N28" s="94">
        <v>106</v>
      </c>
    </row>
    <row r="29" spans="1:14" ht="15" x14ac:dyDescent="0.25">
      <c r="A29" s="97">
        <v>109</v>
      </c>
      <c r="B29" s="76" t="s">
        <v>1437</v>
      </c>
      <c r="C29" s="77">
        <v>15</v>
      </c>
      <c r="D29" s="77">
        <v>22</v>
      </c>
      <c r="E29" s="77">
        <v>3</v>
      </c>
      <c r="F29" s="77">
        <v>0</v>
      </c>
      <c r="G29" s="79">
        <v>0</v>
      </c>
      <c r="H29" s="78">
        <v>138.22999999999999</v>
      </c>
      <c r="I29" s="78">
        <v>122.38</v>
      </c>
      <c r="J29" s="78">
        <v>15.4</v>
      </c>
      <c r="K29" s="78">
        <v>0.45</v>
      </c>
      <c r="L29" s="88">
        <v>0</v>
      </c>
      <c r="M29" s="92">
        <v>0</v>
      </c>
      <c r="N29" s="94">
        <v>109</v>
      </c>
    </row>
    <row r="30" spans="1:14" ht="15" x14ac:dyDescent="0.25">
      <c r="A30" s="97">
        <v>110</v>
      </c>
      <c r="B30" s="76" t="s">
        <v>380</v>
      </c>
      <c r="C30" s="77">
        <v>15</v>
      </c>
      <c r="D30" s="77">
        <v>22</v>
      </c>
      <c r="E30" s="77">
        <v>2.5</v>
      </c>
      <c r="F30" s="77">
        <v>0</v>
      </c>
      <c r="G30" s="79">
        <v>0</v>
      </c>
      <c r="H30" s="78">
        <v>133.72999999999999</v>
      </c>
      <c r="I30" s="78">
        <v>122.05</v>
      </c>
      <c r="J30" s="78">
        <v>10.95</v>
      </c>
      <c r="K30" s="78">
        <v>0.73</v>
      </c>
      <c r="L30" s="88">
        <v>0</v>
      </c>
      <c r="M30" s="92">
        <v>0</v>
      </c>
      <c r="N30" s="94">
        <v>110</v>
      </c>
    </row>
    <row r="31" spans="1:14" ht="15" x14ac:dyDescent="0.25">
      <c r="A31" s="97">
        <v>112</v>
      </c>
      <c r="B31" s="76" t="s">
        <v>633</v>
      </c>
      <c r="C31" s="77">
        <v>4</v>
      </c>
      <c r="D31" s="77">
        <v>22</v>
      </c>
      <c r="E31" s="77">
        <v>0</v>
      </c>
      <c r="F31" s="77">
        <v>0</v>
      </c>
      <c r="G31" s="79">
        <v>16</v>
      </c>
      <c r="H31" s="78">
        <v>29.63</v>
      </c>
      <c r="I31" s="78">
        <v>27.11</v>
      </c>
      <c r="J31" s="78">
        <v>2.5099999999999998</v>
      </c>
      <c r="K31" s="78">
        <v>0</v>
      </c>
      <c r="L31" s="89">
        <v>1.92</v>
      </c>
      <c r="M31" s="92">
        <v>0.01</v>
      </c>
      <c r="N31" s="94">
        <v>112</v>
      </c>
    </row>
    <row r="32" spans="1:14" ht="15" x14ac:dyDescent="0.25">
      <c r="A32" s="97">
        <v>113</v>
      </c>
      <c r="B32" s="76" t="s">
        <v>0</v>
      </c>
      <c r="C32" s="77">
        <v>14</v>
      </c>
      <c r="D32" s="77">
        <v>22</v>
      </c>
      <c r="E32" s="77">
        <v>3.5</v>
      </c>
      <c r="F32" s="77">
        <v>0</v>
      </c>
      <c r="G32" s="77">
        <v>0</v>
      </c>
      <c r="H32" s="78">
        <v>117.25</v>
      </c>
      <c r="I32" s="78">
        <v>114.51</v>
      </c>
      <c r="J32" s="78">
        <v>2.73</v>
      </c>
      <c r="K32" s="78">
        <v>0</v>
      </c>
      <c r="L32" s="88">
        <v>0</v>
      </c>
      <c r="M32" s="92">
        <v>0.01</v>
      </c>
      <c r="N32" s="94">
        <v>113</v>
      </c>
    </row>
    <row r="33" spans="1:14" ht="15" x14ac:dyDescent="0.25">
      <c r="A33" s="97">
        <v>115</v>
      </c>
      <c r="B33" s="76" t="s">
        <v>1339</v>
      </c>
      <c r="C33" s="77">
        <v>16</v>
      </c>
      <c r="D33" s="77">
        <v>22</v>
      </c>
      <c r="E33" s="77">
        <v>1</v>
      </c>
      <c r="F33" s="77">
        <v>1</v>
      </c>
      <c r="G33" s="77">
        <v>0</v>
      </c>
      <c r="H33" s="78">
        <v>127.2</v>
      </c>
      <c r="I33" s="78">
        <v>124.03</v>
      </c>
      <c r="J33" s="78">
        <v>3.16</v>
      </c>
      <c r="K33" s="78">
        <v>0</v>
      </c>
      <c r="L33" s="88">
        <v>0</v>
      </c>
      <c r="M33" s="92">
        <v>0.01</v>
      </c>
      <c r="N33" s="94">
        <v>115</v>
      </c>
    </row>
    <row r="34" spans="1:14" ht="15" x14ac:dyDescent="0.25">
      <c r="A34" s="97">
        <v>116</v>
      </c>
      <c r="B34" s="76" t="s">
        <v>1488</v>
      </c>
      <c r="C34" s="77">
        <v>16</v>
      </c>
      <c r="D34" s="77">
        <v>22</v>
      </c>
      <c r="E34" s="77">
        <v>3</v>
      </c>
      <c r="F34" s="80">
        <v>0</v>
      </c>
      <c r="G34" s="77">
        <v>0</v>
      </c>
      <c r="H34" s="78">
        <v>152.38</v>
      </c>
      <c r="I34" s="78">
        <v>107.8</v>
      </c>
      <c r="J34" s="78">
        <v>16.7</v>
      </c>
      <c r="K34" s="78">
        <v>27.88</v>
      </c>
      <c r="L34" s="88">
        <v>0</v>
      </c>
      <c r="M34" s="92">
        <v>0</v>
      </c>
      <c r="N34" s="94">
        <v>116</v>
      </c>
    </row>
    <row r="35" spans="1:14" ht="15" x14ac:dyDescent="0.25">
      <c r="A35" s="132">
        <v>117</v>
      </c>
      <c r="B35" s="136" t="s">
        <v>1036</v>
      </c>
      <c r="C35" s="137">
        <v>12</v>
      </c>
      <c r="D35" s="105">
        <v>21</v>
      </c>
      <c r="E35" s="137">
        <v>4.5</v>
      </c>
      <c r="F35" s="137">
        <v>0</v>
      </c>
      <c r="G35" s="140">
        <v>0</v>
      </c>
      <c r="H35" s="138">
        <v>116.65</v>
      </c>
      <c r="I35" s="138">
        <v>99.5</v>
      </c>
      <c r="J35" s="138">
        <v>14.21</v>
      </c>
      <c r="K35" s="138">
        <v>2.93</v>
      </c>
      <c r="L35" s="141">
        <v>0</v>
      </c>
      <c r="M35" s="92">
        <v>0.01</v>
      </c>
      <c r="N35" s="94">
        <v>117</v>
      </c>
    </row>
    <row r="36" spans="1:14" ht="15" x14ac:dyDescent="0.25">
      <c r="A36" s="132">
        <v>118</v>
      </c>
      <c r="B36" s="136" t="s">
        <v>182</v>
      </c>
      <c r="C36" s="137">
        <v>12</v>
      </c>
      <c r="D36" s="105">
        <v>20</v>
      </c>
      <c r="E36" s="137">
        <v>0</v>
      </c>
      <c r="F36" s="137">
        <v>0</v>
      </c>
      <c r="G36" s="137">
        <v>3</v>
      </c>
      <c r="H36" s="138">
        <v>79</v>
      </c>
      <c r="I36" s="138">
        <v>77.81</v>
      </c>
      <c r="J36" s="138">
        <v>1.18</v>
      </c>
      <c r="K36" s="138">
        <v>0</v>
      </c>
      <c r="L36" s="139">
        <v>3.08</v>
      </c>
      <c r="M36" s="92">
        <v>0.01</v>
      </c>
      <c r="N36" s="94">
        <v>118</v>
      </c>
    </row>
    <row r="37" spans="1:14" ht="15" x14ac:dyDescent="0.25">
      <c r="A37" s="97">
        <v>119</v>
      </c>
      <c r="B37" s="76" t="s">
        <v>1071</v>
      </c>
      <c r="C37" s="77">
        <v>12</v>
      </c>
      <c r="D37" s="77">
        <v>22</v>
      </c>
      <c r="E37" s="77">
        <v>4.5</v>
      </c>
      <c r="F37" s="77">
        <v>0</v>
      </c>
      <c r="G37" s="77">
        <v>0</v>
      </c>
      <c r="H37" s="78">
        <v>83.11</v>
      </c>
      <c r="I37" s="78">
        <v>82.96</v>
      </c>
      <c r="J37" s="78">
        <v>0.15</v>
      </c>
      <c r="K37" s="78">
        <v>0</v>
      </c>
      <c r="L37" s="88">
        <v>0</v>
      </c>
      <c r="M37" s="92">
        <v>0</v>
      </c>
      <c r="N37" s="94">
        <v>119</v>
      </c>
    </row>
    <row r="38" spans="1:14" ht="15" x14ac:dyDescent="0.25">
      <c r="A38" s="97">
        <v>121</v>
      </c>
      <c r="B38" s="76" t="s">
        <v>266</v>
      </c>
      <c r="C38" s="77">
        <v>5</v>
      </c>
      <c r="D38" s="77">
        <v>22</v>
      </c>
      <c r="E38" s="77">
        <v>3.5</v>
      </c>
      <c r="F38" s="80">
        <v>0</v>
      </c>
      <c r="G38" s="77">
        <v>9</v>
      </c>
      <c r="H38" s="78">
        <v>45.96</v>
      </c>
      <c r="I38" s="78">
        <v>42</v>
      </c>
      <c r="J38" s="78">
        <v>3.86</v>
      </c>
      <c r="K38" s="78">
        <v>0.1</v>
      </c>
      <c r="L38" s="88">
        <v>0</v>
      </c>
      <c r="M38" s="92">
        <v>0</v>
      </c>
      <c r="N38" s="94">
        <v>121</v>
      </c>
    </row>
    <row r="39" spans="1:14" ht="15" x14ac:dyDescent="0.25">
      <c r="A39" s="97">
        <v>122</v>
      </c>
      <c r="B39" s="76" t="s">
        <v>833</v>
      </c>
      <c r="C39" s="77">
        <v>8</v>
      </c>
      <c r="D39" s="77">
        <v>22</v>
      </c>
      <c r="E39" s="77">
        <v>3.5</v>
      </c>
      <c r="F39" s="77">
        <v>0</v>
      </c>
      <c r="G39" s="79">
        <v>0</v>
      </c>
      <c r="H39" s="78">
        <v>23.91</v>
      </c>
      <c r="I39" s="78">
        <v>23.08</v>
      </c>
      <c r="J39" s="78">
        <v>0.83</v>
      </c>
      <c r="K39" s="78">
        <v>0</v>
      </c>
      <c r="L39" s="89">
        <v>0</v>
      </c>
      <c r="M39" s="92">
        <v>0</v>
      </c>
      <c r="N39" s="94">
        <v>122</v>
      </c>
    </row>
    <row r="40" spans="1:14" ht="15" x14ac:dyDescent="0.25">
      <c r="A40" s="132">
        <v>123</v>
      </c>
      <c r="B40" s="136" t="s">
        <v>1300</v>
      </c>
      <c r="C40" s="137">
        <v>13</v>
      </c>
      <c r="D40" s="105">
        <v>20</v>
      </c>
      <c r="E40" s="137">
        <v>3</v>
      </c>
      <c r="F40" s="137">
        <v>0</v>
      </c>
      <c r="G40" s="137">
        <v>0</v>
      </c>
      <c r="H40" s="138">
        <v>107.96</v>
      </c>
      <c r="I40" s="138">
        <v>106.25</v>
      </c>
      <c r="J40" s="138">
        <v>1.71</v>
      </c>
      <c r="K40" s="138">
        <v>0</v>
      </c>
      <c r="L40" s="139">
        <v>0</v>
      </c>
      <c r="M40" s="92">
        <v>0</v>
      </c>
      <c r="N40" s="94">
        <v>123</v>
      </c>
    </row>
    <row r="41" spans="1:14" ht="15" x14ac:dyDescent="0.25">
      <c r="A41" s="97">
        <v>124</v>
      </c>
      <c r="B41" s="76" t="s">
        <v>1177</v>
      </c>
      <c r="C41" s="77">
        <v>8</v>
      </c>
      <c r="D41" s="77">
        <v>22</v>
      </c>
      <c r="E41" s="77">
        <v>0</v>
      </c>
      <c r="F41" s="77">
        <v>0</v>
      </c>
      <c r="G41" s="79">
        <v>14</v>
      </c>
      <c r="H41" s="78">
        <v>55.63</v>
      </c>
      <c r="I41" s="78">
        <v>54.86</v>
      </c>
      <c r="J41" s="78">
        <v>0.76</v>
      </c>
      <c r="K41" s="78">
        <v>0</v>
      </c>
      <c r="L41" s="89">
        <v>0</v>
      </c>
      <c r="M41" s="92">
        <v>0.01</v>
      </c>
      <c r="N41" s="94">
        <v>124</v>
      </c>
    </row>
    <row r="42" spans="1:14" ht="15" x14ac:dyDescent="0.25">
      <c r="A42" s="97">
        <v>125</v>
      </c>
      <c r="B42" s="76" t="s">
        <v>1021</v>
      </c>
      <c r="C42" s="77">
        <v>8</v>
      </c>
      <c r="D42" s="77">
        <v>22</v>
      </c>
      <c r="E42" s="77">
        <v>0</v>
      </c>
      <c r="F42" s="77">
        <v>0</v>
      </c>
      <c r="G42" s="79">
        <v>28</v>
      </c>
      <c r="H42" s="78">
        <v>55.08</v>
      </c>
      <c r="I42" s="78">
        <v>55.08</v>
      </c>
      <c r="J42" s="78">
        <v>0</v>
      </c>
      <c r="K42" s="78">
        <v>0</v>
      </c>
      <c r="L42" s="88">
        <v>40.299999999999997</v>
      </c>
      <c r="M42" s="92">
        <v>0</v>
      </c>
      <c r="N42" s="94">
        <v>125</v>
      </c>
    </row>
    <row r="43" spans="1:14" ht="15" x14ac:dyDescent="0.25">
      <c r="A43" s="97">
        <v>126</v>
      </c>
      <c r="B43" s="76" t="s">
        <v>1517</v>
      </c>
      <c r="C43" s="77">
        <v>9</v>
      </c>
      <c r="D43" s="104">
        <v>10</v>
      </c>
      <c r="E43" s="77">
        <v>3</v>
      </c>
      <c r="F43" s="77">
        <v>0</v>
      </c>
      <c r="G43" s="77">
        <v>0</v>
      </c>
      <c r="H43" s="78">
        <v>85.98</v>
      </c>
      <c r="I43" s="78">
        <v>68.13</v>
      </c>
      <c r="J43" s="78">
        <v>10.31</v>
      </c>
      <c r="K43" s="78">
        <v>7.53</v>
      </c>
      <c r="L43" s="88">
        <v>0</v>
      </c>
      <c r="M43" s="92">
        <v>0.01</v>
      </c>
      <c r="N43" s="94">
        <v>126</v>
      </c>
    </row>
    <row r="44" spans="1:14" ht="15" x14ac:dyDescent="0.25">
      <c r="A44" s="97">
        <v>127</v>
      </c>
      <c r="B44" s="76" t="s">
        <v>816</v>
      </c>
      <c r="C44" s="77">
        <v>4</v>
      </c>
      <c r="D44" s="104">
        <v>4</v>
      </c>
      <c r="E44" s="77">
        <v>3.5</v>
      </c>
      <c r="F44" s="80">
        <v>0</v>
      </c>
      <c r="G44" s="79">
        <v>0</v>
      </c>
      <c r="H44" s="78">
        <v>36.31</v>
      </c>
      <c r="I44" s="78">
        <v>33.479999999999997</v>
      </c>
      <c r="J44" s="78">
        <v>2.6</v>
      </c>
      <c r="K44" s="78">
        <v>0.23</v>
      </c>
      <c r="L44" s="88">
        <v>0</v>
      </c>
      <c r="M44" s="92">
        <v>0</v>
      </c>
      <c r="N44" s="95" t="s">
        <v>1710</v>
      </c>
    </row>
    <row r="45" spans="1:14" ht="15" x14ac:dyDescent="0.25">
      <c r="A45" s="97" t="s">
        <v>1710</v>
      </c>
      <c r="B45" s="76" t="s">
        <v>901</v>
      </c>
      <c r="C45" s="77">
        <v>11</v>
      </c>
      <c r="D45" s="77">
        <v>22</v>
      </c>
      <c r="E45" s="77">
        <v>1</v>
      </c>
      <c r="F45" s="77">
        <v>0</v>
      </c>
      <c r="G45" s="77">
        <v>0</v>
      </c>
      <c r="H45" s="78">
        <v>69.709999999999994</v>
      </c>
      <c r="I45" s="78">
        <v>69.650000000000006</v>
      </c>
      <c r="J45" s="78">
        <v>0.06</v>
      </c>
      <c r="K45" s="78">
        <v>0</v>
      </c>
      <c r="L45" s="88">
        <v>0</v>
      </c>
      <c r="M45" s="92">
        <v>0</v>
      </c>
      <c r="N45" s="95" t="s">
        <v>1710</v>
      </c>
    </row>
    <row r="46" spans="1:14" ht="15.75" thickBot="1" x14ac:dyDescent="0.3">
      <c r="A46" s="97" t="s">
        <v>1710</v>
      </c>
      <c r="B46" s="82" t="s">
        <v>509</v>
      </c>
      <c r="C46" s="83">
        <v>5</v>
      </c>
      <c r="D46" s="83">
        <v>22</v>
      </c>
      <c r="E46" s="83">
        <v>3.5</v>
      </c>
      <c r="F46" s="83">
        <v>0</v>
      </c>
      <c r="G46" s="83">
        <v>0</v>
      </c>
      <c r="H46" s="84">
        <v>42.21</v>
      </c>
      <c r="I46" s="84">
        <v>41.78</v>
      </c>
      <c r="J46" s="84">
        <v>0.43</v>
      </c>
      <c r="K46" s="84">
        <v>0</v>
      </c>
      <c r="L46" s="90">
        <v>0</v>
      </c>
      <c r="M46" s="92">
        <v>0</v>
      </c>
      <c r="N46" s="95" t="s">
        <v>1710</v>
      </c>
    </row>
    <row r="47" spans="1:14" ht="15.75" thickTop="1" x14ac:dyDescent="0.25">
      <c r="B47" s="63" t="s">
        <v>1555</v>
      </c>
      <c r="C47" s="85">
        <f>SUM(C4:C46)</f>
        <v>492</v>
      </c>
      <c r="D47" s="85">
        <f>SUM(D4:D46)</f>
        <v>889</v>
      </c>
      <c r="E47" s="85">
        <f>SUM(E4:E46)</f>
        <v>79</v>
      </c>
      <c r="F47" s="85">
        <f>SUM(F4:F46)</f>
        <v>11</v>
      </c>
      <c r="G47" s="85">
        <f>SUM(G4:G46)</f>
        <v>224</v>
      </c>
      <c r="H47" s="86">
        <f>SUM(H4:H46)</f>
        <v>4154.380000000001</v>
      </c>
      <c r="I47" s="86">
        <f>SUM(I4:I46)</f>
        <v>3796.1100000000019</v>
      </c>
      <c r="J47" s="86">
        <f>SUM(J4:J46)</f>
        <v>299.44999999999993</v>
      </c>
      <c r="K47" s="86">
        <f>SUM(K4:K46)</f>
        <v>58.65</v>
      </c>
      <c r="L47" s="86">
        <f>SUM(L4:L46)</f>
        <v>304.87</v>
      </c>
      <c r="M47" s="93">
        <f>SUM(M4:M46)</f>
        <v>0.17</v>
      </c>
      <c r="N47" s="96"/>
    </row>
    <row r="49" spans="2:2" x14ac:dyDescent="0.2">
      <c r="B49" s="87" t="s">
        <v>1616</v>
      </c>
    </row>
  </sheetData>
  <mergeCells count="1">
    <mergeCell ref="A1:M1"/>
  </mergeCells>
  <conditionalFormatting sqref="M4:M47">
    <cfRule type="cellIs" dxfId="0" priority="1" operator="notBetween">
      <formula>1</formula>
      <formula>-1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F19DC-D39D-497D-8914-268426FF217B}">
  <dimension ref="A1:F47"/>
  <sheetViews>
    <sheetView rightToLeft="1" workbookViewId="0">
      <pane ySplit="2" topLeftCell="A3" activePane="bottomLeft" state="frozen"/>
      <selection pane="bottomLeft" sqref="A1:F1"/>
    </sheetView>
  </sheetViews>
  <sheetFormatPr defaultRowHeight="14.25" x14ac:dyDescent="0.2"/>
  <cols>
    <col min="1" max="1" width="26.625" customWidth="1"/>
    <col min="2" max="5" width="18.375" customWidth="1"/>
    <col min="6" max="6" width="46.625" customWidth="1"/>
  </cols>
  <sheetData>
    <row r="1" spans="1:6" ht="15" x14ac:dyDescent="0.25">
      <c r="A1" s="16" t="s">
        <v>1594</v>
      </c>
      <c r="B1" s="23"/>
      <c r="C1" s="23"/>
      <c r="D1" s="23"/>
      <c r="E1" s="23"/>
      <c r="F1" s="23"/>
    </row>
    <row r="2" spans="1:6" ht="15" x14ac:dyDescent="0.25">
      <c r="A2" s="15" t="s">
        <v>1532</v>
      </c>
      <c r="B2" s="15" t="s">
        <v>1595</v>
      </c>
      <c r="C2" s="15" t="s">
        <v>1591</v>
      </c>
      <c r="D2" s="15" t="s">
        <v>1592</v>
      </c>
      <c r="E2" s="15" t="s">
        <v>1593</v>
      </c>
      <c r="F2" s="15" t="s">
        <v>1542</v>
      </c>
    </row>
    <row r="3" spans="1:6" x14ac:dyDescent="0.2">
      <c r="A3" t="s">
        <v>0</v>
      </c>
      <c r="B3" s="18">
        <v>0</v>
      </c>
      <c r="C3" s="18">
        <v>1.5</v>
      </c>
      <c r="D3" s="18">
        <v>2</v>
      </c>
      <c r="E3" s="18">
        <f>B3+C3+D3</f>
        <v>3.5</v>
      </c>
      <c r="F3" t="s">
        <v>1543</v>
      </c>
    </row>
    <row r="4" spans="1:6" x14ac:dyDescent="0.2">
      <c r="A4" t="s">
        <v>182</v>
      </c>
      <c r="B4" s="18">
        <v>1</v>
      </c>
      <c r="C4" s="18">
        <v>1</v>
      </c>
      <c r="D4" s="18">
        <v>0</v>
      </c>
      <c r="E4" s="18">
        <f>B4+C4+D4</f>
        <v>2</v>
      </c>
      <c r="F4" t="s">
        <v>1544</v>
      </c>
    </row>
    <row r="5" spans="1:6" x14ac:dyDescent="0.2">
      <c r="A5" t="s">
        <v>266</v>
      </c>
      <c r="B5" s="18">
        <v>0</v>
      </c>
      <c r="C5" s="18">
        <v>1.5</v>
      </c>
      <c r="D5" s="18">
        <v>2</v>
      </c>
      <c r="E5" s="18">
        <f>B5+C5+D5</f>
        <v>3.5</v>
      </c>
      <c r="F5" t="s">
        <v>1543</v>
      </c>
    </row>
    <row r="6" spans="1:6" x14ac:dyDescent="0.2">
      <c r="A6" t="s">
        <v>298</v>
      </c>
      <c r="B6" s="18">
        <v>2</v>
      </c>
      <c r="C6" s="18">
        <v>1.5</v>
      </c>
      <c r="D6" s="18">
        <v>0</v>
      </c>
      <c r="E6" s="18">
        <f>B6+C6+D6</f>
        <v>3.5</v>
      </c>
      <c r="F6" t="s">
        <v>1545</v>
      </c>
    </row>
    <row r="7" spans="1:6" x14ac:dyDescent="0.2">
      <c r="A7" t="s">
        <v>377</v>
      </c>
      <c r="B7" s="18">
        <v>0</v>
      </c>
      <c r="C7" s="18">
        <v>0</v>
      </c>
      <c r="D7" s="18">
        <v>0</v>
      </c>
      <c r="E7" s="18">
        <f>B7+C7+D7</f>
        <v>0</v>
      </c>
      <c r="F7" t="s">
        <v>1546</v>
      </c>
    </row>
    <row r="8" spans="1:6" x14ac:dyDescent="0.2">
      <c r="A8" t="s">
        <v>380</v>
      </c>
      <c r="B8" s="18">
        <v>1</v>
      </c>
      <c r="C8" s="18">
        <v>1.5</v>
      </c>
      <c r="D8" s="18">
        <v>0</v>
      </c>
      <c r="E8" s="18">
        <f>B8+C8+D8</f>
        <v>2.5</v>
      </c>
      <c r="F8" t="s">
        <v>1545</v>
      </c>
    </row>
    <row r="9" spans="1:6" x14ac:dyDescent="0.2">
      <c r="A9" t="s">
        <v>447</v>
      </c>
      <c r="B9" s="18">
        <v>2</v>
      </c>
      <c r="C9" s="18">
        <v>1.5</v>
      </c>
      <c r="D9" s="18">
        <v>2</v>
      </c>
      <c r="E9" s="18">
        <f>B9+C9+D9</f>
        <v>5.5</v>
      </c>
      <c r="F9" t="s">
        <v>1543</v>
      </c>
    </row>
    <row r="10" spans="1:6" x14ac:dyDescent="0.2">
      <c r="A10" t="s">
        <v>509</v>
      </c>
      <c r="B10" s="18">
        <v>0</v>
      </c>
      <c r="C10" s="18">
        <v>1.5</v>
      </c>
      <c r="D10" s="18">
        <v>2</v>
      </c>
      <c r="E10" s="18">
        <f>B10+C10+D10</f>
        <v>3.5</v>
      </c>
      <c r="F10" t="s">
        <v>1543</v>
      </c>
    </row>
    <row r="11" spans="1:6" x14ac:dyDescent="0.2">
      <c r="A11" t="s">
        <v>529</v>
      </c>
      <c r="B11" s="18">
        <v>2</v>
      </c>
      <c r="C11" s="18">
        <v>0</v>
      </c>
      <c r="D11" s="18">
        <v>0</v>
      </c>
      <c r="E11" s="18">
        <f>B11+C11+D11</f>
        <v>2</v>
      </c>
      <c r="F11" t="s">
        <v>1546</v>
      </c>
    </row>
    <row r="12" spans="1:6" x14ac:dyDescent="0.2">
      <c r="A12" t="s">
        <v>530</v>
      </c>
      <c r="B12" s="18">
        <v>2</v>
      </c>
      <c r="C12" s="18">
        <v>1.5</v>
      </c>
      <c r="D12" s="18">
        <v>1</v>
      </c>
      <c r="E12" s="18">
        <f>B12+C12+D12</f>
        <v>4.5</v>
      </c>
      <c r="F12" t="s">
        <v>1547</v>
      </c>
    </row>
    <row r="13" spans="1:6" x14ac:dyDescent="0.2">
      <c r="A13" t="s">
        <v>576</v>
      </c>
      <c r="B13" s="18">
        <v>0</v>
      </c>
      <c r="C13" s="18">
        <v>1.5</v>
      </c>
      <c r="D13" s="18">
        <v>1</v>
      </c>
      <c r="E13" s="18">
        <f>B13+C13+D13</f>
        <v>2.5</v>
      </c>
      <c r="F13" t="s">
        <v>1548</v>
      </c>
    </row>
    <row r="14" spans="1:6" x14ac:dyDescent="0.2">
      <c r="A14" t="s">
        <v>633</v>
      </c>
      <c r="B14" s="18">
        <v>1</v>
      </c>
      <c r="C14" s="18">
        <v>1.5</v>
      </c>
      <c r="D14" s="18">
        <v>0</v>
      </c>
      <c r="E14" s="18">
        <f>B14+C14+D14</f>
        <v>2.5</v>
      </c>
      <c r="F14" t="s">
        <v>1545</v>
      </c>
    </row>
    <row r="15" spans="1:6" x14ac:dyDescent="0.2">
      <c r="A15" t="s">
        <v>651</v>
      </c>
      <c r="B15" s="18">
        <v>0</v>
      </c>
      <c r="C15" s="18">
        <v>1.5</v>
      </c>
      <c r="D15" s="18">
        <v>0</v>
      </c>
      <c r="E15" s="18">
        <f>B15+C15+D15</f>
        <v>1.5</v>
      </c>
      <c r="F15" t="s">
        <v>1545</v>
      </c>
    </row>
    <row r="16" spans="1:6" x14ac:dyDescent="0.2">
      <c r="A16" t="s">
        <v>701</v>
      </c>
      <c r="B16" s="18">
        <v>0</v>
      </c>
      <c r="C16" s="18">
        <v>0.5</v>
      </c>
      <c r="D16" s="18">
        <v>0</v>
      </c>
      <c r="E16" s="18">
        <f>B16+C16+D16</f>
        <v>0.5</v>
      </c>
      <c r="F16" t="s">
        <v>1549</v>
      </c>
    </row>
    <row r="17" spans="1:6" x14ac:dyDescent="0.2">
      <c r="A17" t="s">
        <v>751</v>
      </c>
      <c r="B17" s="18">
        <v>0</v>
      </c>
      <c r="C17" s="18">
        <v>0.5</v>
      </c>
      <c r="D17" s="18">
        <v>0</v>
      </c>
      <c r="E17" s="18">
        <f>B17+C17+D17</f>
        <v>0.5</v>
      </c>
      <c r="F17" t="s">
        <v>1550</v>
      </c>
    </row>
    <row r="18" spans="1:6" x14ac:dyDescent="0.2">
      <c r="A18" t="s">
        <v>816</v>
      </c>
      <c r="B18" s="18">
        <v>0</v>
      </c>
      <c r="C18" s="18">
        <v>1.5</v>
      </c>
      <c r="D18" s="18">
        <v>2</v>
      </c>
      <c r="E18" s="18">
        <f>B18+C18+D18</f>
        <v>3.5</v>
      </c>
      <c r="F18" t="s">
        <v>1543</v>
      </c>
    </row>
    <row r="19" spans="1:6" x14ac:dyDescent="0.2">
      <c r="A19" t="s">
        <v>833</v>
      </c>
      <c r="B19" s="18">
        <v>0</v>
      </c>
      <c r="C19" s="18">
        <v>1.5</v>
      </c>
      <c r="D19" s="18">
        <v>2</v>
      </c>
      <c r="E19" s="18">
        <f>B19+C19+D19</f>
        <v>3.5</v>
      </c>
      <c r="F19" t="s">
        <v>1543</v>
      </c>
    </row>
    <row r="20" spans="1:6" x14ac:dyDescent="0.2">
      <c r="A20" t="s">
        <v>871</v>
      </c>
      <c r="B20" s="18">
        <v>0</v>
      </c>
      <c r="C20" s="18">
        <v>1.5</v>
      </c>
      <c r="D20" s="18">
        <v>2</v>
      </c>
      <c r="E20" s="18">
        <f>B20+C20+D20</f>
        <v>3.5</v>
      </c>
      <c r="F20" t="s">
        <v>1543</v>
      </c>
    </row>
    <row r="21" spans="1:6" x14ac:dyDescent="0.2">
      <c r="A21" t="s">
        <v>872</v>
      </c>
      <c r="B21" s="18">
        <v>2</v>
      </c>
      <c r="C21" s="18">
        <v>1</v>
      </c>
      <c r="D21" s="18">
        <v>0</v>
      </c>
      <c r="E21" s="18">
        <f>B21+C21+D21</f>
        <v>3</v>
      </c>
      <c r="F21" t="s">
        <v>1551</v>
      </c>
    </row>
    <row r="22" spans="1:6" x14ac:dyDescent="0.2">
      <c r="A22" t="s">
        <v>901</v>
      </c>
      <c r="B22" s="18">
        <v>0</v>
      </c>
      <c r="C22" s="18">
        <v>1</v>
      </c>
      <c r="D22" s="18">
        <v>0</v>
      </c>
      <c r="E22" s="18">
        <f>B22+C22+D22</f>
        <v>1</v>
      </c>
      <c r="F22" t="s">
        <v>1551</v>
      </c>
    </row>
    <row r="23" spans="1:6" x14ac:dyDescent="0.2">
      <c r="A23" t="s">
        <v>943</v>
      </c>
      <c r="B23" s="18">
        <v>1</v>
      </c>
      <c r="C23" s="18">
        <v>1</v>
      </c>
      <c r="D23" s="18">
        <v>0</v>
      </c>
      <c r="E23" s="18">
        <f>B23+C23+D23</f>
        <v>2</v>
      </c>
      <c r="F23" t="s">
        <v>1551</v>
      </c>
    </row>
    <row r="24" spans="1:6" x14ac:dyDescent="0.2">
      <c r="A24" t="s">
        <v>984</v>
      </c>
      <c r="B24" s="18">
        <v>1</v>
      </c>
      <c r="C24" s="18">
        <v>1</v>
      </c>
      <c r="D24" s="18">
        <v>2</v>
      </c>
      <c r="E24" s="18">
        <f>B24+C24+D24</f>
        <v>4</v>
      </c>
      <c r="F24" t="s">
        <v>1552</v>
      </c>
    </row>
    <row r="25" spans="1:6" x14ac:dyDescent="0.2">
      <c r="A25" t="s">
        <v>1021</v>
      </c>
      <c r="B25" s="18">
        <v>0</v>
      </c>
      <c r="C25" s="18">
        <v>0</v>
      </c>
      <c r="D25" s="18">
        <v>0</v>
      </c>
      <c r="E25" s="18">
        <f>B25+C25+D25</f>
        <v>0</v>
      </c>
      <c r="F25" t="s">
        <v>1553</v>
      </c>
    </row>
    <row r="26" spans="1:6" x14ac:dyDescent="0.2">
      <c r="A26" t="s">
        <v>1036</v>
      </c>
      <c r="B26" s="18">
        <v>1</v>
      </c>
      <c r="C26" s="18">
        <v>1.5</v>
      </c>
      <c r="D26" s="18">
        <v>2</v>
      </c>
      <c r="E26" s="18">
        <f>B26+C26+D26</f>
        <v>4.5</v>
      </c>
      <c r="F26" t="s">
        <v>1543</v>
      </c>
    </row>
    <row r="27" spans="1:6" x14ac:dyDescent="0.2">
      <c r="A27" t="s">
        <v>1071</v>
      </c>
      <c r="B27" s="18">
        <v>1</v>
      </c>
      <c r="C27" s="18">
        <v>1.5</v>
      </c>
      <c r="D27" s="18">
        <v>2</v>
      </c>
      <c r="E27" s="18">
        <f>B27+C27+D27</f>
        <v>4.5</v>
      </c>
      <c r="F27" t="s">
        <v>1543</v>
      </c>
    </row>
    <row r="28" spans="1:6" x14ac:dyDescent="0.2">
      <c r="A28" t="s">
        <v>1120</v>
      </c>
      <c r="B28" s="18">
        <v>0</v>
      </c>
      <c r="C28" s="18">
        <v>0</v>
      </c>
      <c r="D28" s="18">
        <v>0</v>
      </c>
      <c r="E28" s="18">
        <f>B28+C28+D28</f>
        <v>0</v>
      </c>
      <c r="F28" t="s">
        <v>1553</v>
      </c>
    </row>
    <row r="29" spans="1:6" x14ac:dyDescent="0.2">
      <c r="A29" t="s">
        <v>1146</v>
      </c>
      <c r="B29" s="18">
        <v>0</v>
      </c>
      <c r="C29" s="18">
        <v>1</v>
      </c>
      <c r="D29" s="18">
        <v>0</v>
      </c>
      <c r="E29" s="18">
        <f>B29+C29+D29</f>
        <v>1</v>
      </c>
      <c r="F29" t="s">
        <v>1551</v>
      </c>
    </row>
    <row r="30" spans="1:6" x14ac:dyDescent="0.2">
      <c r="A30" t="s">
        <v>1177</v>
      </c>
      <c r="B30" s="18">
        <v>1</v>
      </c>
      <c r="C30" s="18">
        <v>1</v>
      </c>
      <c r="D30" s="18">
        <v>0</v>
      </c>
      <c r="E30" s="18">
        <f>B30+C30+D30</f>
        <v>2</v>
      </c>
      <c r="F30" t="s">
        <v>1551</v>
      </c>
    </row>
    <row r="31" spans="1:6" x14ac:dyDescent="0.2">
      <c r="A31" t="s">
        <v>1197</v>
      </c>
      <c r="B31" s="18">
        <v>0</v>
      </c>
      <c r="C31" s="18">
        <v>0</v>
      </c>
      <c r="D31" s="18">
        <v>0</v>
      </c>
      <c r="E31" s="18">
        <f>B31+C31+D31</f>
        <v>0</v>
      </c>
      <c r="F31" t="s">
        <v>1553</v>
      </c>
    </row>
    <row r="32" spans="1:6" x14ac:dyDescent="0.2">
      <c r="A32" t="s">
        <v>1226</v>
      </c>
      <c r="B32" s="18">
        <v>0</v>
      </c>
      <c r="C32" s="18">
        <v>1.5</v>
      </c>
      <c r="D32" s="18">
        <v>2</v>
      </c>
      <c r="E32" s="18">
        <f>B32+C32+D32</f>
        <v>3.5</v>
      </c>
      <c r="F32" t="s">
        <v>1543</v>
      </c>
    </row>
    <row r="33" spans="1:6" x14ac:dyDescent="0.2">
      <c r="A33" t="s">
        <v>1236</v>
      </c>
      <c r="B33" s="18">
        <v>2</v>
      </c>
      <c r="C33" s="18">
        <v>1</v>
      </c>
      <c r="D33" s="18">
        <v>0</v>
      </c>
      <c r="E33" s="18">
        <f>B33+C33+D33</f>
        <v>3</v>
      </c>
      <c r="F33" t="s">
        <v>1551</v>
      </c>
    </row>
    <row r="34" spans="1:6" x14ac:dyDescent="0.2">
      <c r="A34" t="s">
        <v>1267</v>
      </c>
      <c r="B34" s="18">
        <v>0</v>
      </c>
      <c r="C34" s="18">
        <v>0.5</v>
      </c>
      <c r="D34" s="18">
        <v>0</v>
      </c>
      <c r="E34" s="18">
        <f>B34+C34+D34</f>
        <v>0.5</v>
      </c>
      <c r="F34" t="s">
        <v>1554</v>
      </c>
    </row>
    <row r="35" spans="1:6" x14ac:dyDescent="0.2">
      <c r="A35" t="s">
        <v>1285</v>
      </c>
      <c r="B35" s="18">
        <v>0</v>
      </c>
      <c r="C35" s="18">
        <v>0</v>
      </c>
      <c r="D35" s="18">
        <v>0</v>
      </c>
      <c r="E35" s="18">
        <f>B35+C35+D35</f>
        <v>0</v>
      </c>
      <c r="F35" t="s">
        <v>1553</v>
      </c>
    </row>
    <row r="36" spans="1:6" x14ac:dyDescent="0.2">
      <c r="A36" t="s">
        <v>1300</v>
      </c>
      <c r="B36" s="18">
        <v>0</v>
      </c>
      <c r="C36" s="18">
        <v>1</v>
      </c>
      <c r="D36" s="18">
        <v>2</v>
      </c>
      <c r="E36" s="18">
        <f>B36+C36+D36</f>
        <v>3</v>
      </c>
      <c r="F36" t="s">
        <v>1552</v>
      </c>
    </row>
    <row r="37" spans="1:6" x14ac:dyDescent="0.2">
      <c r="A37" t="s">
        <v>1318</v>
      </c>
      <c r="B37" s="18">
        <v>0</v>
      </c>
      <c r="C37" s="18">
        <v>0</v>
      </c>
      <c r="D37" s="18">
        <v>0</v>
      </c>
      <c r="E37" s="18">
        <f>B37+C37+D37</f>
        <v>0</v>
      </c>
      <c r="F37" t="s">
        <v>1553</v>
      </c>
    </row>
    <row r="38" spans="1:6" x14ac:dyDescent="0.2">
      <c r="A38" t="s">
        <v>1339</v>
      </c>
      <c r="B38" s="18">
        <v>0</v>
      </c>
      <c r="C38" s="18">
        <v>1</v>
      </c>
      <c r="D38" s="18">
        <v>0</v>
      </c>
      <c r="E38" s="18">
        <f>B38+C38+D38</f>
        <v>1</v>
      </c>
      <c r="F38" t="s">
        <v>1551</v>
      </c>
    </row>
    <row r="39" spans="1:6" x14ac:dyDescent="0.2">
      <c r="A39" t="s">
        <v>1360</v>
      </c>
      <c r="B39" s="18">
        <v>2</v>
      </c>
      <c r="C39" s="18">
        <v>1</v>
      </c>
      <c r="D39" s="18">
        <v>2</v>
      </c>
      <c r="E39" s="18">
        <f>B39+C39+D39</f>
        <v>5</v>
      </c>
      <c r="F39" t="s">
        <v>1552</v>
      </c>
    </row>
    <row r="40" spans="1:6" x14ac:dyDescent="0.2">
      <c r="A40" t="s">
        <v>1366</v>
      </c>
      <c r="B40" s="18">
        <v>0</v>
      </c>
      <c r="C40" s="18">
        <v>0</v>
      </c>
      <c r="D40" s="18">
        <v>0</v>
      </c>
      <c r="E40" s="18">
        <f>B40+C40+D40</f>
        <v>0</v>
      </c>
      <c r="F40" t="s">
        <v>1553</v>
      </c>
    </row>
    <row r="41" spans="1:6" x14ac:dyDescent="0.2">
      <c r="A41" t="s">
        <v>1403</v>
      </c>
      <c r="B41" s="18">
        <v>0</v>
      </c>
      <c r="C41" s="18">
        <v>0</v>
      </c>
      <c r="D41" s="18">
        <v>0</v>
      </c>
      <c r="E41" s="18">
        <f>B41+C41+D41</f>
        <v>0</v>
      </c>
      <c r="F41" t="s">
        <v>1553</v>
      </c>
    </row>
    <row r="42" spans="1:6" x14ac:dyDescent="0.2">
      <c r="A42" t="s">
        <v>1419</v>
      </c>
      <c r="B42" s="18">
        <v>1</v>
      </c>
      <c r="C42" s="18">
        <v>0</v>
      </c>
      <c r="D42" s="18">
        <v>0</v>
      </c>
      <c r="E42" s="18">
        <f>B42+C42+D42</f>
        <v>1</v>
      </c>
      <c r="F42" t="s">
        <v>1553</v>
      </c>
    </row>
    <row r="43" spans="1:6" x14ac:dyDescent="0.2">
      <c r="A43" t="s">
        <v>1437</v>
      </c>
      <c r="B43" s="18">
        <v>0</v>
      </c>
      <c r="C43" s="18">
        <v>1</v>
      </c>
      <c r="D43" s="18">
        <v>2</v>
      </c>
      <c r="E43" s="18">
        <f>B43+C43+D43</f>
        <v>3</v>
      </c>
      <c r="F43" t="s">
        <v>1552</v>
      </c>
    </row>
    <row r="44" spans="1:6" x14ac:dyDescent="0.2">
      <c r="A44" t="s">
        <v>1467</v>
      </c>
      <c r="B44" s="18">
        <v>0</v>
      </c>
      <c r="C44" s="18">
        <v>1</v>
      </c>
      <c r="D44" s="18">
        <v>2</v>
      </c>
      <c r="E44" s="18">
        <f>B44+C44+D44</f>
        <v>3</v>
      </c>
      <c r="F44" t="s">
        <v>1552</v>
      </c>
    </row>
    <row r="45" spans="1:6" x14ac:dyDescent="0.2">
      <c r="A45" t="s">
        <v>1488</v>
      </c>
      <c r="B45" s="18">
        <v>0</v>
      </c>
      <c r="C45" s="18">
        <v>1</v>
      </c>
      <c r="D45" s="18">
        <v>2</v>
      </c>
      <c r="E45" s="18">
        <f>B45+C45+D45</f>
        <v>3</v>
      </c>
      <c r="F45" t="s">
        <v>1552</v>
      </c>
    </row>
    <row r="46" spans="1:6" x14ac:dyDescent="0.2">
      <c r="A46" t="s">
        <v>1517</v>
      </c>
      <c r="B46" s="18">
        <v>0</v>
      </c>
      <c r="C46" s="18">
        <v>1</v>
      </c>
      <c r="D46" s="18">
        <v>2</v>
      </c>
      <c r="E46" s="18">
        <f>B46+C46+D46</f>
        <v>3</v>
      </c>
      <c r="F46" t="s">
        <v>1552</v>
      </c>
    </row>
    <row r="47" spans="1:6" ht="15" x14ac:dyDescent="0.25">
      <c r="A47" s="24" t="s">
        <v>1555</v>
      </c>
      <c r="B47" s="25">
        <f>SUM(B3:B46)</f>
        <v>23</v>
      </c>
      <c r="C47" s="25">
        <f>SUM(C3:C46)</f>
        <v>40.5</v>
      </c>
      <c r="D47" s="25">
        <f>SUM(D3:D46)</f>
        <v>36</v>
      </c>
      <c r="E47" s="25">
        <f>SUM(E3:E46)</f>
        <v>99.5</v>
      </c>
      <c r="F47" s="24"/>
    </row>
  </sheetData>
  <mergeCells count="1">
    <mergeCell ref="A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1AC82-3E6E-4DE3-978F-80A156228E85}">
  <dimension ref="A1:E49"/>
  <sheetViews>
    <sheetView rightToLeft="1" workbookViewId="0">
      <pane ySplit="2" topLeftCell="A3" activePane="bottomLeft" state="frozen"/>
      <selection pane="bottomLeft" activeCell="B3" sqref="B3"/>
    </sheetView>
  </sheetViews>
  <sheetFormatPr defaultRowHeight="14.25" x14ac:dyDescent="0.2"/>
  <cols>
    <col min="1" max="1" width="26.625" customWidth="1"/>
    <col min="2" max="2" width="16.625" customWidth="1"/>
    <col min="3" max="3" width="18.375" customWidth="1"/>
    <col min="4" max="4" width="21.625" customWidth="1"/>
    <col min="5" max="5" width="58.375" customWidth="1"/>
  </cols>
  <sheetData>
    <row r="1" spans="1:5" ht="15" x14ac:dyDescent="0.25">
      <c r="A1" s="16" t="s">
        <v>1573</v>
      </c>
      <c r="B1" s="23"/>
      <c r="C1" s="23"/>
      <c r="D1" s="23"/>
      <c r="E1" s="23"/>
    </row>
    <row r="2" spans="1:5" ht="15" x14ac:dyDescent="0.25">
      <c r="A2" s="15" t="s">
        <v>1532</v>
      </c>
      <c r="B2" s="15" t="s">
        <v>1574</v>
      </c>
      <c r="C2" s="15" t="s">
        <v>1575</v>
      </c>
      <c r="D2" s="15" t="s">
        <v>1572</v>
      </c>
      <c r="E2" s="15" t="s">
        <v>1542</v>
      </c>
    </row>
    <row r="3" spans="1:5" x14ac:dyDescent="0.2">
      <c r="A3" t="s">
        <v>0</v>
      </c>
      <c r="B3" s="33">
        <v>10.58</v>
      </c>
      <c r="C3" s="33">
        <v>0.8</v>
      </c>
      <c r="D3" s="33">
        <v>9.7799999999999994</v>
      </c>
      <c r="E3" t="s">
        <v>1576</v>
      </c>
    </row>
    <row r="4" spans="1:5" x14ac:dyDescent="0.2">
      <c r="A4" t="s">
        <v>182</v>
      </c>
      <c r="B4" s="33">
        <v>34.979999999999997</v>
      </c>
      <c r="C4" s="33">
        <v>0.5</v>
      </c>
      <c r="D4" s="33">
        <v>34.479999999999997</v>
      </c>
      <c r="E4" t="s">
        <v>1577</v>
      </c>
    </row>
    <row r="5" spans="1:5" x14ac:dyDescent="0.2">
      <c r="A5" t="s">
        <v>266</v>
      </c>
      <c r="B5" s="33">
        <v>8.5</v>
      </c>
      <c r="C5" s="33">
        <v>1</v>
      </c>
      <c r="D5" s="33">
        <v>7.5</v>
      </c>
      <c r="E5" t="s">
        <v>1578</v>
      </c>
    </row>
    <row r="6" spans="1:5" x14ac:dyDescent="0.2">
      <c r="A6" t="s">
        <v>298</v>
      </c>
      <c r="B6" s="33">
        <v>3.5</v>
      </c>
      <c r="C6" s="33">
        <v>1.5</v>
      </c>
      <c r="D6" s="33">
        <v>2</v>
      </c>
      <c r="E6" t="s">
        <v>1579</v>
      </c>
    </row>
    <row r="7" spans="1:5" x14ac:dyDescent="0.2">
      <c r="A7" t="s">
        <v>377</v>
      </c>
      <c r="B7" s="33">
        <v>120.5</v>
      </c>
      <c r="C7" s="33">
        <v>2.5</v>
      </c>
      <c r="D7" s="33">
        <v>118</v>
      </c>
      <c r="E7" t="s">
        <v>1580</v>
      </c>
    </row>
    <row r="8" spans="1:5" x14ac:dyDescent="0.2">
      <c r="A8" t="s">
        <v>380</v>
      </c>
      <c r="B8" s="33">
        <v>11.46</v>
      </c>
      <c r="C8" s="33">
        <v>1</v>
      </c>
      <c r="D8" s="33">
        <v>10.46</v>
      </c>
      <c r="E8" t="s">
        <v>1578</v>
      </c>
    </row>
    <row r="9" spans="1:5" x14ac:dyDescent="0.2">
      <c r="A9" t="s">
        <v>447</v>
      </c>
      <c r="B9" s="33">
        <v>8.91</v>
      </c>
      <c r="C9" s="33">
        <v>1</v>
      </c>
      <c r="D9" s="33">
        <v>7.91</v>
      </c>
      <c r="E9" t="s">
        <v>1578</v>
      </c>
    </row>
    <row r="10" spans="1:5" x14ac:dyDescent="0.2">
      <c r="A10" t="s">
        <v>509</v>
      </c>
      <c r="B10" s="33">
        <v>77.010000000000005</v>
      </c>
      <c r="C10" s="33">
        <v>2.2000000000000002</v>
      </c>
      <c r="D10" s="33">
        <v>74.81</v>
      </c>
      <c r="E10" t="s">
        <v>1581</v>
      </c>
    </row>
    <row r="11" spans="1:5" x14ac:dyDescent="0.2">
      <c r="A11" t="s">
        <v>530</v>
      </c>
      <c r="B11" s="33">
        <v>17</v>
      </c>
      <c r="C11" s="33">
        <v>1</v>
      </c>
      <c r="D11" s="33">
        <v>16</v>
      </c>
      <c r="E11" t="s">
        <v>1578</v>
      </c>
    </row>
    <row r="12" spans="1:5" x14ac:dyDescent="0.2">
      <c r="A12" t="s">
        <v>576</v>
      </c>
      <c r="B12" s="33">
        <v>41.85</v>
      </c>
      <c r="C12" s="33">
        <v>1</v>
      </c>
      <c r="D12" s="33">
        <v>40.85</v>
      </c>
      <c r="E12" t="s">
        <v>1578</v>
      </c>
    </row>
    <row r="13" spans="1:5" x14ac:dyDescent="0.2">
      <c r="A13" t="s">
        <v>633</v>
      </c>
      <c r="B13" s="33">
        <v>8.5</v>
      </c>
      <c r="C13" s="33">
        <v>1</v>
      </c>
      <c r="D13" s="33">
        <v>7.5</v>
      </c>
      <c r="E13" t="s">
        <v>1578</v>
      </c>
    </row>
    <row r="14" spans="1:5" x14ac:dyDescent="0.2">
      <c r="A14" t="s">
        <v>651</v>
      </c>
      <c r="B14" s="33">
        <v>8.6</v>
      </c>
      <c r="C14" s="33">
        <v>1</v>
      </c>
      <c r="D14" s="33">
        <v>7.6</v>
      </c>
      <c r="E14" t="s">
        <v>1578</v>
      </c>
    </row>
    <row r="15" spans="1:5" x14ac:dyDescent="0.2">
      <c r="A15" t="s">
        <v>751</v>
      </c>
      <c r="B15" s="33">
        <v>2.85</v>
      </c>
      <c r="C15" s="33">
        <v>0.5</v>
      </c>
      <c r="D15" s="33">
        <v>2.35</v>
      </c>
      <c r="E15" t="s">
        <v>1582</v>
      </c>
    </row>
    <row r="16" spans="1:5" x14ac:dyDescent="0.2">
      <c r="A16" t="s">
        <v>833</v>
      </c>
      <c r="B16" s="33">
        <v>96.68</v>
      </c>
      <c r="C16" s="33">
        <v>3.4</v>
      </c>
      <c r="D16" s="33">
        <v>93.28</v>
      </c>
      <c r="E16" t="s">
        <v>1583</v>
      </c>
    </row>
    <row r="17" spans="1:5" x14ac:dyDescent="0.2">
      <c r="A17" t="s">
        <v>871</v>
      </c>
      <c r="B17" s="33">
        <v>120.6</v>
      </c>
      <c r="C17" s="33">
        <v>3.4</v>
      </c>
      <c r="D17" s="33">
        <v>117.2</v>
      </c>
      <c r="E17" t="s">
        <v>1583</v>
      </c>
    </row>
    <row r="18" spans="1:5" x14ac:dyDescent="0.2">
      <c r="A18" t="s">
        <v>872</v>
      </c>
      <c r="B18" s="33">
        <v>0.56000000000000005</v>
      </c>
      <c r="C18" s="33">
        <v>2</v>
      </c>
      <c r="D18" s="33">
        <v>0</v>
      </c>
      <c r="E18" t="s">
        <v>1584</v>
      </c>
    </row>
    <row r="19" spans="1:5" x14ac:dyDescent="0.2">
      <c r="A19" t="s">
        <v>901</v>
      </c>
      <c r="B19" s="33">
        <v>65.33</v>
      </c>
      <c r="C19" s="33">
        <v>2.2000000000000002</v>
      </c>
      <c r="D19" s="33">
        <v>63.13</v>
      </c>
      <c r="E19" t="s">
        <v>1581</v>
      </c>
    </row>
    <row r="20" spans="1:5" x14ac:dyDescent="0.2">
      <c r="A20" t="s">
        <v>943</v>
      </c>
      <c r="B20" s="33">
        <v>0.8</v>
      </c>
      <c r="C20" s="33">
        <v>0.8</v>
      </c>
      <c r="D20" s="33">
        <v>0</v>
      </c>
      <c r="E20" t="s">
        <v>1576</v>
      </c>
    </row>
    <row r="21" spans="1:5" x14ac:dyDescent="0.2">
      <c r="A21" t="s">
        <v>984</v>
      </c>
      <c r="B21" s="33">
        <v>16.66</v>
      </c>
      <c r="C21" s="33">
        <v>0.8</v>
      </c>
      <c r="D21" s="33">
        <v>15.86</v>
      </c>
      <c r="E21" t="s">
        <v>1576</v>
      </c>
    </row>
    <row r="22" spans="1:5" x14ac:dyDescent="0.2">
      <c r="A22" t="s">
        <v>1036</v>
      </c>
      <c r="B22" s="33">
        <v>17.899999999999999</v>
      </c>
      <c r="C22" s="33">
        <v>0.8</v>
      </c>
      <c r="D22" s="33">
        <v>17.100000000000001</v>
      </c>
      <c r="E22" t="s">
        <v>1576</v>
      </c>
    </row>
    <row r="23" spans="1:5" x14ac:dyDescent="0.2">
      <c r="A23" t="s">
        <v>1146</v>
      </c>
      <c r="B23" s="33">
        <v>4.45</v>
      </c>
      <c r="C23" s="33">
        <v>1.8</v>
      </c>
      <c r="D23" s="33">
        <v>2.65</v>
      </c>
      <c r="E23" t="s">
        <v>1585</v>
      </c>
    </row>
    <row r="24" spans="1:5" x14ac:dyDescent="0.2">
      <c r="A24" t="s">
        <v>1177</v>
      </c>
      <c r="B24" s="33">
        <v>11.61</v>
      </c>
      <c r="C24" s="33">
        <v>0.8</v>
      </c>
      <c r="D24" s="33">
        <v>10.81</v>
      </c>
      <c r="E24" t="s">
        <v>1576</v>
      </c>
    </row>
    <row r="25" spans="1:5" x14ac:dyDescent="0.2">
      <c r="A25" t="s">
        <v>1226</v>
      </c>
      <c r="B25" s="33">
        <v>79.849999999999994</v>
      </c>
      <c r="C25" s="33">
        <v>2.2000000000000002</v>
      </c>
      <c r="D25" s="33">
        <v>77.650000000000006</v>
      </c>
      <c r="E25" t="s">
        <v>1581</v>
      </c>
    </row>
    <row r="26" spans="1:5" x14ac:dyDescent="0.2">
      <c r="A26" t="s">
        <v>1236</v>
      </c>
      <c r="B26" s="33">
        <v>0.8</v>
      </c>
      <c r="C26" s="33">
        <v>0.8</v>
      </c>
      <c r="D26" s="33">
        <v>0</v>
      </c>
      <c r="E26" t="s">
        <v>1576</v>
      </c>
    </row>
    <row r="27" spans="1:5" x14ac:dyDescent="0.2">
      <c r="A27" t="s">
        <v>1267</v>
      </c>
      <c r="B27" s="33">
        <v>3.16</v>
      </c>
      <c r="C27" s="33">
        <v>0.4</v>
      </c>
      <c r="D27" s="33">
        <v>2.76</v>
      </c>
      <c r="E27" t="s">
        <v>1586</v>
      </c>
    </row>
    <row r="28" spans="1:5" x14ac:dyDescent="0.2">
      <c r="A28" t="s">
        <v>1300</v>
      </c>
      <c r="B28" s="33">
        <v>19.55</v>
      </c>
      <c r="C28" s="33">
        <v>0.8</v>
      </c>
      <c r="D28" s="33">
        <v>18.75</v>
      </c>
      <c r="E28" t="s">
        <v>1576</v>
      </c>
    </row>
    <row r="29" spans="1:5" x14ac:dyDescent="0.2">
      <c r="A29" t="s">
        <v>1339</v>
      </c>
      <c r="B29" s="33">
        <v>8.43</v>
      </c>
      <c r="C29" s="33">
        <v>0.8</v>
      </c>
      <c r="D29" s="33">
        <v>7.63</v>
      </c>
      <c r="E29" t="s">
        <v>1576</v>
      </c>
    </row>
    <row r="30" spans="1:5" x14ac:dyDescent="0.2">
      <c r="A30" t="s">
        <v>1360</v>
      </c>
      <c r="B30" s="33">
        <v>0.8</v>
      </c>
      <c r="C30" s="33">
        <v>0.8</v>
      </c>
      <c r="D30" s="33">
        <v>0</v>
      </c>
      <c r="E30" t="s">
        <v>1576</v>
      </c>
    </row>
    <row r="31" spans="1:5" x14ac:dyDescent="0.2">
      <c r="A31" t="s">
        <v>1437</v>
      </c>
      <c r="B31" s="33">
        <v>3.41</v>
      </c>
      <c r="C31" s="33">
        <v>0.8</v>
      </c>
      <c r="D31" s="33">
        <v>2.61</v>
      </c>
      <c r="E31" t="s">
        <v>1576</v>
      </c>
    </row>
    <row r="32" spans="1:5" x14ac:dyDescent="0.2">
      <c r="A32" t="s">
        <v>1467</v>
      </c>
      <c r="B32" s="33">
        <v>0.8</v>
      </c>
      <c r="C32" s="33">
        <v>0.8</v>
      </c>
      <c r="D32" s="33">
        <v>0</v>
      </c>
      <c r="E32" t="s">
        <v>1576</v>
      </c>
    </row>
    <row r="33" spans="1:5" ht="15" x14ac:dyDescent="0.25">
      <c r="A33" s="24" t="s">
        <v>1555</v>
      </c>
      <c r="B33" s="34">
        <f>SUM(B3:B32)</f>
        <v>805.62999999999977</v>
      </c>
      <c r="C33" s="34">
        <f>SUM(C3:C32)</f>
        <v>38.399999999999984</v>
      </c>
      <c r="D33" s="34">
        <f>SUM(D3:D32)</f>
        <v>768.67000000000007</v>
      </c>
      <c r="E33" s="24"/>
    </row>
    <row r="35" spans="1:5" ht="15" x14ac:dyDescent="0.25">
      <c r="A35" s="114" t="s">
        <v>1721</v>
      </c>
      <c r="B35" s="114"/>
      <c r="C35" s="114"/>
      <c r="D35" s="114"/>
      <c r="E35" s="114"/>
    </row>
    <row r="36" spans="1:5" ht="15" x14ac:dyDescent="0.25">
      <c r="A36" s="45" t="s">
        <v>1532</v>
      </c>
      <c r="B36" s="45" t="s">
        <v>1722</v>
      </c>
      <c r="C36" s="45" t="s">
        <v>1723</v>
      </c>
      <c r="D36" s="45" t="s">
        <v>1572</v>
      </c>
      <c r="E36" s="45" t="s">
        <v>1542</v>
      </c>
    </row>
    <row r="37" spans="1:5" ht="15" x14ac:dyDescent="0.25">
      <c r="A37" t="s">
        <v>751</v>
      </c>
      <c r="B37">
        <v>2.35</v>
      </c>
      <c r="C37" s="115">
        <v>2.35</v>
      </c>
      <c r="D37">
        <v>0</v>
      </c>
      <c r="E37" t="s">
        <v>1724</v>
      </c>
    </row>
    <row r="38" spans="1:5" ht="15" x14ac:dyDescent="0.25">
      <c r="A38" t="s">
        <v>872</v>
      </c>
      <c r="B38">
        <v>2.63</v>
      </c>
      <c r="C38" s="115">
        <v>2.63</v>
      </c>
      <c r="D38">
        <v>0</v>
      </c>
      <c r="E38" t="s">
        <v>1725</v>
      </c>
    </row>
    <row r="39" spans="1:5" ht="15" x14ac:dyDescent="0.25">
      <c r="A39" t="s">
        <v>901</v>
      </c>
      <c r="B39">
        <v>4.0999999999999996</v>
      </c>
      <c r="C39" s="115">
        <v>4.0999999999999996</v>
      </c>
      <c r="D39">
        <v>0</v>
      </c>
      <c r="E39" t="s">
        <v>1726</v>
      </c>
    </row>
    <row r="40" spans="1:5" ht="15" x14ac:dyDescent="0.25">
      <c r="A40" t="s">
        <v>984</v>
      </c>
      <c r="B40">
        <v>1.52</v>
      </c>
      <c r="C40" s="115">
        <v>1.52</v>
      </c>
      <c r="D40">
        <v>0</v>
      </c>
      <c r="E40" t="s">
        <v>1727</v>
      </c>
    </row>
    <row r="41" spans="1:5" ht="15" x14ac:dyDescent="0.25">
      <c r="A41" t="s">
        <v>1120</v>
      </c>
      <c r="B41">
        <v>1.57</v>
      </c>
      <c r="C41" s="115">
        <v>1.57</v>
      </c>
      <c r="D41">
        <v>0</v>
      </c>
      <c r="E41" t="s">
        <v>1728</v>
      </c>
    </row>
    <row r="42" spans="1:5" ht="15" x14ac:dyDescent="0.25">
      <c r="A42" t="s">
        <v>1146</v>
      </c>
      <c r="B42">
        <v>1</v>
      </c>
      <c r="C42" s="115">
        <v>1</v>
      </c>
      <c r="D42">
        <v>0</v>
      </c>
      <c r="E42" t="s">
        <v>1729</v>
      </c>
    </row>
    <row r="43" spans="1:5" ht="15" x14ac:dyDescent="0.25">
      <c r="A43" t="s">
        <v>1267</v>
      </c>
      <c r="B43">
        <v>1.6</v>
      </c>
      <c r="C43" s="115">
        <v>1.6</v>
      </c>
      <c r="D43">
        <v>0</v>
      </c>
      <c r="E43" t="s">
        <v>1730</v>
      </c>
    </row>
    <row r="44" spans="1:5" ht="15" x14ac:dyDescent="0.25">
      <c r="A44" t="s">
        <v>1318</v>
      </c>
      <c r="B44">
        <v>1.9</v>
      </c>
      <c r="C44" s="115">
        <v>1.9</v>
      </c>
      <c r="D44">
        <v>0</v>
      </c>
      <c r="E44" t="s">
        <v>1731</v>
      </c>
    </row>
    <row r="45" spans="1:5" ht="15" x14ac:dyDescent="0.25">
      <c r="A45" t="s">
        <v>1339</v>
      </c>
      <c r="B45">
        <v>1.88</v>
      </c>
      <c r="C45" s="115">
        <v>1.88</v>
      </c>
      <c r="D45">
        <v>0</v>
      </c>
      <c r="E45" t="s">
        <v>1732</v>
      </c>
    </row>
    <row r="46" spans="1:5" ht="15" x14ac:dyDescent="0.25">
      <c r="A46" t="s">
        <v>1366</v>
      </c>
      <c r="B46">
        <v>3.4</v>
      </c>
      <c r="C46" s="115">
        <v>3.4</v>
      </c>
      <c r="D46">
        <v>0</v>
      </c>
      <c r="E46" t="s">
        <v>1733</v>
      </c>
    </row>
    <row r="47" spans="1:5" ht="15" x14ac:dyDescent="0.25">
      <c r="A47" t="s">
        <v>1403</v>
      </c>
      <c r="B47">
        <v>1.62</v>
      </c>
      <c r="C47" s="115">
        <v>1.62</v>
      </c>
      <c r="D47">
        <v>0</v>
      </c>
      <c r="E47" t="s">
        <v>1734</v>
      </c>
    </row>
    <row r="48" spans="1:5" ht="15" x14ac:dyDescent="0.25">
      <c r="A48" t="s">
        <v>1437</v>
      </c>
      <c r="B48">
        <v>1.72</v>
      </c>
      <c r="C48" s="115">
        <v>1.72</v>
      </c>
      <c r="D48">
        <v>0</v>
      </c>
      <c r="E48" t="s">
        <v>1735</v>
      </c>
    </row>
    <row r="49" spans="1:5" ht="15" x14ac:dyDescent="0.25">
      <c r="A49" s="81" t="s">
        <v>1555</v>
      </c>
      <c r="B49" s="81">
        <f>SUM(B37:B48)</f>
        <v>25.289999999999996</v>
      </c>
      <c r="C49" s="81">
        <f>SUM(C37:C48)</f>
        <v>25.289999999999996</v>
      </c>
      <c r="D49" s="81"/>
      <c r="E49" s="81"/>
    </row>
  </sheetData>
  <mergeCells count="2">
    <mergeCell ref="A1:E1"/>
    <mergeCell ref="A35:E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14</vt:i4>
      </vt:variant>
    </vt:vector>
  </HeadingPairs>
  <TitlesOfParts>
    <vt:vector size="14" baseType="lpstr">
      <vt:lpstr>report</vt:lpstr>
      <vt:lpstr>Em_Index</vt:lpstr>
      <vt:lpstr>נייר עבודה</vt:lpstr>
      <vt:lpstr>1.סיכום ימים</vt:lpstr>
      <vt:lpstr>2.השלמת אירועים חג</vt:lpstr>
      <vt:lpstr>3.חוסר סגירה</vt:lpstr>
      <vt:lpstr>4.חוסר מדומה ע.חג</vt:lpstr>
      <vt:lpstr>6.חופשה מנוצלת</vt:lpstr>
      <vt:lpstr>5.אריאל-תאונ.עבודה</vt:lpstr>
      <vt:lpstr>7.בדיקות סופיות</vt:lpstr>
      <vt:lpstr>1.סיכום ימים_OLD</vt:lpstr>
      <vt:lpstr>נייר עבודה_OLD</vt:lpstr>
      <vt:lpstr>6.חופשה מנוצלת_OLD</vt:lpstr>
      <vt:lpstr>4.חוסר מדומה ע.חג_OLD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Yelena Enthin</cp:lastModifiedBy>
  <dcterms:created xsi:type="dcterms:W3CDTF">2026-05-03T10:46:17Z</dcterms:created>
  <dcterms:modified xsi:type="dcterms:W3CDTF">2026-05-04T06:30:18Z</dcterms:modified>
</cp:coreProperties>
</file>